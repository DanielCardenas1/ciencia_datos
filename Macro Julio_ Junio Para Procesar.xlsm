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\iCloudDrive\Macros\"/>
    </mc:Choice>
  </mc:AlternateContent>
  <xr:revisionPtr revIDLastSave="0" documentId="13_ncr:1_{D4E82BF8-0CDB-4B18-A432-130AE456CD73}" xr6:coauthVersionLast="47" xr6:coauthVersionMax="47" xr10:uidLastSave="{00000000-0000-0000-0000-000000000000}"/>
  <bookViews>
    <workbookView xWindow="-108" yWindow="-108" windowWidth="23256" windowHeight="12456" tabRatio="659" xr2:uid="{00000000-000D-0000-FFFF-FFFF00000000}"/>
  </bookViews>
  <sheets>
    <sheet name="a" sheetId="1" r:id="rId1"/>
    <sheet name="b" sheetId="2" r:id="rId2"/>
    <sheet name="c" sheetId="5931" r:id="rId3"/>
    <sheet name="PAGOS" sheetId="5937" r:id="rId4"/>
    <sheet name="PROCESADAS JULIO-AGOSTO" sheetId="5934" r:id="rId5"/>
    <sheet name="PROCESADAS JULIO-JUNIO" sheetId="5932" r:id="rId6"/>
    <sheet name="PROCEDAS JUNIO - MAYO" sheetId="5936" r:id="rId7"/>
    <sheet name="INACTIVOS" sheetId="5933" r:id="rId8"/>
    <sheet name="TOTAL" sheetId="5935" r:id="rId9"/>
  </sheets>
  <functionGroups builtInGroupCount="19"/>
  <definedNames>
    <definedName name="_xlnm._FilterDatabase" localSheetId="0" hidden="1">a!$A$1:$AC$599</definedName>
    <definedName name="_xlnm._FilterDatabase" localSheetId="7" hidden="1">INACTIVOS!$A$1:$W$291</definedName>
    <definedName name="_xlnm._FilterDatabase" localSheetId="4" hidden="1">'PROCESADAS JULIO-AGOSTO'!$A$1:$W$355</definedName>
    <definedName name="_xlnm._FilterDatabase" localSheetId="5" hidden="1">'PROCESADAS JULIO-JUNIO'!$A$1:$W$455</definedName>
    <definedName name="_xleta.SUM" hidden="1" xlm="1">#NAME?</definedName>
    <definedName name="_xlnm.Print_Area" localSheetId="2">'c'!$A$1:$L$50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5931" l="1"/>
  <c r="I9" i="5931" l="1"/>
  <c r="J358" i="5934" l="1"/>
  <c r="I358" i="5934"/>
  <c r="I449" i="5933" l="1"/>
  <c r="J449" i="5933"/>
  <c r="J458" i="5932" l="1"/>
  <c r="I458" i="59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 Augusto Zamora Vasco</author>
  </authors>
  <commentList>
    <comment ref="M4" authorId="0" shapeId="0" xr:uid="{BCE6AE95-DC5F-4BE8-BF7E-0897B83C030B}">
      <text>
        <r>
          <rPr>
            <b/>
            <sz val="9"/>
            <color indexed="81"/>
            <rFont val="Tahoma"/>
            <family val="2"/>
          </rPr>
          <t>Esta Resolución no afecta el pago de esta cuota parte porque ellos no aportaron al ISS, por tanto no hay compartibilidad.</t>
        </r>
      </text>
    </comment>
    <comment ref="C9" authorId="0" shapeId="0" xr:uid="{74E44005-FF1D-4398-92E4-E18F84215B9B}">
      <text>
        <r>
          <rPr>
            <b/>
            <sz val="9"/>
            <color indexed="81"/>
            <rFont val="Tahoma"/>
            <family val="2"/>
          </rPr>
          <t>Según Res. 2527 de 2009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<sst xmlns="http://schemas.openxmlformats.org/spreadsheetml/2006/main" count="8851" uniqueCount="1923">
  <si>
    <t>Nombre</t>
  </si>
  <si>
    <t>Identificacion</t>
  </si>
  <si>
    <t>Res. No</t>
  </si>
  <si>
    <t>Consulta</t>
  </si>
  <si>
    <t>Estado cartera</t>
  </si>
  <si>
    <t>Fecha de Ingreso Nómina</t>
  </si>
  <si>
    <t>Ultima fecha de pago</t>
  </si>
  <si>
    <t xml:space="preserve">REGIONAL </t>
  </si>
  <si>
    <t>% Cuota Parte</t>
  </si>
  <si>
    <t>Cuota parte inicial</t>
  </si>
  <si>
    <t>Numero de mesadas</t>
  </si>
  <si>
    <t>% Salud</t>
  </si>
  <si>
    <t>Pension Pagada SENA</t>
  </si>
  <si>
    <t>Pensión pagada ISS</t>
  </si>
  <si>
    <t>NIT. ENTIDAD</t>
  </si>
  <si>
    <t>Cédula Sustituto</t>
  </si>
  <si>
    <t>Nombre Sustituto y/o beneficiario</t>
  </si>
  <si>
    <t>Fecha de cambio % salud</t>
  </si>
  <si>
    <t>Nuevo % salud</t>
  </si>
  <si>
    <t>SILENCIO r</t>
  </si>
  <si>
    <t>SANTANDER</t>
  </si>
  <si>
    <t>ACEPTADA</t>
  </si>
  <si>
    <t>799 de 1976</t>
  </si>
  <si>
    <t>1758 de 2006</t>
  </si>
  <si>
    <t>Resolución</t>
  </si>
  <si>
    <t>ISS</t>
  </si>
  <si>
    <t>Identicación</t>
  </si>
  <si>
    <t>Reliquidado</t>
  </si>
  <si>
    <t>Pérdida</t>
  </si>
  <si>
    <t>Sustituto</t>
  </si>
  <si>
    <t>Ingreso a Nómina</t>
  </si>
  <si>
    <t>Salud</t>
  </si>
  <si>
    <t>Cuota parte actual</t>
  </si>
  <si>
    <t>Capital pendiente</t>
  </si>
  <si>
    <t>Intereses pendientes</t>
  </si>
  <si>
    <t>Estado</t>
  </si>
  <si>
    <t>Pagos a Capital</t>
  </si>
  <si>
    <t>Año</t>
  </si>
  <si>
    <t>M/ desde</t>
  </si>
  <si>
    <t>M/ hasta</t>
  </si>
  <si>
    <t>Base Calculo cuota parte</t>
  </si>
  <si>
    <t>Periodos</t>
  </si>
  <si>
    <t>Total Cuota</t>
  </si>
  <si>
    <t>Pagos</t>
  </si>
  <si>
    <t>Saldo Pendiente</t>
  </si>
  <si>
    <t>HOSPITAL DE SAN JUAN DE DIOS DE SAN GIL E.S.E</t>
  </si>
  <si>
    <t>DEPARTAMENTO DEL ATLANTICO</t>
  </si>
  <si>
    <t>MUNICIPIO DE BARRANQUILLA</t>
  </si>
  <si>
    <t>Reliqui</t>
  </si>
  <si>
    <t>Empresa</t>
  </si>
  <si>
    <t>Variación Anual del IPC</t>
  </si>
  <si>
    <t>PAGOS 2024</t>
  </si>
  <si>
    <t>Fecha</t>
  </si>
  <si>
    <t>BASE DE CALCULO CUOTA PARTE</t>
  </si>
  <si>
    <t>TOTAL</t>
  </si>
  <si>
    <t>Incremento o IPC</t>
  </si>
  <si>
    <t>Vr. Cuota parte periodo</t>
  </si>
  <si>
    <t>Tasa de Depósitos a Término Fijo (DTF) a 90 días, mensual</t>
  </si>
  <si>
    <t>1990-01-31</t>
  </si>
  <si>
    <t>1990-02-28</t>
  </si>
  <si>
    <t>1990-03-31</t>
  </si>
  <si>
    <t>1990-11-30</t>
  </si>
  <si>
    <t>1990-12-31</t>
  </si>
  <si>
    <t>1991-01-31</t>
  </si>
  <si>
    <t>1991-02-28</t>
  </si>
  <si>
    <t>1991-03-31</t>
  </si>
  <si>
    <t>1991-04-30</t>
  </si>
  <si>
    <t>1991-05-31</t>
  </si>
  <si>
    <t>1991-06-30</t>
  </si>
  <si>
    <t>1991-07-31</t>
  </si>
  <si>
    <t>1991-08-31</t>
  </si>
  <si>
    <t>1991-09-30</t>
  </si>
  <si>
    <t>1991-10-31</t>
  </si>
  <si>
    <t>1991-11-30</t>
  </si>
  <si>
    <t>1991-12-31</t>
  </si>
  <si>
    <t>1992-01-31</t>
  </si>
  <si>
    <t>1992-02-29</t>
  </si>
  <si>
    <t>1992-03-31</t>
  </si>
  <si>
    <t>1992-04-30</t>
  </si>
  <si>
    <t>1992-05-31</t>
  </si>
  <si>
    <t>1992-06-30</t>
  </si>
  <si>
    <t>1992-07-31</t>
  </si>
  <si>
    <t>1992-08-31</t>
  </si>
  <si>
    <t>1992-09-30</t>
  </si>
  <si>
    <t>1992-10-31</t>
  </si>
  <si>
    <t>1992-11-30</t>
  </si>
  <si>
    <t>1992-12-31</t>
  </si>
  <si>
    <t>1993-01-31</t>
  </si>
  <si>
    <t>1993-02-28</t>
  </si>
  <si>
    <t>1993-03-31</t>
  </si>
  <si>
    <t>1993-04-30</t>
  </si>
  <si>
    <t>1993-05-31</t>
  </si>
  <si>
    <t>1993-06-30</t>
  </si>
  <si>
    <t>1993-07-31</t>
  </si>
  <si>
    <t>1993-08-31</t>
  </si>
  <si>
    <t>1993-09-30</t>
  </si>
  <si>
    <t>1993-10-31</t>
  </si>
  <si>
    <t>1993-11-30</t>
  </si>
  <si>
    <t>1993-12-31</t>
  </si>
  <si>
    <t>1994-01-31</t>
  </si>
  <si>
    <t>1994-02-28</t>
  </si>
  <si>
    <t>1994-03-31</t>
  </si>
  <si>
    <t>1994-04-30</t>
  </si>
  <si>
    <t>1994-05-31</t>
  </si>
  <si>
    <t>1994-06-30</t>
  </si>
  <si>
    <t>1994-07-31</t>
  </si>
  <si>
    <t>1994-08-31</t>
  </si>
  <si>
    <t>1994-09-30</t>
  </si>
  <si>
    <t>1994-10-31</t>
  </si>
  <si>
    <t>1994-11-30</t>
  </si>
  <si>
    <t>1994-12-31</t>
  </si>
  <si>
    <t>1995-01-31</t>
  </si>
  <si>
    <t>1995-02-28</t>
  </si>
  <si>
    <t>1995-03-31</t>
  </si>
  <si>
    <t>1995-04-30</t>
  </si>
  <si>
    <t>1995-05-31</t>
  </si>
  <si>
    <t>1995-06-30</t>
  </si>
  <si>
    <t>1995-07-31</t>
  </si>
  <si>
    <t>1995-08-31</t>
  </si>
  <si>
    <t>1995-09-30</t>
  </si>
  <si>
    <t>1995-10-31</t>
  </si>
  <si>
    <t>1995-11-30</t>
  </si>
  <si>
    <t>1995-12-31</t>
  </si>
  <si>
    <t>1996-01-31</t>
  </si>
  <si>
    <t>1996-02-29</t>
  </si>
  <si>
    <t>1996-03-31</t>
  </si>
  <si>
    <t>1996-04-30</t>
  </si>
  <si>
    <t>1996-05-31</t>
  </si>
  <si>
    <t>1996-06-30</t>
  </si>
  <si>
    <t>1996-07-31</t>
  </si>
  <si>
    <t>1996-08-31</t>
  </si>
  <si>
    <t>1996-09-30</t>
  </si>
  <si>
    <t>1996-10-31</t>
  </si>
  <si>
    <t>1996-11-30</t>
  </si>
  <si>
    <t>1996-12-31</t>
  </si>
  <si>
    <t>1997-01-31</t>
  </si>
  <si>
    <t>1997-02-28</t>
  </si>
  <si>
    <t>1997-03-31</t>
  </si>
  <si>
    <t>1997-04-30</t>
  </si>
  <si>
    <t>1997-05-31</t>
  </si>
  <si>
    <t>1997-06-30</t>
  </si>
  <si>
    <t>1997-07-31</t>
  </si>
  <si>
    <t>1997-08-31</t>
  </si>
  <si>
    <t>1997-09-30</t>
  </si>
  <si>
    <t>1997-10-31</t>
  </si>
  <si>
    <t>1997-11-30</t>
  </si>
  <si>
    <t>1997-12-31</t>
  </si>
  <si>
    <t>1998-01-31</t>
  </si>
  <si>
    <t>1998-02-28</t>
  </si>
  <si>
    <t>1998-03-31</t>
  </si>
  <si>
    <t>1998-04-30</t>
  </si>
  <si>
    <t>1998-05-31</t>
  </si>
  <si>
    <t>1998-06-30</t>
  </si>
  <si>
    <t>1998-07-31</t>
  </si>
  <si>
    <t>1998-08-31</t>
  </si>
  <si>
    <t>1998-09-30</t>
  </si>
  <si>
    <t>1998-10-31</t>
  </si>
  <si>
    <t>1998-11-30</t>
  </si>
  <si>
    <t>1998-12-31</t>
  </si>
  <si>
    <t>1999-01-31</t>
  </si>
  <si>
    <t>1999-02-28</t>
  </si>
  <si>
    <t>1999-03-31</t>
  </si>
  <si>
    <t>1999-04-30</t>
  </si>
  <si>
    <t>1999-05-31</t>
  </si>
  <si>
    <t>1999-06-30</t>
  </si>
  <si>
    <t>1999-07-31</t>
  </si>
  <si>
    <t>1999-08-31</t>
  </si>
  <si>
    <t>1999-09-30</t>
  </si>
  <si>
    <t>1999-10-31</t>
  </si>
  <si>
    <t>1999-11-30</t>
  </si>
  <si>
    <t>1999-12-31</t>
  </si>
  <si>
    <t>2000-01-31</t>
  </si>
  <si>
    <t>2000-02-29</t>
  </si>
  <si>
    <t>2000-03-31</t>
  </si>
  <si>
    <t>2000-04-30</t>
  </si>
  <si>
    <t>2000-05-31</t>
  </si>
  <si>
    <t>2000-06-30</t>
  </si>
  <si>
    <t>2000-07-31</t>
  </si>
  <si>
    <t>2000-08-31</t>
  </si>
  <si>
    <t>2000-09-30</t>
  </si>
  <si>
    <t>2000-10-31</t>
  </si>
  <si>
    <t>2000-11-30</t>
  </si>
  <si>
    <t>2000-12-31</t>
  </si>
  <si>
    <t>2001-01-31</t>
  </si>
  <si>
    <t>2001-02-28</t>
  </si>
  <si>
    <t>2001-03-31</t>
  </si>
  <si>
    <t>2001-04-30</t>
  </si>
  <si>
    <t>2001-05-31</t>
  </si>
  <si>
    <t>2001-06-30</t>
  </si>
  <si>
    <t>2001-07-31</t>
  </si>
  <si>
    <t>2001-08-31</t>
  </si>
  <si>
    <t>2001-09-30</t>
  </si>
  <si>
    <t>2001-10-31</t>
  </si>
  <si>
    <t>2001-11-30</t>
  </si>
  <si>
    <t>2001-12-31</t>
  </si>
  <si>
    <t>2002-01-31</t>
  </si>
  <si>
    <t>2002-02-28</t>
  </si>
  <si>
    <t>2002-03-31</t>
  </si>
  <si>
    <t>2002-04-30</t>
  </si>
  <si>
    <t>2002-05-31</t>
  </si>
  <si>
    <t>2002-06-30</t>
  </si>
  <si>
    <t>2002-07-31</t>
  </si>
  <si>
    <t>2002-08-31</t>
  </si>
  <si>
    <t>2002-09-30</t>
  </si>
  <si>
    <t>2002-10-31</t>
  </si>
  <si>
    <t>2002-11-30</t>
  </si>
  <si>
    <t>2002-12-31</t>
  </si>
  <si>
    <t>2003-01-31</t>
  </si>
  <si>
    <t>2003-02-28</t>
  </si>
  <si>
    <t>2003-03-31</t>
  </si>
  <si>
    <t>2003-04-30</t>
  </si>
  <si>
    <t>2003-05-31</t>
  </si>
  <si>
    <t>2003-06-30</t>
  </si>
  <si>
    <t>2003-07-31</t>
  </si>
  <si>
    <t>2003-08-31</t>
  </si>
  <si>
    <t>2003-09-30</t>
  </si>
  <si>
    <t>2003-10-31</t>
  </si>
  <si>
    <t>2003-11-30</t>
  </si>
  <si>
    <t>2003-12-31</t>
  </si>
  <si>
    <t>2004-01-31</t>
  </si>
  <si>
    <t>2004-02-29</t>
  </si>
  <si>
    <t>2004-03-31</t>
  </si>
  <si>
    <t>2004-04-30</t>
  </si>
  <si>
    <t>2004-05-31</t>
  </si>
  <si>
    <t>2004-06-30</t>
  </si>
  <si>
    <t>2004-07-31</t>
  </si>
  <si>
    <t>2004-08-31</t>
  </si>
  <si>
    <t>2004-09-30</t>
  </si>
  <si>
    <t>2004-10-31</t>
  </si>
  <si>
    <t>2004-11-30</t>
  </si>
  <si>
    <t>2004-12-31</t>
  </si>
  <si>
    <t>2005-01-31</t>
  </si>
  <si>
    <t>2005-02-28</t>
  </si>
  <si>
    <t>2005-03-31</t>
  </si>
  <si>
    <t>2005-04-30</t>
  </si>
  <si>
    <t>2005-05-31</t>
  </si>
  <si>
    <t>2005-06-30</t>
  </si>
  <si>
    <t>2005-07-31</t>
  </si>
  <si>
    <t>2005-08-31</t>
  </si>
  <si>
    <t>2005-09-30</t>
  </si>
  <si>
    <t>2005-10-31</t>
  </si>
  <si>
    <t>2005-11-30</t>
  </si>
  <si>
    <t>2005-12-31</t>
  </si>
  <si>
    <t>2006-01-31</t>
  </si>
  <si>
    <t>2006-02-28</t>
  </si>
  <si>
    <t>2006-03-31</t>
  </si>
  <si>
    <t>2006-04-30</t>
  </si>
  <si>
    <t>2006-05-31</t>
  </si>
  <si>
    <t>2006-06-30</t>
  </si>
  <si>
    <t>2006-07-31</t>
  </si>
  <si>
    <t>2006-08-31</t>
  </si>
  <si>
    <t>2006-09-30</t>
  </si>
  <si>
    <t>2006-10-31</t>
  </si>
  <si>
    <t>2006-11-30</t>
  </si>
  <si>
    <t>2006-12-31</t>
  </si>
  <si>
    <t>2007-01-31</t>
  </si>
  <si>
    <t>2007-02-28</t>
  </si>
  <si>
    <t>2007-03-31</t>
  </si>
  <si>
    <t>2007-04-30</t>
  </si>
  <si>
    <t>2007-05-31</t>
  </si>
  <si>
    <t>2007-06-30</t>
  </si>
  <si>
    <t>2007-07-31</t>
  </si>
  <si>
    <t>2007-08-31</t>
  </si>
  <si>
    <t>2007-09-30</t>
  </si>
  <si>
    <t>2007-10-31</t>
  </si>
  <si>
    <t>2007-11-30</t>
  </si>
  <si>
    <t>2007-12-31</t>
  </si>
  <si>
    <t>2008-01-31</t>
  </si>
  <si>
    <t>2008-02-29</t>
  </si>
  <si>
    <t>2008-03-31</t>
  </si>
  <si>
    <t>2008-04-30</t>
  </si>
  <si>
    <t>2008-05-31</t>
  </si>
  <si>
    <t>2008-06-30</t>
  </si>
  <si>
    <t>2008-07-31</t>
  </si>
  <si>
    <t>2008-08-31</t>
  </si>
  <si>
    <t>2008-09-30</t>
  </si>
  <si>
    <t>2008-10-31</t>
  </si>
  <si>
    <t>2008-11-30</t>
  </si>
  <si>
    <t>2008-12-31</t>
  </si>
  <si>
    <t>2009-01-31</t>
  </si>
  <si>
    <t>2009-02-28</t>
  </si>
  <si>
    <t>2009-03-31</t>
  </si>
  <si>
    <t>2009-04-30</t>
  </si>
  <si>
    <t>2009-05-31</t>
  </si>
  <si>
    <t>2009-06-30</t>
  </si>
  <si>
    <t>2009-07-31</t>
  </si>
  <si>
    <t>2009-08-31</t>
  </si>
  <si>
    <t>2009-09-30</t>
  </si>
  <si>
    <t>2009-10-31</t>
  </si>
  <si>
    <t>2009-11-30</t>
  </si>
  <si>
    <t>2009-12-31</t>
  </si>
  <si>
    <t>2010-01-31</t>
  </si>
  <si>
    <t>2010-02-28</t>
  </si>
  <si>
    <t>2010-03-31</t>
  </si>
  <si>
    <t>2010-04-30</t>
  </si>
  <si>
    <t>2010-05-31</t>
  </si>
  <si>
    <t>2010-06-30</t>
  </si>
  <si>
    <t>2010-07-31</t>
  </si>
  <si>
    <t>2010-08-31</t>
  </si>
  <si>
    <t>2010-09-30</t>
  </si>
  <si>
    <t>2010-10-31</t>
  </si>
  <si>
    <t>2010-11-30</t>
  </si>
  <si>
    <t>2010-12-31</t>
  </si>
  <si>
    <t>2011-01-31</t>
  </si>
  <si>
    <t>2011-02-28</t>
  </si>
  <si>
    <t>2011-03-31</t>
  </si>
  <si>
    <t>2011-04-30</t>
  </si>
  <si>
    <t>2011-05-31</t>
  </si>
  <si>
    <t>2011-06-30</t>
  </si>
  <si>
    <t>2011-07-31</t>
  </si>
  <si>
    <t>2011-08-31</t>
  </si>
  <si>
    <t>2011-09-30</t>
  </si>
  <si>
    <t>2011-10-31</t>
  </si>
  <si>
    <t>2011-11-30</t>
  </si>
  <si>
    <t>2011-12-31</t>
  </si>
  <si>
    <t>2012-01-31</t>
  </si>
  <si>
    <t>2012-02-29</t>
  </si>
  <si>
    <t>2012-03-31</t>
  </si>
  <si>
    <t>2012-04-30</t>
  </si>
  <si>
    <t>2012-05-31</t>
  </si>
  <si>
    <t>2012-06-30</t>
  </si>
  <si>
    <t>2012-07-31</t>
  </si>
  <si>
    <t>2012-08-31</t>
  </si>
  <si>
    <t>2012-09-30</t>
  </si>
  <si>
    <t>2012-10-31</t>
  </si>
  <si>
    <t>2012-11-30</t>
  </si>
  <si>
    <t>2012-12-31</t>
  </si>
  <si>
    <t>2013-01-31</t>
  </si>
  <si>
    <t>2013-02-28</t>
  </si>
  <si>
    <t>2013-03-31</t>
  </si>
  <si>
    <t>2013-04-30</t>
  </si>
  <si>
    <t>2013-05-31</t>
  </si>
  <si>
    <t>2013-06-30</t>
  </si>
  <si>
    <t>2013-07-31</t>
  </si>
  <si>
    <t>2013-08-31</t>
  </si>
  <si>
    <t>2013-09-30</t>
  </si>
  <si>
    <t>2013-10-31</t>
  </si>
  <si>
    <t>2013-11-30</t>
  </si>
  <si>
    <t>2013-12-31</t>
  </si>
  <si>
    <t>2014-01-31</t>
  </si>
  <si>
    <t>2014-02-28</t>
  </si>
  <si>
    <t>2014-03-31</t>
  </si>
  <si>
    <t>2014-04-30</t>
  </si>
  <si>
    <t>2014-05-31</t>
  </si>
  <si>
    <t>2014-06-30</t>
  </si>
  <si>
    <t>2014-07-31</t>
  </si>
  <si>
    <t>2014-08-31</t>
  </si>
  <si>
    <t>2014-09-30</t>
  </si>
  <si>
    <t>2014-10-31</t>
  </si>
  <si>
    <t>2014-11-30</t>
  </si>
  <si>
    <t>2014-12-31</t>
  </si>
  <si>
    <t>2015-01-31</t>
  </si>
  <si>
    <t>2015-02-28</t>
  </si>
  <si>
    <t>2015-03-31</t>
  </si>
  <si>
    <t>2015-04-30</t>
  </si>
  <si>
    <t>2015-05-31</t>
  </si>
  <si>
    <t>2015-06-30</t>
  </si>
  <si>
    <t>2015-07-31</t>
  </si>
  <si>
    <t>2015-08-31</t>
  </si>
  <si>
    <t>2015-09-30</t>
  </si>
  <si>
    <t>2015-10-31</t>
  </si>
  <si>
    <t>2015-11-30</t>
  </si>
  <si>
    <t>2015-12-31</t>
  </si>
  <si>
    <t>2016-01-31</t>
  </si>
  <si>
    <t>2016-02-29</t>
  </si>
  <si>
    <t>2016-03-31</t>
  </si>
  <si>
    <t>2016-04-30</t>
  </si>
  <si>
    <t>2016-05-31</t>
  </si>
  <si>
    <t>2016-06-30</t>
  </si>
  <si>
    <t>2016-07-31</t>
  </si>
  <si>
    <t>2016-08-31</t>
  </si>
  <si>
    <t>2016-09-30</t>
  </si>
  <si>
    <t>2016-10-31</t>
  </si>
  <si>
    <t>2016-11-30</t>
  </si>
  <si>
    <t>2016-12-31</t>
  </si>
  <si>
    <t>2017-01-31</t>
  </si>
  <si>
    <t>2017-02-28</t>
  </si>
  <si>
    <t>2017-03-31</t>
  </si>
  <si>
    <t>2017-04-30</t>
  </si>
  <si>
    <t>2017-05-31</t>
  </si>
  <si>
    <t>2017-06-30</t>
  </si>
  <si>
    <t>2017-07-31</t>
  </si>
  <si>
    <t>2017-08-31</t>
  </si>
  <si>
    <t>2017-09-30</t>
  </si>
  <si>
    <t>2017-10-31</t>
  </si>
  <si>
    <t>2017-11-30</t>
  </si>
  <si>
    <t>2017-12-31</t>
  </si>
  <si>
    <t>2018-01-31</t>
  </si>
  <si>
    <t>2018-02-28</t>
  </si>
  <si>
    <t>2018-03-31</t>
  </si>
  <si>
    <t>2018-04-30</t>
  </si>
  <si>
    <t>2018-05-31</t>
  </si>
  <si>
    <t>2018-06-30</t>
  </si>
  <si>
    <t>2018-07-31</t>
  </si>
  <si>
    <t>2018-08-31</t>
  </si>
  <si>
    <t>2018-09-30</t>
  </si>
  <si>
    <t>2018-10-31</t>
  </si>
  <si>
    <t>2018-11-30</t>
  </si>
  <si>
    <t>2018-12-31</t>
  </si>
  <si>
    <t>2019-01-31</t>
  </si>
  <si>
    <t>2019-02-28</t>
  </si>
  <si>
    <t>2019-03-31</t>
  </si>
  <si>
    <t>2019-04-30</t>
  </si>
  <si>
    <t>2019-05-31</t>
  </si>
  <si>
    <t>2019-06-30</t>
  </si>
  <si>
    <t>2019-07-31</t>
  </si>
  <si>
    <t>2019-08-31</t>
  </si>
  <si>
    <t>2019-09-30</t>
  </si>
  <si>
    <t>2019-10-31</t>
  </si>
  <si>
    <t>2019-11-30</t>
  </si>
  <si>
    <t>2019-12-31</t>
  </si>
  <si>
    <t>2020-01-31</t>
  </si>
  <si>
    <t>2020-02-29</t>
  </si>
  <si>
    <t>2020-03-31</t>
  </si>
  <si>
    <t>2020-04-30</t>
  </si>
  <si>
    <t>2020-05-31</t>
  </si>
  <si>
    <t>2020-06-30</t>
  </si>
  <si>
    <t>2020-07-31</t>
  </si>
  <si>
    <t>2020-08-31</t>
  </si>
  <si>
    <t>2020-09-30</t>
  </si>
  <si>
    <t>2020-10-31</t>
  </si>
  <si>
    <t>2020-11-30</t>
  </si>
  <si>
    <t>2020-12-31</t>
  </si>
  <si>
    <t>2021-01-31</t>
  </si>
  <si>
    <t>2021-02-28</t>
  </si>
  <si>
    <t>2021-03-31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</si>
  <si>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</si>
  <si>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</si>
  <si>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</si>
  <si>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</si>
  <si>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</si>
  <si>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</si>
  <si>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</si>
  <si>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</si>
  <si>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</si>
  <si>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</si>
  <si>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</si>
  <si>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</si>
  <si>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</si>
  <si>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</si>
  <si>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</si>
  <si>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</si>
  <si>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</si>
  <si>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</si>
  <si>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</si>
  <si>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</si>
  <si>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</si>
  <si>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</si>
  <si>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</si>
  <si>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</si>
  <si>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</si>
  <si>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</si>
  <si>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</si>
  <si>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</si>
  <si>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</si>
  <si>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</si>
  <si>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</si>
  <si>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</si>
  <si>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</si>
  <si>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</si>
  <si>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</si>
  <si>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</si>
  <si>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</si>
  <si>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</si>
  <si>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</si>
  <si>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</si>
  <si>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</si>
  <si>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Viteri Jojoa Luis Antonio</t>
  </si>
  <si>
    <t xml:space="preserve">Cuellar Gallo Jorge Enrique </t>
  </si>
  <si>
    <t>Saldarriaga Cataño Jairo</t>
  </si>
  <si>
    <t>1298 de 2006</t>
  </si>
  <si>
    <t>662 de 1995</t>
  </si>
  <si>
    <t>ACEPTADA r</t>
  </si>
  <si>
    <t>105 de 1996</t>
  </si>
  <si>
    <t>Linan Delfina Arocha Vda de</t>
  </si>
  <si>
    <t>215 de 1994</t>
  </si>
  <si>
    <t>Vargas Peña Rafael</t>
  </si>
  <si>
    <t>420 de 1982</t>
  </si>
  <si>
    <t>Guerra Gomez Lazaro</t>
  </si>
  <si>
    <t>594 de 1996</t>
  </si>
  <si>
    <t>Arrieta de Santero Claribel</t>
  </si>
  <si>
    <t>249 de 2002</t>
  </si>
  <si>
    <t>Barros Solano Manuel Maria</t>
  </si>
  <si>
    <t>2396 de 1989</t>
  </si>
  <si>
    <t>Rosado BarRíos jose Antonio</t>
  </si>
  <si>
    <t>721 de 1991</t>
  </si>
  <si>
    <t>Gomez Perdomo Gabriel</t>
  </si>
  <si>
    <t>1828 de 1983</t>
  </si>
  <si>
    <t>Mogollon Nuñez Jorge Eliecer</t>
  </si>
  <si>
    <t>2246 de 1982</t>
  </si>
  <si>
    <t>Cote de Niño Ligia</t>
  </si>
  <si>
    <t>683 de 1988</t>
  </si>
  <si>
    <t xml:space="preserve">Vidal Diaz Edgar Edilberto </t>
  </si>
  <si>
    <t>267 de 1997</t>
  </si>
  <si>
    <t>Ardila Uribe Cristobal</t>
  </si>
  <si>
    <t>1665 de 1993</t>
  </si>
  <si>
    <t>Carrillo Villamizar Jose Trini</t>
  </si>
  <si>
    <t>3157 de 2008</t>
  </si>
  <si>
    <t>Suarez Mootoo Bing Alberto</t>
  </si>
  <si>
    <t>3089 de 2007</t>
  </si>
  <si>
    <t>Perdomo de Rodriguez Mercedes</t>
  </si>
  <si>
    <t>193 de 1995</t>
  </si>
  <si>
    <t xml:space="preserve">Cerquera Fajardo Angela </t>
  </si>
  <si>
    <t>192 de 1995</t>
  </si>
  <si>
    <t>Serrato de Gomez Cecilia</t>
  </si>
  <si>
    <t>590 de 2002</t>
  </si>
  <si>
    <t xml:space="preserve">Moreno Chavarro Daniel </t>
  </si>
  <si>
    <t>815 de 2006</t>
  </si>
  <si>
    <t>Chanin Lizcano Yamile</t>
  </si>
  <si>
    <t>1217 de 2008</t>
  </si>
  <si>
    <t xml:space="preserve">Escobar Quino Alfrredo </t>
  </si>
  <si>
    <t>2509 de 2005</t>
  </si>
  <si>
    <t xml:space="preserve">Medina Galeano Pablo Emilio </t>
  </si>
  <si>
    <t>2457 de 2006</t>
  </si>
  <si>
    <t>Lugo Rodriguez Jorge</t>
  </si>
  <si>
    <t>1229 de 2006</t>
  </si>
  <si>
    <t>Salamanca Muñoz Segundo Arquim</t>
  </si>
  <si>
    <t>205 de 2006</t>
  </si>
  <si>
    <t xml:space="preserve">Díaz Heriberto </t>
  </si>
  <si>
    <t>258 de 2007</t>
  </si>
  <si>
    <t>Rojas Patiño Alvaro</t>
  </si>
  <si>
    <t>796 de 2008</t>
  </si>
  <si>
    <t>Lacera Ibarra Ricardo Antonio</t>
  </si>
  <si>
    <t>1661 de 1972</t>
  </si>
  <si>
    <t xml:space="preserve">Molina Brito Rafael Maria </t>
  </si>
  <si>
    <t>604 de 1990</t>
  </si>
  <si>
    <t>Solórzano Alvarado Vicente</t>
  </si>
  <si>
    <t>190 de 1983</t>
  </si>
  <si>
    <t>Banderas Ospino Neftali</t>
  </si>
  <si>
    <t>283 de 1983</t>
  </si>
  <si>
    <t>Fernández Ochoa Héctor Emilio</t>
  </si>
  <si>
    <t>1361 de 1991</t>
  </si>
  <si>
    <t>Martínez Figueredo Luis</t>
  </si>
  <si>
    <t>86 de 1991</t>
  </si>
  <si>
    <t>López Sequeda Pablo jose</t>
  </si>
  <si>
    <t>966 de 1997</t>
  </si>
  <si>
    <t xml:space="preserve">Guardiola Ríos Teresa Isabel </t>
  </si>
  <si>
    <t>2825 de 2005</t>
  </si>
  <si>
    <t>Osorio Rico Tarquino</t>
  </si>
  <si>
    <t>1685 de 2007</t>
  </si>
  <si>
    <t>Gaviria Guerrero Carlos Hugo</t>
  </si>
  <si>
    <t>91 de 1995</t>
  </si>
  <si>
    <t>Zarama Benavides Sonia</t>
  </si>
  <si>
    <t>93 de 1995</t>
  </si>
  <si>
    <t>Vela Guerrero Myriam del Rosar</t>
  </si>
  <si>
    <t>1225 de 1997</t>
  </si>
  <si>
    <t>Gamboa Insuasti Gerardo Vicent</t>
  </si>
  <si>
    <t>823 de 2006</t>
  </si>
  <si>
    <t>Vergel Torrado Hugo Alfonso</t>
  </si>
  <si>
    <t>630 de 1987</t>
  </si>
  <si>
    <t>Solano Caceres Jesus</t>
  </si>
  <si>
    <t>784 de 1987</t>
  </si>
  <si>
    <t>Martinez Morales Miguel Antoni</t>
  </si>
  <si>
    <t>782 de 1994</t>
  </si>
  <si>
    <t>Peñaranda Peñaranda Onofre</t>
  </si>
  <si>
    <t>473 de 1994</t>
  </si>
  <si>
    <t>Gereda Sanchez Marína</t>
  </si>
  <si>
    <t>486 de 1995</t>
  </si>
  <si>
    <t>Soto Irma Martha</t>
  </si>
  <si>
    <t>697 de 1997</t>
  </si>
  <si>
    <t>Trujillo Valdes Carmen Teresa</t>
  </si>
  <si>
    <t>304 de 1998</t>
  </si>
  <si>
    <t>Quintero Becerra Graciela</t>
  </si>
  <si>
    <t>878 de 1999</t>
  </si>
  <si>
    <t>Beltran Gamboa Samuel Guillerm</t>
  </si>
  <si>
    <t>2532 de 2005</t>
  </si>
  <si>
    <t>Corredor Peñaranda Luis Robert</t>
  </si>
  <si>
    <t>327 de 2006</t>
  </si>
  <si>
    <t>Vera Ramirez Natalio</t>
  </si>
  <si>
    <t>326 de 2006</t>
  </si>
  <si>
    <t xml:space="preserve">Perez Franco William </t>
  </si>
  <si>
    <t>2614 de 2005</t>
  </si>
  <si>
    <t>Lizarazo de Caceres Ana Esther</t>
  </si>
  <si>
    <t>323 de 2006</t>
  </si>
  <si>
    <t>Chinchilla Celis jose Diogenes</t>
  </si>
  <si>
    <t>701 de 2006</t>
  </si>
  <si>
    <t xml:space="preserve">Garcia Acevedo Luis Alberto </t>
  </si>
  <si>
    <t>1648 de 2007</t>
  </si>
  <si>
    <t>Aldana Zapata Lorenzo Eduardo</t>
  </si>
  <si>
    <t>3169 de 2009</t>
  </si>
  <si>
    <t xml:space="preserve">Pastrana Moreno Eduardo </t>
  </si>
  <si>
    <t>2425 de 2009</t>
  </si>
  <si>
    <t xml:space="preserve">Mendoza Falon Rosa Maria </t>
  </si>
  <si>
    <t>1642 de 1981</t>
  </si>
  <si>
    <t>Benjumea Duque Manuel Salvador</t>
  </si>
  <si>
    <t>421 de 1995</t>
  </si>
  <si>
    <t xml:space="preserve">Lamboglia Rodriguez Carmen de </t>
  </si>
  <si>
    <t>1014 de 1997</t>
  </si>
  <si>
    <t xml:space="preserve">Morales Zabala Auxiliadora </t>
  </si>
  <si>
    <t>1384 de 2004</t>
  </si>
  <si>
    <t xml:space="preserve">Barrera López Edith Stella </t>
  </si>
  <si>
    <t>1207 de 2005</t>
  </si>
  <si>
    <t>OBJETADA r</t>
  </si>
  <si>
    <t xml:space="preserve">Mestra Lugo Arnaldo Enrique </t>
  </si>
  <si>
    <t>2070 de 2005</t>
  </si>
  <si>
    <t>Santos de Tamayo Doris Socorro</t>
  </si>
  <si>
    <t>195 de 2006</t>
  </si>
  <si>
    <t xml:space="preserve">Martínez Pinto Adolfo Benito </t>
  </si>
  <si>
    <t>1025 de 2006</t>
  </si>
  <si>
    <t>López Martínez Mario de Jesus</t>
  </si>
  <si>
    <t>151 de 2007</t>
  </si>
  <si>
    <t>Cabarcas Sanchez Jorge Elias</t>
  </si>
  <si>
    <t>1857 de 2007</t>
  </si>
  <si>
    <t xml:space="preserve">Murillo Hernández Luis Manuel </t>
  </si>
  <si>
    <t>732 de 2008</t>
  </si>
  <si>
    <t>Barrios Cantero Alfredo Manuel</t>
  </si>
  <si>
    <t>797 de 2008</t>
  </si>
  <si>
    <t>De los Reyes Eustorgio Gerardo</t>
  </si>
  <si>
    <t>1558 de 1983</t>
  </si>
  <si>
    <t>Bobadilla Gutierrez Victor Alb</t>
  </si>
  <si>
    <t>2071 de 1992</t>
  </si>
  <si>
    <t xml:space="preserve">Esquivel Feliz Maria </t>
  </si>
  <si>
    <t>798 de 1977</t>
  </si>
  <si>
    <t>Marquez de Obando Blanca Lilia</t>
  </si>
  <si>
    <t>707 de 1979</t>
  </si>
  <si>
    <t>Reyes Quezada Alonso</t>
  </si>
  <si>
    <t>121 de 1992</t>
  </si>
  <si>
    <t>Garcia Guzman Cesar</t>
  </si>
  <si>
    <t>263 de 1992</t>
  </si>
  <si>
    <t xml:space="preserve">Sierra Tovar Gloria </t>
  </si>
  <si>
    <t>67 de 1992</t>
  </si>
  <si>
    <t>Guzman de Martinez Cecilia</t>
  </si>
  <si>
    <t>789 de 1992</t>
  </si>
  <si>
    <t>Perez de Rincon Gloria Eddy</t>
  </si>
  <si>
    <t>487 de 1995</t>
  </si>
  <si>
    <t>Thomas Castellanos Miguel Segu</t>
  </si>
  <si>
    <t>740 de 1995</t>
  </si>
  <si>
    <t>Rodas Oviedo Simon</t>
  </si>
  <si>
    <t>885 de 1997</t>
  </si>
  <si>
    <t>Aceptada r</t>
  </si>
  <si>
    <t>Gomez de Arango Dora Melania</t>
  </si>
  <si>
    <t>1230 de 1997</t>
  </si>
  <si>
    <t>Vidal Leguizamo Amalia</t>
  </si>
  <si>
    <t>1296 de 2003</t>
  </si>
  <si>
    <t>Huertas de Parra Gladys Marlen</t>
  </si>
  <si>
    <t>1339 de 2007</t>
  </si>
  <si>
    <t>Salamanca Florez Edgar</t>
  </si>
  <si>
    <t>1026 de 2006</t>
  </si>
  <si>
    <t xml:space="preserve">Lozano Ramirez jose Antonio </t>
  </si>
  <si>
    <t>1211 de 2007</t>
  </si>
  <si>
    <t xml:space="preserve">Mendez Jesus Gerardo </t>
  </si>
  <si>
    <t>2224 de 2008</t>
  </si>
  <si>
    <t>Uribe de Correa Maria Mirtha</t>
  </si>
  <si>
    <t>40021 de 1995</t>
  </si>
  <si>
    <t>Escobar Duque Hector</t>
  </si>
  <si>
    <t>37 de 1990</t>
  </si>
  <si>
    <t>Castro de Restrepo Lyla Ines</t>
  </si>
  <si>
    <t>700 de 1995</t>
  </si>
  <si>
    <t>Freja Vda de Silva Celia Maria</t>
  </si>
  <si>
    <t>1996 de 1986</t>
  </si>
  <si>
    <t>Betancur Alvarez Olga Lucia</t>
  </si>
  <si>
    <t>2763 de 2007</t>
  </si>
  <si>
    <t>Garcia Garcia Guillermo</t>
  </si>
  <si>
    <t>1054 de 2006</t>
  </si>
  <si>
    <t>Obyrne Dorado Norma</t>
  </si>
  <si>
    <t>1896 de 2006</t>
  </si>
  <si>
    <t>Cordoba Narvaez Elba Josefina</t>
  </si>
  <si>
    <t>128 de 2008</t>
  </si>
  <si>
    <t xml:space="preserve">Prado Choles Héctor Emilio </t>
  </si>
  <si>
    <t>1512 de 2006</t>
  </si>
  <si>
    <t>Manchola Lastra Rosalba</t>
  </si>
  <si>
    <t>962 de 1997</t>
  </si>
  <si>
    <t>Molina Fernández Martha Cecili</t>
  </si>
  <si>
    <t>1869 de 2008</t>
  </si>
  <si>
    <t>Blandon Lotero Victor Fernando</t>
  </si>
  <si>
    <t>2038 de 2007</t>
  </si>
  <si>
    <t>Salazar Castro Jose Humberto</t>
  </si>
  <si>
    <t>3093 de 2007</t>
  </si>
  <si>
    <t xml:space="preserve">Leon Delgado Martha Eudoxia </t>
  </si>
  <si>
    <t>372 de 1991</t>
  </si>
  <si>
    <t>Chaparro Hernandez Pablo Emili</t>
  </si>
  <si>
    <t>2 de 1967</t>
  </si>
  <si>
    <t xml:space="preserve">Gomez Vargas Luis Alberto </t>
  </si>
  <si>
    <t>475 de 1977</t>
  </si>
  <si>
    <t>Baquero Peña Jorge Enrique</t>
  </si>
  <si>
    <t>86 de 1978</t>
  </si>
  <si>
    <t xml:space="preserve">Infante Villarraga Misael </t>
  </si>
  <si>
    <t>1072 de 1979</t>
  </si>
  <si>
    <t>Jaimes Miguel</t>
  </si>
  <si>
    <t>452 de 1981</t>
  </si>
  <si>
    <t>Ruiz de Murillo Leonor</t>
  </si>
  <si>
    <t>1080 de 1981</t>
  </si>
  <si>
    <t>Gomez de Ontiveros Ana Teresa</t>
  </si>
  <si>
    <t>2351 de 1982</t>
  </si>
  <si>
    <t xml:space="preserve">Velandia Gabino </t>
  </si>
  <si>
    <t>994 de 1988</t>
  </si>
  <si>
    <t>Gutierrez Acero Flor Angela</t>
  </si>
  <si>
    <t>94 de 1983</t>
  </si>
  <si>
    <t>Quiceno Salazar Jaime</t>
  </si>
  <si>
    <t>1987 de 1984</t>
  </si>
  <si>
    <t xml:space="preserve">Clavijo Quiroga Luis Felipe </t>
  </si>
  <si>
    <t>761 de 1985</t>
  </si>
  <si>
    <t xml:space="preserve">Cuervo Tamayo Hernando </t>
  </si>
  <si>
    <t>352 de 1989</t>
  </si>
  <si>
    <t xml:space="preserve">Hernandez de Garcia Marína </t>
  </si>
  <si>
    <t>81 de 1991</t>
  </si>
  <si>
    <t>Aldana Chiquito Agustin</t>
  </si>
  <si>
    <t>48 de 1991</t>
  </si>
  <si>
    <t>Rodriguez Garcia Alfonso</t>
  </si>
  <si>
    <t>1439 de 1992</t>
  </si>
  <si>
    <t>Fuentes Liñan Luidys</t>
  </si>
  <si>
    <t>92 de 1995</t>
  </si>
  <si>
    <t>Caro Correa Alcira</t>
  </si>
  <si>
    <t>27 de 1995</t>
  </si>
  <si>
    <t>Nova Valbuena Dario Gonzalo</t>
  </si>
  <si>
    <t>2735 de 1997</t>
  </si>
  <si>
    <t>Alonso Ramirez Rosario</t>
  </si>
  <si>
    <t>1345 de 1996</t>
  </si>
  <si>
    <t>Zamudio de Ruiz Teresa</t>
  </si>
  <si>
    <t>888 de 1997</t>
  </si>
  <si>
    <t>Sabogal de Rodriguez Julia Mar</t>
  </si>
  <si>
    <t>699 de 1997</t>
  </si>
  <si>
    <t xml:space="preserve">Martínez Rodriguez Rosalba </t>
  </si>
  <si>
    <t>696 de 1997</t>
  </si>
  <si>
    <t>Villafradez Lozano Flor Alba</t>
  </si>
  <si>
    <t>700 de 1997</t>
  </si>
  <si>
    <t>Kury de Janer Amparo</t>
  </si>
  <si>
    <t>168 de 2000</t>
  </si>
  <si>
    <t>Castro Carrillo Crispin Alfred</t>
  </si>
  <si>
    <t>1921 de 2001</t>
  </si>
  <si>
    <t>Alarcon Vanegas Rosa</t>
  </si>
  <si>
    <t>822 de 2006</t>
  </si>
  <si>
    <t>SILENCIO</t>
  </si>
  <si>
    <t>Castañeda Vejarano Gloria Elvi</t>
  </si>
  <si>
    <t>464 de 2006</t>
  </si>
  <si>
    <t>Porras Rubio Hernando Francisc</t>
  </si>
  <si>
    <t>2787 de 2005</t>
  </si>
  <si>
    <t xml:space="preserve">Villamizar Díaz Gilberto </t>
  </si>
  <si>
    <t>2826 de 2005</t>
  </si>
  <si>
    <t>Beltran Capador Néstor Hernand</t>
  </si>
  <si>
    <t>1494 de 2006</t>
  </si>
  <si>
    <t xml:space="preserve">Bernal Gonzalez Luis Jairo </t>
  </si>
  <si>
    <t>1123 de 2006</t>
  </si>
  <si>
    <t>Rodriguez Espitia Guillermo</t>
  </si>
  <si>
    <t>773 de 2006</t>
  </si>
  <si>
    <t xml:space="preserve">Becerra Corredor Ana Cecilia </t>
  </si>
  <si>
    <t>908 de 2006</t>
  </si>
  <si>
    <t>Davila Murillo Hugo Dario</t>
  </si>
  <si>
    <t>1209 de 2006</t>
  </si>
  <si>
    <t xml:space="preserve">Puentes Ortiz Pablo Antonio </t>
  </si>
  <si>
    <t>1165 de 2006</t>
  </si>
  <si>
    <t>Roncancio Buitrago Luis Carlos</t>
  </si>
  <si>
    <t>2346 de 2006</t>
  </si>
  <si>
    <t>Quejada Ramirez Nestor</t>
  </si>
  <si>
    <t>1951 de 2006</t>
  </si>
  <si>
    <t xml:space="preserve">Palencia Gomez Héctor Armando </t>
  </si>
  <si>
    <t>1261 de 2006</t>
  </si>
  <si>
    <t>Muñoz Baracaldo Juan Ramon</t>
  </si>
  <si>
    <t>1948 de 2006</t>
  </si>
  <si>
    <t>Davila Garay Edith</t>
  </si>
  <si>
    <t>2352 de 2006</t>
  </si>
  <si>
    <t>OBJ - SIL r</t>
  </si>
  <si>
    <t xml:space="preserve">Agudelo Acevedo Julio Alberto </t>
  </si>
  <si>
    <t>1293 de 2006</t>
  </si>
  <si>
    <t>Narvaez de Lopez Lucia Colombi</t>
  </si>
  <si>
    <t>2349 de 2006</t>
  </si>
  <si>
    <t>Rincon Ventero Martha Elena</t>
  </si>
  <si>
    <t>1823 de 2006</t>
  </si>
  <si>
    <t>SIL r - OBJ r</t>
  </si>
  <si>
    <t>Carrillo Rangel Nelson</t>
  </si>
  <si>
    <t>375 de 2007</t>
  </si>
  <si>
    <t>Gutierrez de Garavito Gladys</t>
  </si>
  <si>
    <t>970 de 2007</t>
  </si>
  <si>
    <t xml:space="preserve">Aponte Santos Gilberto de las </t>
  </si>
  <si>
    <t>893 de 2007</t>
  </si>
  <si>
    <t>Ramirez Monroy Cielo de Jesus</t>
  </si>
  <si>
    <t>2172 de 2007</t>
  </si>
  <si>
    <t>Baquero Barrera Luz Amanda</t>
  </si>
  <si>
    <t>2784 de 2007</t>
  </si>
  <si>
    <t>Marín Castro Sofia Esperanza d</t>
  </si>
  <si>
    <t>624 de 2008</t>
  </si>
  <si>
    <t>Roa Valdicieso Humberto</t>
  </si>
  <si>
    <t>1311 de 2008</t>
  </si>
  <si>
    <t xml:space="preserve">Amortegui Soler Alvaro </t>
  </si>
  <si>
    <t>70 de 2009</t>
  </si>
  <si>
    <t>Herrera de Sanchez Blanca Ceci</t>
  </si>
  <si>
    <t>2492 de 2009</t>
  </si>
  <si>
    <t>Ramirez Garcia Epifanio</t>
  </si>
  <si>
    <t>1453 de 2009</t>
  </si>
  <si>
    <t>Chavez Rodriguez Moises</t>
  </si>
  <si>
    <t>1450 de 2009</t>
  </si>
  <si>
    <t>Beltran Romero Carlos Antonio</t>
  </si>
  <si>
    <t>2009 de 2009</t>
  </si>
  <si>
    <t>Vargas Gallego Javier</t>
  </si>
  <si>
    <t>2333 de 2007</t>
  </si>
  <si>
    <t>Granada Mejia Gustavo</t>
  </si>
  <si>
    <t>923 de 1995</t>
  </si>
  <si>
    <t xml:space="preserve">Mora Cardona Alberto  </t>
  </si>
  <si>
    <t>1445 de 2007</t>
  </si>
  <si>
    <t xml:space="preserve">Vargas Villanueva jose Norbey </t>
  </si>
  <si>
    <t>828 de 2006</t>
  </si>
  <si>
    <t>Villegas Zuluaga Amanda</t>
  </si>
  <si>
    <t>1815 de 1999</t>
  </si>
  <si>
    <t>Ramirez Mora Maria Teresa</t>
  </si>
  <si>
    <t>164 de 2007</t>
  </si>
  <si>
    <t xml:space="preserve">Chacon Cardona Gustavo </t>
  </si>
  <si>
    <t>2657 de 2008</t>
  </si>
  <si>
    <t>Morales Posada jose Rubio</t>
  </si>
  <si>
    <t>277 de 1997</t>
  </si>
  <si>
    <t>Acosta Altamiranda Miguel</t>
  </si>
  <si>
    <t>Bolivar Navarro Pedro Crisolog</t>
  </si>
  <si>
    <t>142 de 1977</t>
  </si>
  <si>
    <t>Maury Ariza Gloria</t>
  </si>
  <si>
    <t>1669 de 1982</t>
  </si>
  <si>
    <t>Ardila de Maury Maria del Soco</t>
  </si>
  <si>
    <t>2444 de 1984</t>
  </si>
  <si>
    <t xml:space="preserve">Jiménez Molina Evelio Cesar </t>
  </si>
  <si>
    <t>1379 de 1988</t>
  </si>
  <si>
    <t>De Oro Hoare josefina</t>
  </si>
  <si>
    <t>2069 de 1992</t>
  </si>
  <si>
    <t xml:space="preserve">Camacho Stand Miryam Stella </t>
  </si>
  <si>
    <t>7 de 2002</t>
  </si>
  <si>
    <t>Sierra Insignares Hernando Ant</t>
  </si>
  <si>
    <t>2326 de 2007</t>
  </si>
  <si>
    <t>Tuesca de Morales Mercedes Ele</t>
  </si>
  <si>
    <t>289 de 1998</t>
  </si>
  <si>
    <t>Gutierrez Lafaurie Orlando</t>
  </si>
  <si>
    <t>1469 de 1972</t>
  </si>
  <si>
    <t>NO CONSULTADA r</t>
  </si>
  <si>
    <t>Correa Torres Ruby Lucia</t>
  </si>
  <si>
    <t>1575 de 2006</t>
  </si>
  <si>
    <t>Casale Sierra Carmen</t>
  </si>
  <si>
    <t>253 de 1990</t>
  </si>
  <si>
    <t>Quintero Valverde Rafael Omar</t>
  </si>
  <si>
    <t>1309 de 2006</t>
  </si>
  <si>
    <t>Perla de Alonso Maria Eugenia</t>
  </si>
  <si>
    <t>864 de 2009</t>
  </si>
  <si>
    <t>Sanchez Espinosa Ramon Josue</t>
  </si>
  <si>
    <t>219 de 2000</t>
  </si>
  <si>
    <t>Murillo Gelvez Luis Jose</t>
  </si>
  <si>
    <t>2358 de 2006</t>
  </si>
  <si>
    <t>Falck Gomez Pedro Rafael</t>
  </si>
  <si>
    <t>627 de 1988</t>
  </si>
  <si>
    <t>Suarez Diaz Eduardo Enrique</t>
  </si>
  <si>
    <t>1350 de 2006</t>
  </si>
  <si>
    <t>Velasco Rueda Fernando</t>
  </si>
  <si>
    <t>463 de 2006</t>
  </si>
  <si>
    <t xml:space="preserve">Mantilla Prada Reinaldo </t>
  </si>
  <si>
    <t>2502 de 2008</t>
  </si>
  <si>
    <t>Medina de Clavijo Amelia</t>
  </si>
  <si>
    <t>537 de 1979</t>
  </si>
  <si>
    <t xml:space="preserve">Crispin Landinez Pedro Nel </t>
  </si>
  <si>
    <t>589 de 1988</t>
  </si>
  <si>
    <t>Suarez de Villamizar Ana Benil</t>
  </si>
  <si>
    <t>723 de 1991</t>
  </si>
  <si>
    <t>Ochoa Pabon Pedro jose</t>
  </si>
  <si>
    <t>1013 de 1993</t>
  </si>
  <si>
    <t>Carrillo de Ardila Fanny Crist</t>
  </si>
  <si>
    <t>846 de 1994</t>
  </si>
  <si>
    <t>Muñoz Prados Alberto Olavo</t>
  </si>
  <si>
    <t>627 de 1995</t>
  </si>
  <si>
    <t xml:space="preserve">Patarroyo Roa jose Trinidad </t>
  </si>
  <si>
    <t>317 de 2001</t>
  </si>
  <si>
    <t>Roa Vargas Hernando</t>
  </si>
  <si>
    <t>890 de 2003</t>
  </si>
  <si>
    <t xml:space="preserve">Saavedra Duarte Gerardo </t>
  </si>
  <si>
    <t>797 de 2002</t>
  </si>
  <si>
    <t>Figueroa Velasco Luis Oriel</t>
  </si>
  <si>
    <t>1320 de 2004</t>
  </si>
  <si>
    <t>Tello Pedraza Ovidio</t>
  </si>
  <si>
    <t>39 de 2005</t>
  </si>
  <si>
    <t>Chahin Lizcano Yamile</t>
  </si>
  <si>
    <t>Palmera Rodriguez Maria Helena</t>
  </si>
  <si>
    <t>2738 de 2005</t>
  </si>
  <si>
    <t>Herrera Remolina Salomon</t>
  </si>
  <si>
    <t>51 de 2006</t>
  </si>
  <si>
    <t>Velandia Mora Apolinar</t>
  </si>
  <si>
    <t>1683 de 2006</t>
  </si>
  <si>
    <t>Arteaga Castillo Rafael Antoni</t>
  </si>
  <si>
    <t>705 de 2006</t>
  </si>
  <si>
    <t>Aparicio Rincon Luis Felipe</t>
  </si>
  <si>
    <t>812 de 2006</t>
  </si>
  <si>
    <t>Barba Barba Gustavo</t>
  </si>
  <si>
    <t>821 de 2006</t>
  </si>
  <si>
    <t>López Julio Moises Salvador</t>
  </si>
  <si>
    <t>1294 de 2006</t>
  </si>
  <si>
    <t>Rosales Barrera Héctor Ariel</t>
  </si>
  <si>
    <t>194 de 2007</t>
  </si>
  <si>
    <t>Blanco Rincon Cecilia</t>
  </si>
  <si>
    <t>1336 de 2007</t>
  </si>
  <si>
    <t>Parra Mantilla jose Antonio</t>
  </si>
  <si>
    <t>2438 de 2007</t>
  </si>
  <si>
    <t xml:space="preserve">Heredia de Ariza Rosa Amelia </t>
  </si>
  <si>
    <t>37 de 2008</t>
  </si>
  <si>
    <t xml:space="preserve">Rondon Ordoñez Jaime </t>
  </si>
  <si>
    <t>1942 de 2007</t>
  </si>
  <si>
    <t xml:space="preserve">Uribe Marquez Hernando </t>
  </si>
  <si>
    <t>3179 de 2008</t>
  </si>
  <si>
    <t>Acelas Mejia Libardo</t>
  </si>
  <si>
    <t>Moreno Ortiz Maria Isabel</t>
  </si>
  <si>
    <t>428 de 2007</t>
  </si>
  <si>
    <t>Aleman Mojenes Guillermo</t>
  </si>
  <si>
    <t>3512 de 2008</t>
  </si>
  <si>
    <t xml:space="preserve">Lozano Bonilla Luis Ramon </t>
  </si>
  <si>
    <t>2220 de 2008</t>
  </si>
  <si>
    <t>Parra Mantilla Jose Antonio</t>
  </si>
  <si>
    <t>Gualdron Gomez Efrain</t>
  </si>
  <si>
    <t>1685 de 2006</t>
  </si>
  <si>
    <t>Montoya de Ramos Ligia</t>
  </si>
  <si>
    <t>254 de 1990</t>
  </si>
  <si>
    <t>Cañizares de Salas Ninfa Anton</t>
  </si>
  <si>
    <t>1057 de 1995</t>
  </si>
  <si>
    <t>Rivas Palacios Alexis Mardomio</t>
  </si>
  <si>
    <t>949 de 1999</t>
  </si>
  <si>
    <t>Martinez Rojas Ricardo</t>
  </si>
  <si>
    <t>154 de 2007</t>
  </si>
  <si>
    <t>Serrano de Caicedo Nelsy Marie</t>
  </si>
  <si>
    <t>636 de 1988</t>
  </si>
  <si>
    <t>Gomez de Saavedra Ilia</t>
  </si>
  <si>
    <t>628 de 1988</t>
  </si>
  <si>
    <t>Perez Pulido Carolina</t>
  </si>
  <si>
    <t>556 de 1990</t>
  </si>
  <si>
    <t>Agudelo Reyes Mariela</t>
  </si>
  <si>
    <t>900 de 1995</t>
  </si>
  <si>
    <t>Nora Maria Morales Coll</t>
  </si>
  <si>
    <t>1313 de 1984</t>
  </si>
  <si>
    <t>Ocampo Patiño Nelson</t>
  </si>
  <si>
    <t>351 de 2005</t>
  </si>
  <si>
    <t>Peñaranda Velez Rafael</t>
  </si>
  <si>
    <t>935 de 2009</t>
  </si>
  <si>
    <t>Guiza Amaya Jose Seiggubar</t>
  </si>
  <si>
    <t>1959 de 2007</t>
  </si>
  <si>
    <t>Dominguez Paredes Hernan pompi</t>
  </si>
  <si>
    <t>714 de 1984</t>
  </si>
  <si>
    <t>Diago Solano Tito Gerardo</t>
  </si>
  <si>
    <t>579 de 1995</t>
  </si>
  <si>
    <t>Potes Garcia Amparo</t>
  </si>
  <si>
    <t>350 de 1996</t>
  </si>
  <si>
    <t>Castro Estrada Luis Pere</t>
  </si>
  <si>
    <t>502 de 2006</t>
  </si>
  <si>
    <t>Bastidas Palacios Leonardo Sal</t>
  </si>
  <si>
    <t>3634 de 2009</t>
  </si>
  <si>
    <t xml:space="preserve">Rivera Graffe Demetrio </t>
  </si>
  <si>
    <t>1268 de 1977</t>
  </si>
  <si>
    <t>Cifuentes Riomaña Carlos Artur</t>
  </si>
  <si>
    <t>972 de 1979</t>
  </si>
  <si>
    <t>Morales Coll Nora</t>
  </si>
  <si>
    <t>Gomez Cobo Oscar Aurelio</t>
  </si>
  <si>
    <t>422 de 1986</t>
  </si>
  <si>
    <t>Aramburo Borrero Hernando</t>
  </si>
  <si>
    <t>697 de 1987</t>
  </si>
  <si>
    <t xml:space="preserve">Lenis Satizabal Noel </t>
  </si>
  <si>
    <t>790 de 1989</t>
  </si>
  <si>
    <t>Rodriguez Flower</t>
  </si>
  <si>
    <t>1395 de 1992</t>
  </si>
  <si>
    <t>Arrunategui Sandoval Elizabeth</t>
  </si>
  <si>
    <t>242 de 1997</t>
  </si>
  <si>
    <t>Martínez Echeverri Mario Noel</t>
  </si>
  <si>
    <t>1342 de 2004</t>
  </si>
  <si>
    <t>Valencia Arias Jaime</t>
  </si>
  <si>
    <t>2479 de 2008</t>
  </si>
  <si>
    <t>Rojas Rojas Doris</t>
  </si>
  <si>
    <t>2860 de 2009</t>
  </si>
  <si>
    <t xml:space="preserve">Bustamante Alvarez Mauricio </t>
  </si>
  <si>
    <t>246 de 2006</t>
  </si>
  <si>
    <t>Bolaños Gutierrez Jorge Olimpo</t>
  </si>
  <si>
    <t>12407 de 1970</t>
  </si>
  <si>
    <t>Mejia Arango Marino</t>
  </si>
  <si>
    <t>16879 de 1971</t>
  </si>
  <si>
    <t>Zota Camacho Carlos</t>
  </si>
  <si>
    <t>1365 de 1973</t>
  </si>
  <si>
    <t>Moscoso Riveros Guillermo</t>
  </si>
  <si>
    <t>2254 de 1973</t>
  </si>
  <si>
    <t>Calvo Rojas German</t>
  </si>
  <si>
    <t>868 de 1980</t>
  </si>
  <si>
    <t>Bejarano Victoria Marco Antoni</t>
  </si>
  <si>
    <t>1193 de 1983</t>
  </si>
  <si>
    <t>Cañón Murcia Rafael</t>
  </si>
  <si>
    <t>1987 de 1986</t>
  </si>
  <si>
    <t>Cruz Gomez Fabio Hebert</t>
  </si>
  <si>
    <t>364 de 1988</t>
  </si>
  <si>
    <t>Gomez Garcia Feliz Hernando</t>
  </si>
  <si>
    <t>353 de 1989</t>
  </si>
  <si>
    <t>Llanos Ochoa Adolfo Leon</t>
  </si>
  <si>
    <t>2203 de 1989</t>
  </si>
  <si>
    <t>Viveros jose Eladio</t>
  </si>
  <si>
    <t>97 de 1993</t>
  </si>
  <si>
    <t>Tasama Jaime</t>
  </si>
  <si>
    <t>60 de 1994</t>
  </si>
  <si>
    <t>Ospina de Aponte Melida</t>
  </si>
  <si>
    <t>59 de 1995</t>
  </si>
  <si>
    <t>Tamayo de Ramirez Cenobia</t>
  </si>
  <si>
    <t>243 de 1996</t>
  </si>
  <si>
    <t>Vaca de Alvarez Ana Beatriz</t>
  </si>
  <si>
    <t>133 de 1996</t>
  </si>
  <si>
    <t>Arias Betancourt Nelly</t>
  </si>
  <si>
    <t>1231 de 1997</t>
  </si>
  <si>
    <t>Fierro Héctor Emilio</t>
  </si>
  <si>
    <t>952 de 1999</t>
  </si>
  <si>
    <t>Victoria Escobar Ernesto Artur</t>
  </si>
  <si>
    <t>329 de 2002</t>
  </si>
  <si>
    <t>Barberena Tascón Camilo</t>
  </si>
  <si>
    <t>890 de 2002</t>
  </si>
  <si>
    <t xml:space="preserve">Gaviria de Peña Miryam </t>
  </si>
  <si>
    <t>3110 de 2007</t>
  </si>
  <si>
    <t>Mosquera Montes Martha Cecilia</t>
  </si>
  <si>
    <t>2749 de 2008</t>
  </si>
  <si>
    <t>Molina Posu Jorge Eliecer</t>
  </si>
  <si>
    <t>2492 de 2008</t>
  </si>
  <si>
    <t xml:space="preserve">Diaz Rayo Carlos Alberto </t>
  </si>
  <si>
    <t>201 de 1988</t>
  </si>
  <si>
    <t>Ortiz Guerrero Orlando - Sust.</t>
  </si>
  <si>
    <t>25 de 1976</t>
  </si>
  <si>
    <t xml:space="preserve">Martínez Tono Rodolfo </t>
  </si>
  <si>
    <t>1074 de 1977</t>
  </si>
  <si>
    <t>Gonzalez Martelo Remigio</t>
  </si>
  <si>
    <t>350 de 1980</t>
  </si>
  <si>
    <t>Carbonell Gutierrez Julio Cesa</t>
  </si>
  <si>
    <t>1670 de 1982</t>
  </si>
  <si>
    <t>Guete de Pertuz Dionisia</t>
  </si>
  <si>
    <t>985 de 1981</t>
  </si>
  <si>
    <t>Dominguez Marquez Rafael - Sus</t>
  </si>
  <si>
    <t>1009 de 1985</t>
  </si>
  <si>
    <t>Mora Zambrano Rosa</t>
  </si>
  <si>
    <t>525 de 1987</t>
  </si>
  <si>
    <t>Maya Benites Maria Elena</t>
  </si>
  <si>
    <t>462 de 1993</t>
  </si>
  <si>
    <t>Piñeres Palomino Carmen</t>
  </si>
  <si>
    <t>670 de 2001</t>
  </si>
  <si>
    <t>Perea Perea Enor Dalila</t>
  </si>
  <si>
    <t>914 de 2003</t>
  </si>
  <si>
    <t>Montalvo de Locarno Maria de l</t>
  </si>
  <si>
    <t>201 de 2006</t>
  </si>
  <si>
    <t>Ramos Villamil Felix</t>
  </si>
  <si>
    <t>247 de 2006</t>
  </si>
  <si>
    <t>Romero Alvarez Manuel Ramon</t>
  </si>
  <si>
    <t>197 de 2006</t>
  </si>
  <si>
    <t xml:space="preserve">Berrio Vanegas Avelina </t>
  </si>
  <si>
    <t>1061 de 2006</t>
  </si>
  <si>
    <t>Pineda Simancas Carlos</t>
  </si>
  <si>
    <t>2632 de 2005</t>
  </si>
  <si>
    <t>Valenzuela Puerta jose Agapito</t>
  </si>
  <si>
    <t>2633 de 2005</t>
  </si>
  <si>
    <t>Orozco Pacheco Sebastian</t>
  </si>
  <si>
    <t>998 de 2008</t>
  </si>
  <si>
    <t>Palacios Bermudez Héctor Anton</t>
  </si>
  <si>
    <t>2405 de 2007</t>
  </si>
  <si>
    <t>Varela Roldan Raquel</t>
  </si>
  <si>
    <t>331 de 1994</t>
  </si>
  <si>
    <t>Burgos Verbel Andres</t>
  </si>
  <si>
    <t>249 de 1996</t>
  </si>
  <si>
    <t>Perez Gomez Jorge</t>
  </si>
  <si>
    <t>383 de 1997</t>
  </si>
  <si>
    <t>Bonilla Bolivar Maria Irma</t>
  </si>
  <si>
    <t>261 de 1997</t>
  </si>
  <si>
    <t>Antolinez Vera Antonio</t>
  </si>
  <si>
    <t>1688 de 2006</t>
  </si>
  <si>
    <t>Urbina jose Rafael</t>
  </si>
  <si>
    <t>1650 de 2005</t>
  </si>
  <si>
    <t>Osorio Contreras Jesus Alejand</t>
  </si>
  <si>
    <t>325 de 2006</t>
  </si>
  <si>
    <t xml:space="preserve">Uribe Victor Manuel </t>
  </si>
  <si>
    <t>1895 de 2006</t>
  </si>
  <si>
    <t>935 de 1979</t>
  </si>
  <si>
    <t>Sanchez López Abilio</t>
  </si>
  <si>
    <t>1362 de 1991</t>
  </si>
  <si>
    <t>31-Dec-13</t>
  </si>
  <si>
    <t xml:space="preserve">Silva Jiménez Daniel Angel </t>
  </si>
  <si>
    <t>2057 de 2005</t>
  </si>
  <si>
    <t>Gallego Vargas Hernando</t>
  </si>
  <si>
    <t>420 de 1995</t>
  </si>
  <si>
    <t>OBJETADA</t>
  </si>
  <si>
    <t>Cardona Cardona Jose Domingo</t>
  </si>
  <si>
    <t>1 de 1968</t>
  </si>
  <si>
    <t>Gutierrez Arango Pablo</t>
  </si>
  <si>
    <t>940 de 1975</t>
  </si>
  <si>
    <t>Giraldo Cardona Eduardo</t>
  </si>
  <si>
    <t>799 de 1977</t>
  </si>
  <si>
    <t>Arenas Garcia Jose Jesus</t>
  </si>
  <si>
    <t>628 de 1979</t>
  </si>
  <si>
    <t>Gallo Palacio Libardo</t>
  </si>
  <si>
    <t>507 de 1980</t>
  </si>
  <si>
    <t xml:space="preserve">Marín Molina Sergio </t>
  </si>
  <si>
    <t>511 de 1981</t>
  </si>
  <si>
    <t>Diaz Narvaez Juan Esteban</t>
  </si>
  <si>
    <t>1941 de 1984</t>
  </si>
  <si>
    <t>López de Osorio Maria Diva</t>
  </si>
  <si>
    <t>115 de 1990</t>
  </si>
  <si>
    <t>Tobon Palacio Jorge Mario</t>
  </si>
  <si>
    <t>252 de 1990</t>
  </si>
  <si>
    <t>Alzate de Gomez Lesbia</t>
  </si>
  <si>
    <t>733 de 1994</t>
  </si>
  <si>
    <t>Montoya Giraldo Leonor</t>
  </si>
  <si>
    <t>292 de 1997</t>
  </si>
  <si>
    <t>Henao Jaramillo Maria Victoria</t>
  </si>
  <si>
    <t>180 de 2007</t>
  </si>
  <si>
    <t>Hoyos Campuzano Emilio</t>
  </si>
  <si>
    <t>6142 de 1970</t>
  </si>
  <si>
    <t>Betancourt de Vallejo Rosa M.</t>
  </si>
  <si>
    <t>1269 de 1977</t>
  </si>
  <si>
    <t>Echavarria Holguín Felix Anton</t>
  </si>
  <si>
    <t>923 de 1981</t>
  </si>
  <si>
    <t>Gomez Toro Esther Bernarda</t>
  </si>
  <si>
    <t>1004 de 1982</t>
  </si>
  <si>
    <t xml:space="preserve">Durán Henao Fernando </t>
  </si>
  <si>
    <t>2646 de 1982</t>
  </si>
  <si>
    <t>Mayo Cordoba Natalia</t>
  </si>
  <si>
    <t>839 de 1986</t>
  </si>
  <si>
    <t>Gomez Alberto Antonio</t>
  </si>
  <si>
    <t>291 de 1987</t>
  </si>
  <si>
    <t>ACEPTADA a</t>
  </si>
  <si>
    <t>Maldonado Cuervo Blanca Celina</t>
  </si>
  <si>
    <t>441 de 1987</t>
  </si>
  <si>
    <t>Serna Soto Maria Uva Rocio</t>
  </si>
  <si>
    <t>352 de 1987</t>
  </si>
  <si>
    <t xml:space="preserve">Ortiz Gaviria Nedda Amparo </t>
  </si>
  <si>
    <t>127 de 1988</t>
  </si>
  <si>
    <t>Ramirez Cuartas Amparo de la C</t>
  </si>
  <si>
    <t>1047 de 1989</t>
  </si>
  <si>
    <t>Orozco Cadavid Gabriel Jaime</t>
  </si>
  <si>
    <t>1185 de 1989</t>
  </si>
  <si>
    <t>Villegas Gaviria Ivan de Jesus</t>
  </si>
  <si>
    <t>364 de 1992</t>
  </si>
  <si>
    <t xml:space="preserve">Perez Bedoya Samuel </t>
  </si>
  <si>
    <t>277 de 1993</t>
  </si>
  <si>
    <t>Alvarez Sepúlveda Nubia de J.</t>
  </si>
  <si>
    <t>270 de 1993</t>
  </si>
  <si>
    <t>Velasquez de Villa Beatriz</t>
  </si>
  <si>
    <t>27956 de 1993</t>
  </si>
  <si>
    <t>SILENCIO a</t>
  </si>
  <si>
    <t>Granados Aguirre Jorge Alberto</t>
  </si>
  <si>
    <t>28681 de 1993</t>
  </si>
  <si>
    <t>Gilchrist Bustamente Maria M.</t>
  </si>
  <si>
    <t>4005 de 1995</t>
  </si>
  <si>
    <t>Molina Cardenas Nubia</t>
  </si>
  <si>
    <t>66 de 1997</t>
  </si>
  <si>
    <t>Angel Restrepo Gabriel</t>
  </si>
  <si>
    <t>260 de 1997</t>
  </si>
  <si>
    <t>OBJETADA a</t>
  </si>
  <si>
    <t>Silva de Gil Lucelly de Jesus</t>
  </si>
  <si>
    <t>886 de 1997</t>
  </si>
  <si>
    <t xml:space="preserve">Latorre Gonzalez Mary Lucy </t>
  </si>
  <si>
    <t>635 de 1998</t>
  </si>
  <si>
    <t>Palacios Botero Alonso</t>
  </si>
  <si>
    <t>1087 de 1998</t>
  </si>
  <si>
    <t>Betancur Escobar Francisco Gon</t>
  </si>
  <si>
    <t>117 de 2001</t>
  </si>
  <si>
    <t>Lopez Villegas Nohemi</t>
  </si>
  <si>
    <t>1401 de 2002</t>
  </si>
  <si>
    <t>Acosta Gomez Yamile del Socorr</t>
  </si>
  <si>
    <t>1339 de 2006</t>
  </si>
  <si>
    <t>Calderon Gil Ruby del Socorro</t>
  </si>
  <si>
    <t>935 de 2007</t>
  </si>
  <si>
    <t>Velez Osorio Rosa Inés</t>
  </si>
  <si>
    <t>1916 de 2006</t>
  </si>
  <si>
    <t>Lopera Agudelo Querubin de Jes</t>
  </si>
  <si>
    <t>695 de 2006</t>
  </si>
  <si>
    <t xml:space="preserve">Arroyave Zapata Fanny Cecilia </t>
  </si>
  <si>
    <t>1390 de 2007</t>
  </si>
  <si>
    <t>Garces Lopez Ana Esther del So</t>
  </si>
  <si>
    <t>681 de 2007</t>
  </si>
  <si>
    <t>Perez Perez Luz Marina</t>
  </si>
  <si>
    <t>971 de 2007</t>
  </si>
  <si>
    <t>Roldan Maya Soledad Isabel</t>
  </si>
  <si>
    <t>2684 de 2006</t>
  </si>
  <si>
    <t>Zuluaga Giraldo Luz Angela</t>
  </si>
  <si>
    <t>1576 de 2006</t>
  </si>
  <si>
    <t>Ramirez Carlos Enrique</t>
  </si>
  <si>
    <t>797 de 2006</t>
  </si>
  <si>
    <t>Muñoz Lara Luis Carlos</t>
  </si>
  <si>
    <t>813 de 2006</t>
  </si>
  <si>
    <t>Osorio Bedoya León Jairo</t>
  </si>
  <si>
    <t>1039 de 2006</t>
  </si>
  <si>
    <t>Ospina López Pedro Nel</t>
  </si>
  <si>
    <t>814 de 2006</t>
  </si>
  <si>
    <t>Ruiz Perez Raúl</t>
  </si>
  <si>
    <t>1069 de 2006</t>
  </si>
  <si>
    <t>Cano Giraldo Ricardo</t>
  </si>
  <si>
    <t>1065 de 2006</t>
  </si>
  <si>
    <t>Higuita Oquendo Luis Fernando</t>
  </si>
  <si>
    <t>1068 de 2006</t>
  </si>
  <si>
    <t>Rodas Duque Esther Judith</t>
  </si>
  <si>
    <t>325 de 2007</t>
  </si>
  <si>
    <t>Cardona Henao Mario</t>
  </si>
  <si>
    <t>1066 de 2006</t>
  </si>
  <si>
    <t>Cadavid Maya Leon Jaime</t>
  </si>
  <si>
    <t>682 de 2007</t>
  </si>
  <si>
    <t>Echeverri Echeverri Luis Conra</t>
  </si>
  <si>
    <t>126 de 2008</t>
  </si>
  <si>
    <t>Zuluaga Suarez Rosa Emma</t>
  </si>
  <si>
    <t>172 de 2008</t>
  </si>
  <si>
    <t xml:space="preserve">Bermudez Jaramillo Albeiro de </t>
  </si>
  <si>
    <t>1016 de 2009</t>
  </si>
  <si>
    <t>Castañeda Echeverry Roman de J</t>
  </si>
  <si>
    <t>1179 de 1983</t>
  </si>
  <si>
    <t>Martínez Soto Jaime Alveiro</t>
  </si>
  <si>
    <t>97 de 1996</t>
  </si>
  <si>
    <t>Palacios Botero  Francisco Alo</t>
  </si>
  <si>
    <t>Uribe Montoya Jose Gonzalo</t>
  </si>
  <si>
    <t>1053 de 2006</t>
  </si>
  <si>
    <t>Sandoval Londoño Juan Armando</t>
  </si>
  <si>
    <t>2828 de 2005</t>
  </si>
  <si>
    <t xml:space="preserve">Zapata Rua Carlos Arturo </t>
  </si>
  <si>
    <t>3154 de 2008</t>
  </si>
  <si>
    <t>Franco de Arenas Rosa Elena</t>
  </si>
  <si>
    <t>2445 de 1984</t>
  </si>
  <si>
    <t>Toro Londoño Martha Cecilia</t>
  </si>
  <si>
    <t>269 de 1997</t>
  </si>
  <si>
    <t>Cuartas de Pernett Silvia Mari</t>
  </si>
  <si>
    <t>1413 de 2001</t>
  </si>
  <si>
    <t>Higuita Gutierrez Antonio Mari</t>
  </si>
  <si>
    <t>702 de 2006</t>
  </si>
  <si>
    <t xml:space="preserve">Villegas Henao Antonio </t>
  </si>
  <si>
    <t>17428 de 1971</t>
  </si>
  <si>
    <t>Ortiz Saldarriaga Luis Eduardo</t>
  </si>
  <si>
    <t>797 de 1976</t>
  </si>
  <si>
    <t>Morales Restrepo Juanc Jairo d</t>
  </si>
  <si>
    <t>524 de 1978</t>
  </si>
  <si>
    <t>Gil Zapata Pedro Luis</t>
  </si>
  <si>
    <t>233 de 1978</t>
  </si>
  <si>
    <t>Gomez Osorio Roman</t>
  </si>
  <si>
    <t>4057 de 1983</t>
  </si>
  <si>
    <t>Castaño Garcia Gustavo Anibal</t>
  </si>
  <si>
    <t>2077 de 1992</t>
  </si>
  <si>
    <t>Palacios Botero Francisco Alon</t>
  </si>
  <si>
    <t>Zuleta Ordoñez Maria Carmenza</t>
  </si>
  <si>
    <t>1549 de 1999</t>
  </si>
  <si>
    <t>Arboleda de Bolaños Gloria S.</t>
  </si>
  <si>
    <t>255 de 2001</t>
  </si>
  <si>
    <t>Velez Bermudez jose Antonio</t>
  </si>
  <si>
    <t>1297 de 2002</t>
  </si>
  <si>
    <t>Rueda Monsalve Luis Fernando</t>
  </si>
  <si>
    <t>14 de 2006</t>
  </si>
  <si>
    <t>Velez Mesa Gustavo de Jesus</t>
  </si>
  <si>
    <t>2534 de 2005</t>
  </si>
  <si>
    <t>Aguirre Restrepo Luis Javier</t>
  </si>
  <si>
    <t>127 de 2006</t>
  </si>
  <si>
    <t>Castro Hernández Orlando Anton</t>
  </si>
  <si>
    <t>784 de 2006</t>
  </si>
  <si>
    <t>Cardona Rodriguez Angel Dario</t>
  </si>
  <si>
    <t>909 de 2006</t>
  </si>
  <si>
    <t>Uribe Montoya jose Gonzalo</t>
  </si>
  <si>
    <t>1639 de 2006</t>
  </si>
  <si>
    <t>Castañeda Londoño Leonel Alcid</t>
  </si>
  <si>
    <t>1720 de 2008</t>
  </si>
  <si>
    <t xml:space="preserve">Molina Alzate Elkin Antonio </t>
  </si>
  <si>
    <t>50 de 2006</t>
  </si>
  <si>
    <t>Pulgarin Castaño Octavio de Je</t>
  </si>
  <si>
    <t>1947 de 2006</t>
  </si>
  <si>
    <t>Duque Arbelaez Helena Margarit</t>
  </si>
  <si>
    <t>156 de 2007</t>
  </si>
  <si>
    <t>Raúl Merchán Casagua</t>
  </si>
  <si>
    <t>429 de 2007</t>
  </si>
  <si>
    <t>Rojas Basto Oliverio</t>
  </si>
  <si>
    <t>864 de 1991</t>
  </si>
  <si>
    <t>Yepes Grisales Teresa del Soco</t>
  </si>
  <si>
    <t>28714 de 1993</t>
  </si>
  <si>
    <t>Garcia Lotero Clara Inés</t>
  </si>
  <si>
    <t>2930 de 2007</t>
  </si>
  <si>
    <t xml:space="preserve">Velez Reyes Oscar Hernando </t>
  </si>
  <si>
    <t>1046 de 2008</t>
  </si>
  <si>
    <t xml:space="preserve">Lasprilla Giron Magnolia </t>
  </si>
  <si>
    <t>131 de 1996</t>
  </si>
  <si>
    <t>Ordoñez Jesus Ivan</t>
  </si>
  <si>
    <t>291 de 1998</t>
  </si>
  <si>
    <t>Tamayo de Ramirez Maria Cenobi</t>
  </si>
  <si>
    <t>Meza Ramirez Luis Vicente</t>
  </si>
  <si>
    <t>666 de 2002</t>
  </si>
  <si>
    <t>Soto Serna Gladis de Jesus</t>
  </si>
  <si>
    <t>3970 de 2009</t>
  </si>
  <si>
    <t xml:space="preserve">Hincapie Usquiano Gerardo </t>
  </si>
  <si>
    <t>2393 de 2005</t>
  </si>
  <si>
    <t xml:space="preserve">Londoño Jaramillo William </t>
  </si>
  <si>
    <t>129 de 2006</t>
  </si>
  <si>
    <t>Marín Montoya jose Abel</t>
  </si>
  <si>
    <t>1682 de 2006</t>
  </si>
  <si>
    <t>González Mancilla Arley</t>
  </si>
  <si>
    <t>541 de 2009</t>
  </si>
  <si>
    <t>Hidalgo Troya Martha Cecilia</t>
  </si>
  <si>
    <t>995 de 2008</t>
  </si>
  <si>
    <t>Roque Solano Simón</t>
  </si>
  <si>
    <t>1694 de 1991</t>
  </si>
  <si>
    <t>Flor Flor Francisco Luis</t>
  </si>
  <si>
    <t>2186 de 1991</t>
  </si>
  <si>
    <t>Cifuentes Mera Julio Arcesio</t>
  </si>
  <si>
    <t>497 de 1993</t>
  </si>
  <si>
    <t>Fletcher de Millan Dora</t>
  </si>
  <si>
    <t>260 de 1996</t>
  </si>
  <si>
    <t>Cifuentes Gerardo Alirio</t>
  </si>
  <si>
    <t>697 de 2000</t>
  </si>
  <si>
    <t xml:space="preserve">Velasco Bravo Juan Manuel </t>
  </si>
  <si>
    <t>886 de 2007</t>
  </si>
  <si>
    <t>Otero Campo Diogenes</t>
  </si>
  <si>
    <t>1493 de 2006</t>
  </si>
  <si>
    <t xml:space="preserve">Martínez Pabon Gerardo Anibal </t>
  </si>
  <si>
    <t>706 de 2006</t>
  </si>
  <si>
    <t>Calvache Martinez Julio Albert</t>
  </si>
  <si>
    <t>2530 de 2009</t>
  </si>
  <si>
    <t>Valencia Navia Camilo Enrique</t>
  </si>
  <si>
    <t>1454 de 1991</t>
  </si>
  <si>
    <t>Guerrero Borja Reinaldo  Aliri</t>
  </si>
  <si>
    <t>786 de 2006</t>
  </si>
  <si>
    <t>Asprilla Murillo Antonio Melec</t>
  </si>
  <si>
    <t>614 de 2006</t>
  </si>
  <si>
    <t xml:space="preserve">Palacios Barco Simon Eladio </t>
  </si>
  <si>
    <t>2761 de 2007</t>
  </si>
  <si>
    <t>Jaimes Chaparro Rómulo</t>
  </si>
  <si>
    <t>2294 de 2008</t>
  </si>
  <si>
    <t>Rodriguez Quintana Oscar Harry</t>
  </si>
  <si>
    <t>461 de 2006</t>
  </si>
  <si>
    <t>Peña Rodriguez Julio Humberto</t>
  </si>
  <si>
    <t>1211 de 2003</t>
  </si>
  <si>
    <t>SENTENCIA r</t>
  </si>
  <si>
    <t xml:space="preserve">Pimienta Castro Tayro Alberto </t>
  </si>
  <si>
    <t>2354 de 2006</t>
  </si>
  <si>
    <t>Padilla Martínez Jose Luis</t>
  </si>
  <si>
    <t>1860 de 2007</t>
  </si>
  <si>
    <t>Montaño López Juan de la Cruz</t>
  </si>
  <si>
    <t>1517 de 1983</t>
  </si>
  <si>
    <t>Medina Rojas Gratiniano</t>
  </si>
  <si>
    <t>2377 de 1984</t>
  </si>
  <si>
    <t>Alonso jose Antonio</t>
  </si>
  <si>
    <t>1112 de 1988</t>
  </si>
  <si>
    <t>Arevalo Ortiz Jaime Alfonso</t>
  </si>
  <si>
    <t>717 de 1995</t>
  </si>
  <si>
    <t>Rodriguez de Martínez Ana Isad</t>
  </si>
  <si>
    <t>649 de 1997</t>
  </si>
  <si>
    <t xml:space="preserve">Nova Gonzalez jose Gabriel </t>
  </si>
  <si>
    <t>874 de 2003</t>
  </si>
  <si>
    <t xml:space="preserve">Carvajal Leal jose Argemiro </t>
  </si>
  <si>
    <t>527 de 2006</t>
  </si>
  <si>
    <t>Peña Villamil Hernan Gustavo</t>
  </si>
  <si>
    <t>1890 de 2006</t>
  </si>
  <si>
    <t>Sanchez Cifuentes Pedro Armand</t>
  </si>
  <si>
    <t>1687 de 2006</t>
  </si>
  <si>
    <t xml:space="preserve">Bernal Lemus Alfredo </t>
  </si>
  <si>
    <t>1856 de 2007</t>
  </si>
  <si>
    <t xml:space="preserve">Rincon Castro Margarita </t>
  </si>
  <si>
    <t>3152 de 2007</t>
  </si>
  <si>
    <t>Fonseca Cifuentes Carlos Alber</t>
  </si>
  <si>
    <t>3401 de 2008</t>
  </si>
  <si>
    <t xml:space="preserve">Jiménez Molina Mario Alfredo </t>
  </si>
  <si>
    <t>1199 de 2009</t>
  </si>
  <si>
    <t>Villamil de Martínez Maria  Ne</t>
  </si>
  <si>
    <t>4189 de 1983</t>
  </si>
  <si>
    <t>Castañeda Jaime Hernán</t>
  </si>
  <si>
    <t>2816 de 2009</t>
  </si>
  <si>
    <t>Angel Manrique Alberto</t>
  </si>
  <si>
    <t>1562 de 1992</t>
  </si>
  <si>
    <t>Gomez Ramirez Myriam</t>
  </si>
  <si>
    <t>732 de 1994</t>
  </si>
  <si>
    <t>760 de 1995</t>
  </si>
  <si>
    <t>Renteria Romero Hector Antonio</t>
  </si>
  <si>
    <t>704 de 2006</t>
  </si>
  <si>
    <t xml:space="preserve">Mantilla Moreno Pedro Diego </t>
  </si>
  <si>
    <t>1684 de 2006</t>
  </si>
  <si>
    <t>Monroy Nossa Arsenio</t>
  </si>
  <si>
    <t>950 de 1985</t>
  </si>
  <si>
    <t>Arciniegas de Arias Maria Enit</t>
  </si>
  <si>
    <t>607 de 1995</t>
  </si>
  <si>
    <t>Orduz Romero Sonia Rosenda</t>
  </si>
  <si>
    <t>606 de 1995</t>
  </si>
  <si>
    <t>Cruz de Rodriguez Maria Elcy</t>
  </si>
  <si>
    <t>1092 de 1996</t>
  </si>
  <si>
    <t>Nuñez Toro Carlos Uriel</t>
  </si>
  <si>
    <t>1922 de 2001</t>
  </si>
  <si>
    <t>Guzman Sastre Nestor Oswaldo</t>
  </si>
  <si>
    <t>285 de 2002</t>
  </si>
  <si>
    <t>Caicedo de Barrios  Maria Ines</t>
  </si>
  <si>
    <t>2835 de 2005</t>
  </si>
  <si>
    <t>Muñoz Rojas Luis Alfonso</t>
  </si>
  <si>
    <t>596 de 2006</t>
  </si>
  <si>
    <t>Rodriguez Melo Andres</t>
  </si>
  <si>
    <t>1223 de 2006</t>
  </si>
  <si>
    <t>Gomez Murcia Iván Eduardo</t>
  </si>
  <si>
    <t>2320 de 2007</t>
  </si>
  <si>
    <t xml:space="preserve">Morales Sanchez Carlos Julio </t>
  </si>
  <si>
    <t>1505 de 2008</t>
  </si>
  <si>
    <t xml:space="preserve">Ruiz Parra Graciela </t>
  </si>
  <si>
    <t>2859 de 2009</t>
  </si>
  <si>
    <t>Cortes Ospina Carlos Julio</t>
  </si>
  <si>
    <t>639 de 1997</t>
  </si>
  <si>
    <t>Espeleta Uriana Maria Concepci</t>
  </si>
  <si>
    <t>1044 de 1989</t>
  </si>
  <si>
    <t>Cujia Amaya Arturo</t>
  </si>
  <si>
    <t>1548 de 2001</t>
  </si>
  <si>
    <t>Lacera Ibarra Ricardo</t>
  </si>
  <si>
    <t>Melo Guerrero Elimenes Orlando</t>
  </si>
  <si>
    <t>972 de 2002</t>
  </si>
  <si>
    <t>Cabello Quintero Diva de Jesus</t>
  </si>
  <si>
    <t>208 de 2010</t>
  </si>
  <si>
    <t>Maestre Maestre Héctor</t>
  </si>
  <si>
    <t>654 de 1997</t>
  </si>
  <si>
    <t>Carey Caballero Sebastían Segu</t>
  </si>
  <si>
    <t>2939 de 2007</t>
  </si>
  <si>
    <t>Williams de Bowie Diola Elida</t>
  </si>
  <si>
    <t>3087 de 2007</t>
  </si>
  <si>
    <t xml:space="preserve">Davila Tavel Sonia </t>
  </si>
  <si>
    <t>1398 de 1990</t>
  </si>
  <si>
    <t>López Fajardo Maria del Carmen</t>
  </si>
  <si>
    <t>184 de 1994</t>
  </si>
  <si>
    <t>Ferrer de López Lucy Regina</t>
  </si>
  <si>
    <t>512 de 1995</t>
  </si>
  <si>
    <t>López Osorio Manuel Antonio</t>
  </si>
  <si>
    <t>1096 de 1983</t>
  </si>
  <si>
    <t xml:space="preserve">Angola Romero Luis Carlos </t>
  </si>
  <si>
    <t>354 de 1984</t>
  </si>
  <si>
    <t>Amezquita Sanchez Luis Hernand</t>
  </si>
  <si>
    <t>418 de 1976</t>
  </si>
  <si>
    <t>Fonseca Camargo Roberto Alfons</t>
  </si>
  <si>
    <t>122 de 1977</t>
  </si>
  <si>
    <t xml:space="preserve">Segura Mendoza Ciro Edilberto </t>
  </si>
  <si>
    <t>1204 de 1982</t>
  </si>
  <si>
    <t>Badillo Acosta Carlos Hernando</t>
  </si>
  <si>
    <t>1156 de 1983</t>
  </si>
  <si>
    <t>Chacon de Rodriguez Virginia</t>
  </si>
  <si>
    <t>1097 de 1983</t>
  </si>
  <si>
    <t>Espinosa de Pinilla Maria Nell</t>
  </si>
  <si>
    <t>609 de 1985</t>
  </si>
  <si>
    <t>Gonzalez Jaime</t>
  </si>
  <si>
    <t>443 de 1988</t>
  </si>
  <si>
    <t>Quintero de Narvaez Adelina</t>
  </si>
  <si>
    <t>884 de 1988</t>
  </si>
  <si>
    <t>Valek de López Beatriz</t>
  </si>
  <si>
    <t>1123 de 1989</t>
  </si>
  <si>
    <t>Palacios de Pineda Rosalba</t>
  </si>
  <si>
    <t>79 de 1991</t>
  </si>
  <si>
    <t>Cardona Sanchez Teresa de Jesu</t>
  </si>
  <si>
    <t>80 de 1991</t>
  </si>
  <si>
    <t xml:space="preserve">Quiñones de Villalobos Myriam </t>
  </si>
  <si>
    <t>112 de 1994</t>
  </si>
  <si>
    <t>Chavez Rairan Florentino</t>
  </si>
  <si>
    <t>781 de 1995</t>
  </si>
  <si>
    <t>Martínez Martínez Ismael Artur</t>
  </si>
  <si>
    <t>275 de 1997</t>
  </si>
  <si>
    <t xml:space="preserve">Lezaca Rojas Rafael </t>
  </si>
  <si>
    <t>634 de 1998</t>
  </si>
  <si>
    <t>Ramos Morales Jorge Antonio</t>
  </si>
  <si>
    <t>217 de 1999</t>
  </si>
  <si>
    <t xml:space="preserve">Pinilla Vasquez Jorge Eliecer </t>
  </si>
  <si>
    <t>468 de 2001</t>
  </si>
  <si>
    <t>Torres de Segura Maria Elizabe</t>
  </si>
  <si>
    <t>545 de 2001</t>
  </si>
  <si>
    <t>Molina Rincon Onofre</t>
  </si>
  <si>
    <t>1420 de 2006</t>
  </si>
  <si>
    <t>Sanabria Gomez Maria Azucena d</t>
  </si>
  <si>
    <t>1908 de 2006</t>
  </si>
  <si>
    <t>Veloza Celeita Maria Celaida</t>
  </si>
  <si>
    <t>2395 de 2005</t>
  </si>
  <si>
    <t xml:space="preserve">Sanchez Acosta Jose de Jesus </t>
  </si>
  <si>
    <t>565 de 2006</t>
  </si>
  <si>
    <t xml:space="preserve">Bazurto Rodriguez Orlando </t>
  </si>
  <si>
    <t>772 de 2006</t>
  </si>
  <si>
    <t>Tovar Santacoloma Blanca Maria</t>
  </si>
  <si>
    <t>774 de 2006</t>
  </si>
  <si>
    <t>Rubio Robles Ligia Leonilde</t>
  </si>
  <si>
    <t>2167 de 2006</t>
  </si>
  <si>
    <t>Garzon Maximo</t>
  </si>
  <si>
    <t>1126 de 2006</t>
  </si>
  <si>
    <t xml:space="preserve">Beltran Ramos Felix Ernesto </t>
  </si>
  <si>
    <t>2484 de 2006</t>
  </si>
  <si>
    <t>Rodriguez de Ceron Myriam</t>
  </si>
  <si>
    <t>155 de 2007</t>
  </si>
  <si>
    <t>Martínez Alayon Jacinto</t>
  </si>
  <si>
    <t>1313 de 2008</t>
  </si>
  <si>
    <t>Hortua Martinez Ana Cecilia</t>
  </si>
  <si>
    <t>2862 de 2009</t>
  </si>
  <si>
    <t xml:space="preserve">Rey Moreno Alberto </t>
  </si>
  <si>
    <t>2575 de 2009</t>
  </si>
  <si>
    <t>Beltran Romero  Carlos Antonio</t>
  </si>
  <si>
    <t>Contreras Camelo Jesus Ramiro</t>
  </si>
  <si>
    <t>1323 de 2009</t>
  </si>
  <si>
    <t>Robayo Rozo Carlos</t>
  </si>
  <si>
    <t>589 de 2001</t>
  </si>
  <si>
    <t>Grosso Pinilla jose Jair</t>
  </si>
  <si>
    <t>1692 de 2006</t>
  </si>
  <si>
    <t>Renteria Ramirez Manuel Felipe</t>
  </si>
  <si>
    <t>123 de 1992</t>
  </si>
  <si>
    <t xml:space="preserve">Lombana Guzman Irene </t>
  </si>
  <si>
    <t>775 de 2006</t>
  </si>
  <si>
    <t>NARIÑO</t>
  </si>
  <si>
    <t>BOGOTA</t>
  </si>
  <si>
    <t>ANTIOQUIA</t>
  </si>
  <si>
    <t>CESAR</t>
  </si>
  <si>
    <t>CORDOBA</t>
  </si>
  <si>
    <t>MAGDALENA</t>
  </si>
  <si>
    <t xml:space="preserve">GUAJIRA </t>
  </si>
  <si>
    <t>TOLIMA</t>
  </si>
  <si>
    <t>VALLE</t>
  </si>
  <si>
    <t>ARAUCA</t>
  </si>
  <si>
    <t>SAN ANDRES</t>
  </si>
  <si>
    <t>HUILA</t>
  </si>
  <si>
    <t>PUTUMAYO</t>
  </si>
  <si>
    <t>DINAL</t>
  </si>
  <si>
    <t>CUNDINAMARCA</t>
  </si>
  <si>
    <t>BOLIVAR</t>
  </si>
  <si>
    <t>Norte Santander</t>
  </si>
  <si>
    <t>QUINDIO</t>
  </si>
  <si>
    <t>Tolima</t>
  </si>
  <si>
    <t>CALDAS</t>
  </si>
  <si>
    <t>RISARALDA</t>
  </si>
  <si>
    <t>Distrito Capital</t>
  </si>
  <si>
    <t>BOYACA</t>
  </si>
  <si>
    <t>DEPARTAMENTO DEL PUTUMAYO</t>
  </si>
  <si>
    <t xml:space="preserve">MUNICIPIO DE SOACHA </t>
  </si>
  <si>
    <t>MUNICIPIO DE MAHATES</t>
  </si>
  <si>
    <t>MUNICIPIO DE CODAZZI</t>
  </si>
  <si>
    <t>MUNICIPIO DE MONTERIA</t>
  </si>
  <si>
    <t>MUNICIPIO DE LOS CORDOBAS</t>
  </si>
  <si>
    <t>MUNICIPIO DE TIERRALTA - CORDOBA</t>
  </si>
  <si>
    <t>MUNICIPIO DE BARRANCAS</t>
  </si>
  <si>
    <t>MUNICIPIO DE AMBALEMA</t>
  </si>
  <si>
    <t>MUNICIPIO DE CARMEN DE APICALA</t>
  </si>
  <si>
    <t>MUNICIPIO DE CHAPARRAL</t>
  </si>
  <si>
    <t>MUNICIPIO DE PIEDRAS</t>
  </si>
  <si>
    <t>MUNICIPIO DE LA CUMBRE - VALLE</t>
  </si>
  <si>
    <t>DEPARTAMENTO DEL ARAUCA</t>
  </si>
  <si>
    <t>ALCAL PROVIDENCIA Y STA. CATALINA ISLAS</t>
  </si>
  <si>
    <t>DEPARTAMENTO DEL HUILA</t>
  </si>
  <si>
    <t>DEPARTAMENTO DEL MAGDALENA</t>
  </si>
  <si>
    <t>DEPARTAMENTO DE NARIÑO</t>
  </si>
  <si>
    <t>DEPARTAMENTO NORTE DE SANTANDER</t>
  </si>
  <si>
    <t>DEPARTAMENTO DE CORDOBA</t>
  </si>
  <si>
    <t>MUNICIPIO DE IBAGUE</t>
  </si>
  <si>
    <t>DEPARTAMENTO DEL TOLIMA</t>
  </si>
  <si>
    <t>DIRECCION TERRITORIAL DE SALUD DE CALDAS</t>
  </si>
  <si>
    <t>UNIVERSIDAD DE NARIÑO</t>
  </si>
  <si>
    <t>EMPRESA MUNICIPAL PARA LA SALUD EMSA - LOTERIA DE MANIZALES</t>
  </si>
  <si>
    <t>EMPRESA DE OBRAS SANITARIAS CORDOBA</t>
  </si>
  <si>
    <t>HOSPITAL DE CALDAS</t>
  </si>
  <si>
    <t>INSTITUTO TECNOLOGICO METROPOLITANO</t>
  </si>
  <si>
    <t>HOSPITAL SAN JORGE PEREIRA</t>
  </si>
  <si>
    <t>ELECTRICARIBE- ELECTRICOSTA</t>
  </si>
  <si>
    <t>INDEPORTES TOLIMA</t>
  </si>
  <si>
    <t>EMPRESA DE OBRAS SANITARIAS DE SANTANDER - EMPOSAN S.A.</t>
  </si>
  <si>
    <t>FOMAG - FIDUPREVISORA - DPTO DEL VALLE</t>
  </si>
  <si>
    <t>DEPARTAMENTO DEL VAUPES</t>
  </si>
  <si>
    <t>HOSPITAL SALAZAR DE VILLETA</t>
  </si>
  <si>
    <t>FONCEP - FONDO DE PRESTACIONES ECONOMICAS CESANTIAS Y PENSIONES</t>
  </si>
  <si>
    <t>UNIVERSIDAD DEL QUINDIO</t>
  </si>
  <si>
    <t>EMPRESAS PUBLICAS DE ARMENIA E.S.P.</t>
  </si>
  <si>
    <t>MUNICIPIO DE CALARCA</t>
  </si>
  <si>
    <t xml:space="preserve">MUNICIPIO DE ARMENIA </t>
  </si>
  <si>
    <t>MUNICIPIO DE CIRCASIA</t>
  </si>
  <si>
    <t>MUNICIPIO DE SALENTO - QUINDIO</t>
  </si>
  <si>
    <t>DEPARTAMENTO DEL QUINDIO</t>
  </si>
  <si>
    <t>EMPRESAS PUBLICAS DE BARRANQUILLA</t>
  </si>
  <si>
    <t>UNIVERSIDAD DEL ATLANTICO</t>
  </si>
  <si>
    <t>CORPORACION ELECTRICA DE LA COSTA ATLANTICA S.A. EN LIQUIDACION - CORELCA S.A E.S.P. - GECELCA</t>
  </si>
  <si>
    <t>UNIVERSIDAD INDUSTRIAL SANTANDER - UIS</t>
  </si>
  <si>
    <t>MUNICIPIO DE BUCARAMANGA</t>
  </si>
  <si>
    <t>ELECTRIFICADORA DE SANTANDER S.A. E.S.P.</t>
  </si>
  <si>
    <t>DEPARTAMENTO DE SANTANDER</t>
  </si>
  <si>
    <t>HOSP. UNIV. RAMON GONZALEZ VALENCIA E.S.P.</t>
  </si>
  <si>
    <t>MUNICIPIO DE BARRANCABERMEJA</t>
  </si>
  <si>
    <t xml:space="preserve">MUNICIPIO DE GIRON </t>
  </si>
  <si>
    <t>MUNICIPIO DE CHARALA</t>
  </si>
  <si>
    <t>COMERCIALIZADORA ANTRACITA DE SANTANDER</t>
  </si>
  <si>
    <t>EDUBA - Empresa de Desarrollo Urbano y Fondo de Vivienda de Interés Social de Barrancabermeja</t>
  </si>
  <si>
    <t xml:space="preserve">HOSPITAL UNIV. DEL VALLE EVARISTO G. </t>
  </si>
  <si>
    <t>HOSPITAL PSIQUIATRICO UNIVERSITARIO DEL VALLE</t>
  </si>
  <si>
    <t>HOSPITAL DPTAL DE BUENAVENTURA</t>
  </si>
  <si>
    <t>EMCALI</t>
  </si>
  <si>
    <t>UNIVERSIDAD DEL VALLE</t>
  </si>
  <si>
    <t>MUNICIPIO DE CALI</t>
  </si>
  <si>
    <t>BENEFICENCIA DEL VALLE DEL CAUCA E.I.C.E</t>
  </si>
  <si>
    <t>DEPARTAMENTO DEL VALLE</t>
  </si>
  <si>
    <t>EMSIRVA  E.S.P.</t>
  </si>
  <si>
    <t>MUNICIPIO DE BUENAVENTURA</t>
  </si>
  <si>
    <t>DEPARTAMENTO DE BOLIVAR</t>
  </si>
  <si>
    <t>UNIVERSIDAD DE CARTAGENA</t>
  </si>
  <si>
    <t>MUNICIPIO DE TURBACO - BOLIVAR</t>
  </si>
  <si>
    <t>UNIVERSIDAD FRANCISCO DE PAULA SANTANDER</t>
  </si>
  <si>
    <t>LOTERIA DE CUCUTA. DPTO NORTE DE SANTANDER</t>
  </si>
  <si>
    <t>MUNICIPIO DE CHITAGA</t>
  </si>
  <si>
    <t>MUNICIPIO DE CUCUTA</t>
  </si>
  <si>
    <t xml:space="preserve">MUNICIPIO DE ALVARADO </t>
  </si>
  <si>
    <t xml:space="preserve">MUNICIPIO DEL GUAMO </t>
  </si>
  <si>
    <t>MUNICIPIO DE LERIDA</t>
  </si>
  <si>
    <t>CENTRAL HIDROELECTRICA DE CALDAS - CHEC</t>
  </si>
  <si>
    <t>HOSPITAL FELIPE SUAREZ DE SALAMINA</t>
  </si>
  <si>
    <t>DEPARTAMENTO DE CALDAS</t>
  </si>
  <si>
    <t>GUILLERMO ORTIZ</t>
  </si>
  <si>
    <t>MUNICIPIO DE MANIZALES</t>
  </si>
  <si>
    <t>DEPARTAMENTO DE ANTIOQUIA</t>
  </si>
  <si>
    <t>HOSPITAL GENERAL DE MEDELLIN</t>
  </si>
  <si>
    <t>EMPRESAS PUBLICAS DE MEDELLIN - EPM</t>
  </si>
  <si>
    <t>EMPRESAS VARIAS DE MEDELLIN S.A.  E.S.P.</t>
  </si>
  <si>
    <t>EDATEL - EMPRESA DEPTAL. DE ANTIOQUIA</t>
  </si>
  <si>
    <t>HOSPITAL MENTAL DE ANTIOQUIA</t>
  </si>
  <si>
    <t>MUNICIPIO DE MEDELLIN</t>
  </si>
  <si>
    <t>MUNICIPIO DE ITAGUI</t>
  </si>
  <si>
    <t>POLITECNICO COLOMBIANO JAIME ISAZA CADAVID</t>
  </si>
  <si>
    <t>IDEA - INSTITUTO PARA EL DESARROLLO DE ANTIOQUIA</t>
  </si>
  <si>
    <t>MUNICIPIO DE SANTA BARBARA</t>
  </si>
  <si>
    <t>ELECTRIFICADORA DEL HUILA S.A. E.S.P.</t>
  </si>
  <si>
    <t>MUNICIPIO DE NEIVA</t>
  </si>
  <si>
    <t>HOSPITAL CIVIL DE PASTO - MUN. DE PASTO</t>
  </si>
  <si>
    <t>MUNICIPIO DE PALMIRA</t>
  </si>
  <si>
    <t>MUNICIPIO DE GUADALAJARA - BUGA</t>
  </si>
  <si>
    <t>HOSPITAL SAN VICENTE DE PAUL PALMIRA</t>
  </si>
  <si>
    <t>HOSPITAL SAN JOSE GUADALAJARA DE BUGA</t>
  </si>
  <si>
    <t>MUNICIPIO DE PEREIRA</t>
  </si>
  <si>
    <t>DEPARTAMENTO DE RISARALDA</t>
  </si>
  <si>
    <t>MUNICIPIO SANTANDER DE QUILICHAO</t>
  </si>
  <si>
    <t>MUNICIPIO DE PUERTO TEJADA</t>
  </si>
  <si>
    <t>DIRECCION SALUD DEL CAUCA EN LIQUID</t>
  </si>
  <si>
    <t>HOSPITAL UNIV. SAN JOSE DE POPAYAN</t>
  </si>
  <si>
    <t>MUNICIPIO DE POPAYAN</t>
  </si>
  <si>
    <t>DEPARTAMENTO DEL CAUCA</t>
  </si>
  <si>
    <t>DEPARTAMENTO DEL CHOCO</t>
  </si>
  <si>
    <t>MUNICIPIO DE QUIBDO</t>
  </si>
  <si>
    <t>MUNICIPIO DE ISTMINA</t>
  </si>
  <si>
    <t>ALCALDIA DE STA. MARTA - SEC. HACIENDA</t>
  </si>
  <si>
    <t>SERVICIO DE SALUD DEL MAGDALENA</t>
  </si>
  <si>
    <t>DEPARTAMENTO DE BOYACA</t>
  </si>
  <si>
    <t>HOSPITAL SAN SALVADOR DE CHIQUINQUIRA</t>
  </si>
  <si>
    <t>ALCALDIA DE YOPAL- CASANARE</t>
  </si>
  <si>
    <t>MUNICIPIO DE SOGAMOSO</t>
  </si>
  <si>
    <t>EMPRESAS MUNPALES DE TULUA - EMTULUA</t>
  </si>
  <si>
    <t>MUNICIPIO DE TULUA</t>
  </si>
  <si>
    <t>MUNICIPIO DE CARTAGO</t>
  </si>
  <si>
    <t>MUNICIPIO DE BOLIVAR - VALLE</t>
  </si>
  <si>
    <t>HOSPITAL DPTAL TOMAS URIBE URIBE</t>
  </si>
  <si>
    <t>DEPARTAMENTO DEL META</t>
  </si>
  <si>
    <t>EMPRESA ACUEDUCTO Y ALCANTARILLADO DE VILLAVICENCIO E.S.P.</t>
  </si>
  <si>
    <t>MUNICIPIO DE VILLAVICENCIO</t>
  </si>
  <si>
    <t>SERVICIO SECCIONAL DE SALUD DE LA GUAJIRA</t>
  </si>
  <si>
    <t>ELECTRIFICADORA DE LA GUAJIRA</t>
  </si>
  <si>
    <t>MUNICIPIO DE RIOHACHA</t>
  </si>
  <si>
    <t>DEPARTAMENTO DE LA GUAJIRA</t>
  </si>
  <si>
    <t>SERVICIO SECCIONAL DE SALUD DE SUCRE</t>
  </si>
  <si>
    <t>DEPARTAMENTO DE CESAR</t>
  </si>
  <si>
    <t>EMDUPAR S.A. ESP - EMP SERV PUBLICOS VALLEDUPAR</t>
  </si>
  <si>
    <t>HOSPITAL ROSARIO PUMAREJO LOPEZ - VALLEDUPAR</t>
  </si>
  <si>
    <t>DEPTO DE SAN ANDRES Y PROVIDENCIA</t>
  </si>
  <si>
    <t>DEPARTAMENTO DE CUNDINAMARCA - BENEFICENCIA DE CUNDINAMARCA</t>
  </si>
  <si>
    <t>EMPRESA DE ENERGIA DE BOGOTA</t>
  </si>
  <si>
    <t>DEPARTAMENTO DE CUNDINAMARCA</t>
  </si>
  <si>
    <t>LUIS JOSE ONTIVEROS JAIMES</t>
  </si>
  <si>
    <t>GLORIA DEL SOCORRO CASTRO DE LEZACA</t>
  </si>
  <si>
    <t>EMPRESA DE TELEFONOS DE BOGOTA - ETB</t>
  </si>
  <si>
    <t>UNIVERSIDAD DISTRITAL FRANCISCO JOSE DE CALDAS</t>
  </si>
  <si>
    <t>MUNICIPIO DE ZIPAQUIRA</t>
  </si>
  <si>
    <t xml:space="preserve">MUNICIPIO DE ALBAN </t>
  </si>
  <si>
    <t>SERVICIO DE SALUD DE CORDOBA</t>
  </si>
  <si>
    <t>NIT</t>
  </si>
  <si>
    <t>NOMBRE ENTIDAD</t>
  </si>
  <si>
    <t>LOTERIA SANTANDER Y/O BENEFICENCIA DE SANTANDER</t>
  </si>
  <si>
    <t>DEPARTAMENTO DE BOLIVAR - SERV. SALUD DE BOLIVAR</t>
  </si>
  <si>
    <t>SECRETARIA SECCIONAL DE SALUD Y PROTECCION SOCIAL DE ANTIOQUIA</t>
  </si>
  <si>
    <t>MUNICIPIO DE PALMIRA - EMP. PUB. MUN. PALMIRA</t>
  </si>
  <si>
    <t>HOSPITAL SAN JUAN DE DIOS - DEPTO. CUND</t>
  </si>
  <si>
    <t>ACTIVO</t>
  </si>
  <si>
    <t>SALDARRIAGA CATANO LUCIA DOLLY</t>
  </si>
  <si>
    <t>INACTIVO</t>
  </si>
  <si>
    <t>21/02/2025</t>
  </si>
  <si>
    <t>31/01/2025</t>
  </si>
  <si>
    <t>31/12/2024</t>
  </si>
  <si>
    <t>GOMEZ DE VARGAS  HELENA</t>
  </si>
  <si>
    <t>LOPEZ GALVIS ANA EMILCE</t>
  </si>
  <si>
    <t>SANTERO ARRIETA ALEX ANTONIO</t>
  </si>
  <si>
    <t>CERCHIARO DE BARROS NILVA ISABEL</t>
  </si>
  <si>
    <t>LORENZO ROSADO BERMUDEZ</t>
  </si>
  <si>
    <t>MONTERO DE GOMEZ  ANA ELISA</t>
  </si>
  <si>
    <t>MOGOLLON DE MOGOLLON FRANCISCA ALIRIA</t>
  </si>
  <si>
    <t>ROSERO DE VIDAL FABIOLA</t>
  </si>
  <si>
    <t>REYES DE ARDILA TEOFILA</t>
  </si>
  <si>
    <t>PINEDA ACOSTA RUTH ESTHER</t>
  </si>
  <si>
    <t>GALINDO ARRIETA JULIA</t>
  </si>
  <si>
    <t>GOMEZ DE SOLORZANO ELIDA</t>
  </si>
  <si>
    <t>ARMAS DE BANDERAS ANA MARIA</t>
  </si>
  <si>
    <t>RIVERA DE FERNANDEZ GLORIA PAULINA</t>
  </si>
  <si>
    <t>DELIA ROSA DE MARTINEZ FIGUEREDO</t>
  </si>
  <si>
    <t>HINESTROSA VELA MARTHA YOLANDA</t>
  </si>
  <si>
    <t>BENAVIDES DE ZARAMA MARIA</t>
  </si>
  <si>
    <t>HERNANDEZ DE VERGEL NOHRA CECILIA</t>
  </si>
  <si>
    <t>GAMBOA DE SOLANO FULVIA MARIA</t>
  </si>
  <si>
    <t>SUAREZ DE MARTINEZ  NINFA ROSA</t>
  </si>
  <si>
    <t>JARAMILLO DE LOS REYES FANNY</t>
  </si>
  <si>
    <t>FLOREZ DE ESQUIVEL LEONOR</t>
  </si>
  <si>
    <t>OBANDO GARRIDO JOSE MARIA</t>
  </si>
  <si>
    <t>CAMACHO VIATELA CARMEN EMILIA</t>
  </si>
  <si>
    <t>DIAZ RODRIGUEZ ELISA MERCEDES</t>
  </si>
  <si>
    <t>RIOS REINA MARIA ELENA</t>
  </si>
  <si>
    <t>PARAMO DE CHAPARRO  ISABEL</t>
  </si>
  <si>
    <t>CASTRO AHUMADA BLANCA EMILIA</t>
  </si>
  <si>
    <t>PULIDO DE INFANTE MARIA ELENA</t>
  </si>
  <si>
    <t>HERNANDEZ CORZO MAURILIA</t>
  </si>
  <si>
    <t>MURILLO PEDRO PABLO</t>
  </si>
  <si>
    <t>MARTINEZ DE VELANDIA ROSA ELENA</t>
  </si>
  <si>
    <t>GIRALDO MARIA MILANDA</t>
  </si>
  <si>
    <t>DELGADO DE CUERVO MAGDALENA</t>
  </si>
  <si>
    <t>VARGAS DE ALDANA AURA MARIA</t>
  </si>
  <si>
    <t>CARDENAS RODRIGUEZ MYRIAM ELVIRA</t>
  </si>
  <si>
    <t>GARAVITO RICO LUIS MAURICIO</t>
  </si>
  <si>
    <t>ALONSO RUEDA SANDRA SOFIA</t>
  </si>
  <si>
    <t xml:space="preserve">VANEGAS MARROQUIN LEYLA </t>
  </si>
  <si>
    <t>ZAPATA OCHOA FLOR DE MARIA</t>
  </si>
  <si>
    <t>BONILLA MEJIA MARIA FRANCY</t>
  </si>
  <si>
    <t>SERNA TABARES MELVA</t>
  </si>
  <si>
    <t>PENA ACOSTA LILIANA BEATRIZ</t>
  </si>
  <si>
    <t>AFRICANO DE BOLIVAR ANDREA ISABEL</t>
  </si>
  <si>
    <t>CATALAN DE JIMENEZ ZOILA HORTENSIA</t>
  </si>
  <si>
    <t>CURE DE GUTIERREZ  MARIA MAGDAL</t>
  </si>
  <si>
    <t>SUAREZ DE FALCK MARIA TERESA</t>
  </si>
  <si>
    <t>OLARTE RODRIGUEZ AMANDA</t>
  </si>
  <si>
    <t>BRICEÑO SILVA LUZ STELLA</t>
  </si>
  <si>
    <t>QUINTERO PICON REINALDA</t>
  </si>
  <si>
    <t>CORTES DE SAAVEDARA MARIA TRINIDAD</t>
  </si>
  <si>
    <t>BERSINGER ARDILA GLADYS ISABEL</t>
  </si>
  <si>
    <t>AMPARO CORREDOR DE GUALDRON</t>
  </si>
  <si>
    <t>SAAVEDRA CUBILLOS OLGA LUCIA</t>
  </si>
  <si>
    <t>LEMOS SOTO BLANCA NIEVES</t>
  </si>
  <si>
    <t>RIVERA CAICEDO VICTOR HUGO</t>
  </si>
  <si>
    <t>DOMINGUEZ  AURA</t>
  </si>
  <si>
    <t xml:space="preserve">SALCEDO DE GOMEZ MAXIMILIANA </t>
  </si>
  <si>
    <t>BOEK DE ARAMBURO FLORENCE EVELYN</t>
  </si>
  <si>
    <t xml:space="preserve">LERMA DEYDA </t>
  </si>
  <si>
    <t>CANTILLO VILLAMARIN LYDDA STELLA</t>
  </si>
  <si>
    <t>MEJIA DE SANDOVAL  CILIA INES</t>
  </si>
  <si>
    <t>JIMENEZ DE ZOTA  LILIA</t>
  </si>
  <si>
    <t>ZORRILLA DE MOSCOSO WALDINA</t>
  </si>
  <si>
    <t>SARMIENTO DE CALVO LILIA FRANCISCA</t>
  </si>
  <si>
    <t>MARTIN DE CAÑON EUGENIA</t>
  </si>
  <si>
    <t>OROZCO DE CRUZ  OLIVIA</t>
  </si>
  <si>
    <t>MENDOZA DIAZ MARIA LILIA</t>
  </si>
  <si>
    <t>LLANOS TEJADA MARIA VICTORIA</t>
  </si>
  <si>
    <t>OSORIO VALENCIA OMAIRA</t>
  </si>
  <si>
    <t>GIRALDO ARIAS LUZ STELLA</t>
  </si>
  <si>
    <t>ZUNIGA VILLAFANE MARTHA CECILIA</t>
  </si>
  <si>
    <t>CUELLAR BLANCA MILENA</t>
  </si>
  <si>
    <t xml:space="preserve">SCHMALBACH DE ORTIZ GLADYS </t>
  </si>
  <si>
    <t>GONZALEZ PRETEL ALBERTO ANTONIO</t>
  </si>
  <si>
    <t>GONZALEZ HERNANDEZ SOLEDAD PAULINA</t>
  </si>
  <si>
    <t>LORA CASTRO NESTOR RAFAEL</t>
  </si>
  <si>
    <t xml:space="preserve">GARCIA GRANADOS CECILIA </t>
  </si>
  <si>
    <t>VELASQUEZ DE SANCHEZ COLOMBIA</t>
  </si>
  <si>
    <t>BUITRAGO DE CARDONA GLADYS</t>
  </si>
  <si>
    <t>ESCOBAR DE GUTIERREZ  MARIELA</t>
  </si>
  <si>
    <t>ESPINOSA DE GIRALDO MERCEDES</t>
  </si>
  <si>
    <t>BOTERO DE ARENAS MARIA</t>
  </si>
  <si>
    <t>MEJIA DE GALLO DAYSSY</t>
  </si>
  <si>
    <t>ZULUAGA DE MARIN MARIA ALCIRA</t>
  </si>
  <si>
    <t>CUELLAR DE DIAZ  LUZ ALBA</t>
  </si>
  <si>
    <t>GONZALEZ DE TOBON VILMA</t>
  </si>
  <si>
    <t>HOYOS CAMPUZANO  OCTAVIO HUMBER</t>
  </si>
  <si>
    <t>CIFUENTES CASAS  ALICIA</t>
  </si>
  <si>
    <t>GOMEZ TOBON ALBERTO IVAN</t>
  </si>
  <si>
    <t>SANCHEZ GOMEZ MARTA CECILIA</t>
  </si>
  <si>
    <t>VILLA GARCIA OSCAR TULIO</t>
  </si>
  <si>
    <t>BETANCUR GARCIA MARIA TERESA</t>
  </si>
  <si>
    <t>SEPULVEDA DE CASTANEDA  NOHORA</t>
  </si>
  <si>
    <t>ZAPATA DE VILLEGAS ANA JUDITH</t>
  </si>
  <si>
    <t>MORENO VELEZ  MARIA ANGELA</t>
  </si>
  <si>
    <t>LOPEZ SALAZAR  MARIA DEL CARMEN</t>
  </si>
  <si>
    <t>VEGA DE GOMEZ MARIA ESTER</t>
  </si>
  <si>
    <t>RUBIELA DE JESUS TABARES GALLEGO</t>
  </si>
  <si>
    <t>MONTAYA DE AGUIRRE CONSUELO DE JESUS</t>
  </si>
  <si>
    <t>TOBON DE CARDONA MARIA VICTORIA</t>
  </si>
  <si>
    <t>PELAEZ DE CASTAÑEDA DORA LUCIA</t>
  </si>
  <si>
    <t>GUTIERREZ DE ROJAS ALICIA</t>
  </si>
  <si>
    <t>VELEZ PEÑA AIDA PATRICIA</t>
  </si>
  <si>
    <t>HINCAPIE OSORIO JUAN CARLOS</t>
  </si>
  <si>
    <t>VALENCIA CASAS  ALBA NELLY</t>
  </si>
  <si>
    <t>LOPEZ DE FLOR AMALIA</t>
  </si>
  <si>
    <t>CARDENAS VASQUEZ GLADIS</t>
  </si>
  <si>
    <t>OCHOA PALACIOS TERESA MARINA</t>
  </si>
  <si>
    <t>BARRANCO ECHEVERRIA CARMEN MIREYA</t>
  </si>
  <si>
    <t>SUAREZ DE MEDINA MYRIAM</t>
  </si>
  <si>
    <t>ALONSO DE ALONSO MARIA HERMINDA</t>
  </si>
  <si>
    <t>VARGAS DE AREVALO FLOR ALBA</t>
  </si>
  <si>
    <t>MONROY RIAÑO ELVA NELLY</t>
  </si>
  <si>
    <t>BOJACA DE MUÑOZ GLADYS VISITACION</t>
  </si>
  <si>
    <t xml:space="preserve">MORALES AVILA SOFIA </t>
  </si>
  <si>
    <t>MAESTRE GARZON MARIA ANGEL</t>
  </si>
  <si>
    <t>SOSA MONTENEGRO LEONILDE ISABEL</t>
  </si>
  <si>
    <t>DE ANGOLA TERESA ROSSI</t>
  </si>
  <si>
    <t>MACHADO DE AMEZQUITA BEATRIZ</t>
  </si>
  <si>
    <t>PULIDO VDA  DE FONECA MARIA ALI</t>
  </si>
  <si>
    <t>MORALES DE SEGURA BLANCA</t>
  </si>
  <si>
    <t>ROJAS DE BADILLO ANA CECILIA</t>
  </si>
  <si>
    <t>CLEMENTINA GARZON GARZON</t>
  </si>
  <si>
    <t>GUTIERREZ DE RAMOS CARMEN ALICIA</t>
  </si>
  <si>
    <t>ESTHER CECILIA CUAN ESCOBAR</t>
  </si>
  <si>
    <t>AGUDELO DE RENTERIA CARMEN EMILIA</t>
  </si>
  <si>
    <t>31/03/2025</t>
  </si>
  <si>
    <t>30/04/2025</t>
  </si>
  <si>
    <t>31/05/2025</t>
  </si>
  <si>
    <t>PAGOS</t>
  </si>
  <si>
    <t>PAGOS 2022</t>
  </si>
  <si>
    <t>PAGOS 2023</t>
  </si>
  <si>
    <t>PAGOS 2025</t>
  </si>
  <si>
    <t>Total:</t>
  </si>
  <si>
    <t>Capital</t>
  </si>
  <si>
    <t>Intereses</t>
  </si>
  <si>
    <t>30/06/2025</t>
  </si>
  <si>
    <t/>
  </si>
  <si>
    <t>MARIA AZUCENA MARTINEZ DE ROA</t>
  </si>
  <si>
    <t>GLORIA  INES  OSMA DE MUÑOZ</t>
  </si>
  <si>
    <t>BARBARA  RIOS DE TELLO</t>
  </si>
  <si>
    <t>ROCIO DEL SOCORRO ATEHORTUA BOTERO</t>
  </si>
  <si>
    <t>JOSE JAIRO ARENAS FRANCO</t>
  </si>
  <si>
    <t>CAPITAL</t>
  </si>
  <si>
    <t>INTERESES</t>
  </si>
  <si>
    <t>CUOTAS PARTES POR COBRAR AGOSTO DEL 2022 A JULIO DEL 2025</t>
  </si>
  <si>
    <t>Badillo Acosta Carlos Hernand</t>
  </si>
  <si>
    <t>Renteria Ramirez Manuel Felip</t>
  </si>
  <si>
    <t>Carey Caballero Sebastían Seg</t>
  </si>
  <si>
    <t>López Fajardo Maria del Carme</t>
  </si>
  <si>
    <t>Amezquita Sanchez Luis Hernan</t>
  </si>
  <si>
    <t>Marquez de Obando Blanca Lili</t>
  </si>
  <si>
    <t>Cardona Sanchez Teresa de Jes</t>
  </si>
  <si>
    <t>Quiñones de Villalobos Myriam</t>
  </si>
  <si>
    <t>Martínez Martínez Ismael Artu</t>
  </si>
  <si>
    <t>Pinilla Vasquez Jorge Eliecer</t>
  </si>
  <si>
    <t>Torres de Segura Maria Elizab</t>
  </si>
  <si>
    <t xml:space="preserve">Sanabria Gomez Maria Azucena </t>
  </si>
  <si>
    <t>Tovar Santacoloma Blanca Mari</t>
  </si>
  <si>
    <t>Palencia Gomez Héctor Armando</t>
  </si>
  <si>
    <t>Carrillo Villamizar Jose Trin</t>
  </si>
  <si>
    <t>Salamanca Muñoz Segundo Arqui</t>
  </si>
  <si>
    <t>Vela Guerrero Myriam del Rosa</t>
  </si>
  <si>
    <t>Gamboa Insuasti Gerardo Vicen</t>
  </si>
  <si>
    <t>Martinez Morales Miguel Anton</t>
  </si>
  <si>
    <t>Corredor Peñaranda Luis Rober</t>
  </si>
  <si>
    <t>Chinchilla Celis jose Diogene</t>
  </si>
  <si>
    <t>Lamboglia Rodriguez Carmen de</t>
  </si>
  <si>
    <t>Bobadilla Gutierrez Victor Al</t>
  </si>
  <si>
    <t>Thomas Castellanos Miguel Seg</t>
  </si>
  <si>
    <t>Molina Fernández Martha Cecil</t>
  </si>
  <si>
    <t>Sabogal de Rodriguez Julia Ma</t>
  </si>
  <si>
    <t>Castro Carrillo Crispin Alfre</t>
  </si>
  <si>
    <t>Castañeda Vejarano Gloria Elv</t>
  </si>
  <si>
    <t>Porras Rubio Hernando Francis</t>
  </si>
  <si>
    <t>Beltran Capador Néstor Hernan</t>
  </si>
  <si>
    <t>Roncancio Buitrago Luis Carlo</t>
  </si>
  <si>
    <t>Agudelo Acevedo Julio Alberto</t>
  </si>
  <si>
    <t>Narvaez de Lopez Lucia Colomb</t>
  </si>
  <si>
    <t>Aponte Santos Gilberto de las</t>
  </si>
  <si>
    <t xml:space="preserve">Marín Castro Sofia Esperanza </t>
  </si>
  <si>
    <t>Herrera de Sanchez Blanca Cec</t>
  </si>
  <si>
    <t>Vargas Villanueva jose Norbey</t>
  </si>
  <si>
    <t>Ardila de Maury Maria del Soc</t>
  </si>
  <si>
    <t>Tuesca de Morales Mercedes El</t>
  </si>
  <si>
    <t>Suarez de Villamizar Ana Beni</t>
  </si>
  <si>
    <t>Carrillo de Ardila Fanny Cris</t>
  </si>
  <si>
    <t>Palmera Rodriguez Maria Helen</t>
  </si>
  <si>
    <t>Cañizares de Salas Ninfa Anto</t>
  </si>
  <si>
    <t>Rivas Palacios Alexis Mardomi</t>
  </si>
  <si>
    <t>Serrano de Caicedo Nelsy Mari</t>
  </si>
  <si>
    <t>Bastidas Palacios Leonardo Sa</t>
  </si>
  <si>
    <t>Arrunategui Sandoval Elizabet</t>
  </si>
  <si>
    <t>Bolaños Gutierrez Jorge Olimp</t>
  </si>
  <si>
    <t>Victoria Escobar Ernesto Artu</t>
  </si>
  <si>
    <t>Ortiz Guerrero Orlando - Sust</t>
  </si>
  <si>
    <t>Carbonell Gutierrez Julio Ces</t>
  </si>
  <si>
    <t xml:space="preserve">Montalvo de Locarno Maria de </t>
  </si>
  <si>
    <t>Valenzuela Puerta jose Agapit</t>
  </si>
  <si>
    <t>Maldonado Cuervo Blanca Celin</t>
  </si>
  <si>
    <t>Villegas Gaviria Ivan de Jesu</t>
  </si>
  <si>
    <t>Granados Aguirre Jorge Albert</t>
  </si>
  <si>
    <t>Betancur Escobar Francisco Go</t>
  </si>
  <si>
    <t>Acosta Gomez Yamile del Socor</t>
  </si>
  <si>
    <t>Lopera Agudelo Querubin de Je</t>
  </si>
  <si>
    <t>Arroyave Zapata Fanny Cecilia</t>
  </si>
  <si>
    <t>Garces Lopez Ana Esther del S</t>
  </si>
  <si>
    <t>Bermudez Jaramillo Albeiro de</t>
  </si>
  <si>
    <t>Palacios Botero  Francisco Al</t>
  </si>
  <si>
    <t>Cuartas de Pernett Silvia Mar</t>
  </si>
  <si>
    <t>Palacios Botero Francisco Alo</t>
  </si>
  <si>
    <t>Castro Hernández Orlando Anto</t>
  </si>
  <si>
    <t>Castañeda Londoño Leonel Alci</t>
  </si>
  <si>
    <t>Duque Arbelaez Helena Margari</t>
  </si>
  <si>
    <t>Yepes Grisales Teresa del Soc</t>
  </si>
  <si>
    <t>Tamayo de Ramirez Maria Cenob</t>
  </si>
  <si>
    <t>Martínez Pabon Gerardo Anibal</t>
  </si>
  <si>
    <t>Calvache Martinez Julio Alber</t>
  </si>
  <si>
    <t>Guerrero Borja Reinaldo  Alir</t>
  </si>
  <si>
    <t>Asprilla Murillo Antonio Mele</t>
  </si>
  <si>
    <t>Rodriguez de Martínez Ana Isa</t>
  </si>
  <si>
    <t>Villamil de Martínez Maria  N</t>
  </si>
  <si>
    <t>Renteria Romero Hector Antoni</t>
  </si>
  <si>
    <t>Arciniegas de Arias Maria Eni</t>
  </si>
  <si>
    <t>Caicedo de Barrios  Maria Ine</t>
  </si>
  <si>
    <t>Melo Guerrero Elimenes Orland</t>
  </si>
  <si>
    <t xml:space="preserve"> -NIT. </t>
  </si>
  <si>
    <t>MAYO</t>
  </si>
  <si>
    <t>TOTALES</t>
  </si>
  <si>
    <t>JUNIO</t>
  </si>
  <si>
    <t>JULIO</t>
  </si>
  <si>
    <t>-</t>
  </si>
  <si>
    <t xml:space="preserve"> Pago Ene 2023 </t>
  </si>
  <si>
    <t xml:space="preserve"> Pago Feb 2023 </t>
  </si>
  <si>
    <t xml:space="preserve"> Pago Mar 2023 </t>
  </si>
  <si>
    <t xml:space="preserve"> Pago Abr 2023 </t>
  </si>
  <si>
    <t xml:space="preserve"> Pago May 2023 </t>
  </si>
  <si>
    <t xml:space="preserve"> Pago Jun 2023 </t>
  </si>
  <si>
    <t xml:space="preserve"> Pago Jul 2023 </t>
  </si>
  <si>
    <t xml:space="preserve"> Pago Ago 2023 </t>
  </si>
  <si>
    <t xml:space="preserve"> Pago Sep 2023 </t>
  </si>
  <si>
    <t xml:space="preserve"> Pago Oct 2023 </t>
  </si>
  <si>
    <t xml:space="preserve"> Pago Nov 2023 </t>
  </si>
  <si>
    <t xml:space="preserve"> Pago Dic 2023 </t>
  </si>
  <si>
    <t xml:space="preserve"> Pago Ene 2024 </t>
  </si>
  <si>
    <t xml:space="preserve"> Pago Feb 2024 </t>
  </si>
  <si>
    <t xml:space="preserve"> Pago Mar 2024 </t>
  </si>
  <si>
    <t xml:space="preserve"> Pago Abr 2024 </t>
  </si>
  <si>
    <t xml:space="preserve"> Pago May 2024 </t>
  </si>
  <si>
    <t xml:space="preserve"> Pago Jun 2024 </t>
  </si>
  <si>
    <t xml:space="preserve"> Pago Jul 2024 </t>
  </si>
  <si>
    <t xml:space="preserve"> Pago Ago 2024 </t>
  </si>
  <si>
    <t xml:space="preserve"> Pago Sep 2024 </t>
  </si>
  <si>
    <t xml:space="preserve"> Pago Oct 2024 </t>
  </si>
  <si>
    <t xml:space="preserve"> Pago Nov 2024 </t>
  </si>
  <si>
    <t xml:space="preserve"> Pago Dic 2024 </t>
  </si>
  <si>
    <t xml:space="preserve"> Pago Ene 2025 </t>
  </si>
  <si>
    <t xml:space="preserve"> Pago Feb 2025 </t>
  </si>
  <si>
    <t xml:space="preserve"> Pago Mar 2025 </t>
  </si>
  <si>
    <t xml:space="preserve"> Pago Abr 2025 </t>
  </si>
  <si>
    <t xml:space="preserve"> Pago May 2025 </t>
  </si>
  <si>
    <t xml:space="preserve"> Pago Jun 2025 </t>
  </si>
  <si>
    <t xml:space="preserve"> Pago Jul 2025 </t>
  </si>
  <si>
    <t xml:space="preserve"> Observaciones </t>
  </si>
  <si>
    <t xml:space="preserve"> </t>
  </si>
  <si>
    <t xml:space="preserve"> Pago Dic 2022 </t>
  </si>
  <si>
    <t xml:space="preserve"> Pago Nov 2022 </t>
  </si>
  <si>
    <t xml:space="preserve"> Pago Oct 2022 </t>
  </si>
  <si>
    <t xml:space="preserve"> Pago Ago 2022 </t>
  </si>
  <si>
    <t xml:space="preserve"> Pago Sep 2022 </t>
  </si>
  <si>
    <t>A?o</t>
  </si>
  <si>
    <t>Pensi?n pagada SENA</t>
  </si>
  <si>
    <t>Pensi?n pagada 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</si>
</sst>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7" formatCode="&quot;$&quot;#,##0.00_);\(&quot;$&quot;#,##0.00\)"/>
    <numFmt numFmtId="44" formatCode="_(&quot;$&quot;* #,##0.00_);_(&quot;$&quot;* \(#,##0.00\);_(&quot;$&quot;* &quot;-&quot;??_);_(@_)"/>
    <numFmt numFmtId="164" formatCode="0.0000%"/>
    <numFmt numFmtId="165" formatCode="_ * #,##0.00_ ;_ * \-#,##0.00_ ;_ * &quot;-&quot;??_ ;_ @_ "/>
    <numFmt numFmtId="166" formatCode="_-* #,##0.00\ _p_t_a_-;\-* #,##0.00\ _p_t_a_-;_-* &quot;-&quot;??\ _p_t_a_-;_-@_-"/>
    <numFmt numFmtId="167" formatCode="&quot;$&quot;#,##0"/>
    <numFmt numFmtId="168" formatCode="_(&quot;$&quot;* #,##0_);_(&quot;$&quot;* \(#,##0\);_(&quot;$&quot;* &quot;-&quot;??_);_(@_)"/>
    <numFmt numFmtId="169" formatCode="mm\-yyyy"/>
    <numFmt numFmtId="170" formatCode="dd/mm/yyyy"/>
    <numFmt numFmtId="171" formatCode="[$-1540A]dd\ mmmm\,\ yyyy;@"/>
    <numFmt numFmtId="172" formatCode="dd\-mm"/>
    <numFmt numFmtId="173" formatCode="&quot;$&quot;#,##0.00"/>
    <numFmt numFmtId="174" formatCode="dd/mm/yyyy;@"/>
    <numFmt numFmtId="175" formatCode="dd/mm/yy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sz val="10"/>
      <color indexed="8"/>
      <name val="MS Sans Serif"/>
      <family val="2"/>
    </font>
    <font>
      <b/>
      <sz val="9"/>
      <name val="Arial"/>
      <family val="2"/>
    </font>
    <font>
      <sz val="8"/>
      <name val="Tahoma"/>
      <family val="2"/>
    </font>
    <font>
      <sz val="8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Arial"/>
      <family val="2"/>
    </font>
    <font>
      <b/>
      <sz val="12"/>
      <color rgb="FF333333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indexed="8"/>
      <name val="Arial"/>
      <family val="2"/>
    </font>
    <font>
      <b/>
      <sz val="12"/>
      <color indexed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E9F3F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8ED973"/>
        <bgColor rgb="FF000000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rgb="FFE97132"/>
      </right>
      <top style="thin">
        <color indexed="64"/>
      </top>
      <bottom style="medium">
        <color indexed="64"/>
      </bottom>
      <diagonal/>
    </border>
    <border>
      <left/>
      <right style="double">
        <color rgb="FFE97132"/>
      </right>
      <top style="thin">
        <color indexed="64"/>
      </top>
      <bottom style="thin">
        <color indexed="64"/>
      </bottom>
      <diagonal/>
    </border>
    <border>
      <left/>
      <right style="double">
        <color rgb="FFE97132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5" fillId="0" borderId="0"/>
    <xf numFmtId="0" fontId="9" fillId="0" borderId="0"/>
    <xf numFmtId="165" fontId="13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53">
    <xf numFmtId="0" fontId="0" fillId="0" borderId="0" xfId="0"/>
    <xf numFmtId="0" fontId="0" fillId="2" borderId="0" xfId="0" applyFill="1"/>
    <xf numFmtId="0" fontId="5" fillId="0" borderId="0" xfId="1"/>
    <xf numFmtId="0" fontId="4" fillId="0" borderId="0" xfId="1" applyFont="1"/>
    <xf numFmtId="0" fontId="4" fillId="0" borderId="3" xfId="1" applyFont="1" applyBorder="1" applyAlignment="1">
      <alignment horizontal="center" vertical="center" wrapText="1"/>
    </xf>
    <xf numFmtId="49" fontId="8" fillId="0" borderId="0" xfId="0" applyNumberFormat="1" applyFont="1" applyAlignment="1">
      <alignment wrapText="1"/>
    </xf>
    <xf numFmtId="0" fontId="5" fillId="0" borderId="3" xfId="1" applyBorder="1"/>
    <xf numFmtId="0" fontId="4" fillId="0" borderId="3" xfId="1" applyFont="1" applyBorder="1"/>
    <xf numFmtId="4" fontId="4" fillId="0" borderId="3" xfId="1" applyNumberFormat="1" applyFont="1" applyBorder="1"/>
    <xf numFmtId="0" fontId="2" fillId="2" borderId="1" xfId="0" applyFont="1" applyFill="1" applyBorder="1" applyAlignment="1">
      <alignment horizontal="center" vertical="center" wrapText="1"/>
    </xf>
    <xf numFmtId="3" fontId="2" fillId="5" borderId="3" xfId="0" applyNumberFormat="1" applyFont="1" applyFill="1" applyBorder="1" applyAlignment="1">
      <alignment horizontal="center" vertical="center" wrapText="1"/>
    </xf>
    <xf numFmtId="3" fontId="2" fillId="2" borderId="5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0" fontId="0" fillId="0" borderId="3" xfId="0" applyBorder="1"/>
    <xf numFmtId="0" fontId="2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3" fontId="2" fillId="6" borderId="6" xfId="0" applyNumberFormat="1" applyFont="1" applyFill="1" applyBorder="1" applyAlignment="1">
      <alignment horizontal="center" vertical="center" wrapText="1"/>
    </xf>
    <xf numFmtId="3" fontId="2" fillId="5" borderId="5" xfId="0" applyNumberFormat="1" applyFont="1" applyFill="1" applyBorder="1" applyAlignment="1">
      <alignment horizontal="center" vertical="center" wrapText="1"/>
    </xf>
    <xf numFmtId="164" fontId="2" fillId="5" borderId="4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6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14" fontId="0" fillId="0" borderId="3" xfId="0" applyNumberFormat="1" applyBorder="1"/>
    <xf numFmtId="0" fontId="14" fillId="0" borderId="3" xfId="0" applyFont="1" applyBorder="1" applyAlignment="1">
      <alignment horizontal="center" vertical="center"/>
    </xf>
    <xf numFmtId="3" fontId="2" fillId="2" borderId="15" xfId="0" applyNumberFormat="1" applyFont="1" applyFill="1" applyBorder="1" applyAlignment="1">
      <alignment horizontal="center" vertical="center"/>
    </xf>
    <xf numFmtId="10" fontId="0" fillId="0" borderId="0" xfId="0" applyNumberFormat="1"/>
    <xf numFmtId="10" fontId="4" fillId="0" borderId="3" xfId="1" applyNumberFormat="1" applyFont="1" applyBorder="1" applyAlignment="1">
      <alignment horizontal="center" vertical="center" wrapText="1"/>
    </xf>
    <xf numFmtId="167" fontId="0" fillId="0" borderId="0" xfId="0" applyNumberFormat="1"/>
    <xf numFmtId="167" fontId="4" fillId="0" borderId="3" xfId="1" applyNumberFormat="1" applyFont="1" applyBorder="1" applyAlignment="1">
      <alignment horizontal="center" vertical="center" wrapText="1"/>
    </xf>
    <xf numFmtId="167" fontId="5" fillId="0" borderId="3" xfId="1" applyNumberFormat="1" applyBorder="1"/>
    <xf numFmtId="168" fontId="0" fillId="0" borderId="0" xfId="7" applyNumberFormat="1" applyFont="1"/>
    <xf numFmtId="1" fontId="5" fillId="0" borderId="3" xfId="1" applyNumberFormat="1" applyBorder="1"/>
    <xf numFmtId="1" fontId="0" fillId="0" borderId="0" xfId="0" applyNumberFormat="1"/>
    <xf numFmtId="1" fontId="5" fillId="0" borderId="3" xfId="1" applyNumberForma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" fontId="0" fillId="0" borderId="0" xfId="0" applyNumberFormat="1"/>
    <xf numFmtId="168" fontId="4" fillId="0" borderId="11" xfId="7" applyNumberFormat="1" applyFont="1" applyBorder="1"/>
    <xf numFmtId="168" fontId="2" fillId="2" borderId="5" xfId="7" applyNumberFormat="1" applyFont="1" applyFill="1" applyBorder="1" applyAlignment="1">
      <alignment horizontal="center" vertical="center" wrapText="1"/>
    </xf>
    <xf numFmtId="167" fontId="4" fillId="0" borderId="0" xfId="1" applyNumberFormat="1" applyFont="1" applyAlignment="1">
      <alignment horizontal="center" vertical="center"/>
    </xf>
    <xf numFmtId="171" fontId="0" fillId="0" borderId="0" xfId="0" applyNumberFormat="1"/>
    <xf numFmtId="0" fontId="0" fillId="0" borderId="16" xfId="0" applyBorder="1"/>
    <xf numFmtId="14" fontId="0" fillId="0" borderId="16" xfId="0" applyNumberFormat="1" applyBorder="1"/>
    <xf numFmtId="167" fontId="0" fillId="0" borderId="0" xfId="7" applyNumberFormat="1" applyFont="1" applyBorder="1" applyAlignment="1">
      <alignment horizontal="center" vertical="center"/>
    </xf>
    <xf numFmtId="10" fontId="16" fillId="0" borderId="0" xfId="0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169" fontId="16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12" fillId="0" borderId="0" xfId="1" applyNumberFormat="1" applyFont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 wrapText="1"/>
    </xf>
    <xf numFmtId="169" fontId="10" fillId="0" borderId="0" xfId="0" applyNumberFormat="1" applyFont="1" applyAlignment="1">
      <alignment horizontal="center" vertical="center" wrapText="1"/>
    </xf>
    <xf numFmtId="169" fontId="4" fillId="0" borderId="0" xfId="1" applyNumberFormat="1" applyFont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174" fontId="2" fillId="2" borderId="1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0" fontId="18" fillId="0" borderId="3" xfId="0" applyFont="1" applyBorder="1"/>
    <xf numFmtId="0" fontId="17" fillId="2" borderId="3" xfId="0" applyFont="1" applyFill="1" applyBorder="1"/>
    <xf numFmtId="0" fontId="19" fillId="2" borderId="3" xfId="0" applyFont="1" applyFill="1" applyBorder="1"/>
    <xf numFmtId="0" fontId="18" fillId="8" borderId="3" xfId="0" applyFont="1" applyFill="1" applyBorder="1" applyAlignment="1">
      <alignment horizontal="left" vertical="top" wrapText="1"/>
    </xf>
    <xf numFmtId="0" fontId="21" fillId="0" borderId="18" xfId="0" applyFont="1" applyBorder="1" applyAlignment="1">
      <alignment horizontal="left"/>
    </xf>
    <xf numFmtId="3" fontId="21" fillId="0" borderId="18" xfId="0" applyNumberFormat="1" applyFont="1" applyBorder="1" applyAlignment="1">
      <alignment horizontal="right"/>
    </xf>
    <xf numFmtId="0" fontId="21" fillId="0" borderId="18" xfId="0" applyFont="1" applyBorder="1" applyAlignment="1">
      <alignment horizontal="right"/>
    </xf>
    <xf numFmtId="0" fontId="22" fillId="0" borderId="18" xfId="0" applyFont="1" applyBorder="1" applyAlignment="1">
      <alignment horizontal="left"/>
    </xf>
    <xf numFmtId="174" fontId="17" fillId="0" borderId="18" xfId="0" applyNumberFormat="1" applyFont="1" applyBorder="1" applyAlignment="1">
      <alignment horizontal="right"/>
    </xf>
    <xf numFmtId="175" fontId="17" fillId="0" borderId="18" xfId="0" applyNumberFormat="1" applyFont="1" applyBorder="1" applyAlignment="1">
      <alignment horizontal="right"/>
    </xf>
    <xf numFmtId="0" fontId="20" fillId="0" borderId="0" xfId="0" applyFont="1"/>
    <xf numFmtId="10" fontId="21" fillId="13" borderId="18" xfId="0" applyNumberFormat="1" applyFont="1" applyFill="1" applyBorder="1" applyAlignment="1">
      <alignment horizontal="right"/>
    </xf>
    <xf numFmtId="3" fontId="21" fillId="13" borderId="7" xfId="0" applyNumberFormat="1" applyFont="1" applyFill="1" applyBorder="1" applyAlignment="1">
      <alignment horizontal="right"/>
    </xf>
    <xf numFmtId="0" fontId="21" fillId="13" borderId="18" xfId="0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2" fillId="0" borderId="0" xfId="0" applyFont="1" applyAlignment="1">
      <alignment horizontal="left"/>
    </xf>
    <xf numFmtId="168" fontId="20" fillId="0" borderId="0" xfId="7" applyNumberFormat="1" applyFont="1"/>
    <xf numFmtId="167" fontId="20" fillId="0" borderId="0" xfId="7" applyNumberFormat="1" applyFont="1"/>
    <xf numFmtId="0" fontId="23" fillId="2" borderId="3" xfId="0" applyFont="1" applyFill="1" applyBorder="1"/>
    <xf numFmtId="0" fontId="23" fillId="2" borderId="0" xfId="0" applyFont="1" applyFill="1"/>
    <xf numFmtId="3" fontId="21" fillId="13" borderId="18" xfId="0" applyNumberFormat="1" applyFont="1" applyFill="1" applyBorder="1" applyAlignment="1">
      <alignment horizontal="right"/>
    </xf>
    <xf numFmtId="0" fontId="19" fillId="0" borderId="18" xfId="0" applyFont="1" applyBorder="1" applyAlignment="1">
      <alignment horizontal="left"/>
    </xf>
    <xf numFmtId="0" fontId="21" fillId="13" borderId="7" xfId="0" applyFont="1" applyFill="1" applyBorder="1" applyAlignment="1">
      <alignment horizontal="right"/>
    </xf>
    <xf numFmtId="175" fontId="17" fillId="0" borderId="8" xfId="0" applyNumberFormat="1" applyFont="1" applyBorder="1" applyAlignment="1">
      <alignment horizontal="right"/>
    </xf>
    <xf numFmtId="175" fontId="17" fillId="0" borderId="4" xfId="0" applyNumberFormat="1" applyFont="1" applyBorder="1" applyAlignment="1">
      <alignment horizontal="right"/>
    </xf>
    <xf numFmtId="3" fontId="19" fillId="0" borderId="18" xfId="0" applyNumberFormat="1" applyFont="1" applyBorder="1" applyAlignment="1">
      <alignment horizontal="right"/>
    </xf>
    <xf numFmtId="0" fontId="21" fillId="0" borderId="8" xfId="0" applyFont="1" applyBorder="1" applyAlignment="1">
      <alignment horizontal="left"/>
    </xf>
    <xf numFmtId="3" fontId="21" fillId="0" borderId="8" xfId="0" applyNumberFormat="1" applyFont="1" applyBorder="1" applyAlignment="1">
      <alignment horizontal="right"/>
    </xf>
    <xf numFmtId="0" fontId="22" fillId="0" borderId="8" xfId="0" applyFont="1" applyBorder="1" applyAlignment="1">
      <alignment horizontal="left"/>
    </xf>
    <xf numFmtId="3" fontId="21" fillId="13" borderId="9" xfId="0" applyNumberFormat="1" applyFont="1" applyFill="1" applyBorder="1" applyAlignment="1">
      <alignment horizontal="right"/>
    </xf>
    <xf numFmtId="0" fontId="21" fillId="0" borderId="4" xfId="0" applyFont="1" applyBorder="1" applyAlignment="1">
      <alignment horizontal="left"/>
    </xf>
    <xf numFmtId="3" fontId="21" fillId="0" borderId="4" xfId="0" applyNumberFormat="1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3" fontId="21" fillId="13" borderId="10" xfId="0" applyNumberFormat="1" applyFont="1" applyFill="1" applyBorder="1" applyAlignment="1">
      <alignment horizontal="right"/>
    </xf>
    <xf numFmtId="0" fontId="23" fillId="0" borderId="3" xfId="0" applyFont="1" applyBorder="1"/>
    <xf numFmtId="0" fontId="23" fillId="6" borderId="3" xfId="0" applyFont="1" applyFill="1" applyBorder="1"/>
    <xf numFmtId="0" fontId="23" fillId="2" borderId="11" xfId="0" applyFont="1" applyFill="1" applyBorder="1"/>
    <xf numFmtId="3" fontId="21" fillId="13" borderId="20" xfId="0" applyNumberFormat="1" applyFont="1" applyFill="1" applyBorder="1" applyAlignment="1">
      <alignment horizontal="right"/>
    </xf>
    <xf numFmtId="3" fontId="21" fillId="0" borderId="11" xfId="0" applyNumberFormat="1" applyFont="1" applyBorder="1" applyAlignment="1">
      <alignment horizontal="right"/>
    </xf>
    <xf numFmtId="3" fontId="21" fillId="0" borderId="12" xfId="0" applyNumberFormat="1" applyFont="1" applyBorder="1" applyAlignment="1">
      <alignment horizontal="right"/>
    </xf>
    <xf numFmtId="0" fontId="23" fillId="2" borderId="4" xfId="0" applyFont="1" applyFill="1" applyBorder="1"/>
    <xf numFmtId="3" fontId="21" fillId="13" borderId="0" xfId="0" applyNumberFormat="1" applyFont="1" applyFill="1" applyAlignment="1">
      <alignment horizontal="right"/>
    </xf>
    <xf numFmtId="9" fontId="21" fillId="13" borderId="18" xfId="0" applyNumberFormat="1" applyFont="1" applyFill="1" applyBorder="1" applyAlignment="1">
      <alignment horizontal="right"/>
    </xf>
    <xf numFmtId="3" fontId="19" fillId="13" borderId="7" xfId="0" applyNumberFormat="1" applyFont="1" applyFill="1" applyBorder="1" applyAlignment="1">
      <alignment horizontal="right"/>
    </xf>
    <xf numFmtId="0" fontId="19" fillId="13" borderId="18" xfId="0" applyFont="1" applyFill="1" applyBorder="1" applyAlignment="1">
      <alignment horizontal="right"/>
    </xf>
    <xf numFmtId="175" fontId="17" fillId="0" borderId="11" xfId="0" applyNumberFormat="1" applyFont="1" applyBorder="1" applyAlignment="1">
      <alignment horizontal="right"/>
    </xf>
    <xf numFmtId="175" fontId="17" fillId="0" borderId="14" xfId="0" applyNumberFormat="1" applyFont="1" applyBorder="1" applyAlignment="1">
      <alignment horizontal="right"/>
    </xf>
    <xf numFmtId="0" fontId="24" fillId="2" borderId="3" xfId="0" applyFont="1" applyFill="1" applyBorder="1"/>
    <xf numFmtId="3" fontId="19" fillId="13" borderId="18" xfId="0" applyNumberFormat="1" applyFont="1" applyFill="1" applyBorder="1" applyAlignment="1">
      <alignment horizontal="right"/>
    </xf>
    <xf numFmtId="3" fontId="21" fillId="13" borderId="21" xfId="0" applyNumberFormat="1" applyFont="1" applyFill="1" applyBorder="1" applyAlignment="1">
      <alignment horizontal="right"/>
    </xf>
    <xf numFmtId="0" fontId="21" fillId="0" borderId="13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21" fillId="0" borderId="14" xfId="0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3" fontId="21" fillId="13" borderId="22" xfId="0" applyNumberFormat="1" applyFont="1" applyFill="1" applyBorder="1" applyAlignment="1">
      <alignment horizontal="right"/>
    </xf>
    <xf numFmtId="0" fontId="23" fillId="2" borderId="16" xfId="0" applyFont="1" applyFill="1" applyBorder="1"/>
    <xf numFmtId="174" fontId="21" fillId="0" borderId="18" xfId="0" applyNumberFormat="1" applyFont="1" applyBorder="1" applyAlignment="1">
      <alignment horizontal="right"/>
    </xf>
    <xf numFmtId="174" fontId="21" fillId="0" borderId="8" xfId="0" applyNumberFormat="1" applyFont="1" applyBorder="1" applyAlignment="1">
      <alignment horizontal="right"/>
    </xf>
    <xf numFmtId="174" fontId="21" fillId="0" borderId="4" xfId="0" applyNumberFormat="1" applyFont="1" applyBorder="1" applyAlignment="1">
      <alignment horizontal="right"/>
    </xf>
    <xf numFmtId="174" fontId="21" fillId="0" borderId="14" xfId="0" applyNumberFormat="1" applyFont="1" applyBorder="1" applyAlignment="1">
      <alignment horizontal="right"/>
    </xf>
    <xf numFmtId="0" fontId="21" fillId="12" borderId="19" xfId="0" applyFont="1" applyFill="1" applyBorder="1" applyAlignment="1">
      <alignment horizontal="left"/>
    </xf>
    <xf numFmtId="0" fontId="21" fillId="12" borderId="23" xfId="0" applyFont="1" applyFill="1" applyBorder="1" applyAlignment="1">
      <alignment horizontal="left"/>
    </xf>
    <xf numFmtId="0" fontId="17" fillId="2" borderId="19" xfId="0" applyFont="1" applyFill="1" applyBorder="1"/>
    <xf numFmtId="0" fontId="17" fillId="9" borderId="23" xfId="0" applyFont="1" applyFill="1" applyBorder="1"/>
    <xf numFmtId="0" fontId="17" fillId="2" borderId="6" xfId="0" applyFont="1" applyFill="1" applyBorder="1"/>
    <xf numFmtId="0" fontId="17" fillId="2" borderId="23" xfId="0" applyFont="1" applyFill="1" applyBorder="1"/>
    <xf numFmtId="0" fontId="19" fillId="2" borderId="19" xfId="0" applyFont="1" applyFill="1" applyBorder="1"/>
    <xf numFmtId="0" fontId="17" fillId="0" borderId="19" xfId="0" applyFont="1" applyBorder="1"/>
    <xf numFmtId="0" fontId="20" fillId="2" borderId="19" xfId="0" applyFont="1" applyFill="1" applyBorder="1"/>
    <xf numFmtId="0" fontId="17" fillId="2" borderId="24" xfId="0" applyFont="1" applyFill="1" applyBorder="1"/>
    <xf numFmtId="173" fontId="20" fillId="0" borderId="18" xfId="0" applyNumberFormat="1" applyFont="1" applyBorder="1"/>
    <xf numFmtId="173" fontId="17" fillId="0" borderId="18" xfId="0" applyNumberFormat="1" applyFont="1" applyBorder="1"/>
    <xf numFmtId="173" fontId="17" fillId="0" borderId="18" xfId="0" applyNumberFormat="1" applyFont="1" applyBorder="1" applyAlignment="1">
      <alignment horizontal="right"/>
    </xf>
    <xf numFmtId="0" fontId="20" fillId="0" borderId="26" xfId="7" applyNumberFormat="1" applyFont="1" applyBorder="1"/>
    <xf numFmtId="0" fontId="20" fillId="0" borderId="26" xfId="0" applyFont="1" applyBorder="1"/>
    <xf numFmtId="10" fontId="20" fillId="0" borderId="25" xfId="0" applyNumberFormat="1" applyFont="1" applyBorder="1" applyAlignment="1">
      <alignment horizontal="right" vertical="center"/>
    </xf>
    <xf numFmtId="10" fontId="19" fillId="0" borderId="26" xfId="1" applyNumberFormat="1" applyFont="1" applyBorder="1" applyAlignment="1">
      <alignment horizontal="right" vertical="center"/>
    </xf>
    <xf numFmtId="168" fontId="20" fillId="0" borderId="26" xfId="7" applyNumberFormat="1" applyFont="1" applyBorder="1" applyAlignment="1">
      <alignment horizontal="right"/>
    </xf>
    <xf numFmtId="0" fontId="0" fillId="0" borderId="27" xfId="0" applyBorder="1"/>
    <xf numFmtId="0" fontId="0" fillId="0" borderId="27" xfId="0" applyBorder="1" applyAlignment="1">
      <alignment horizontal="center"/>
    </xf>
    <xf numFmtId="167" fontId="0" fillId="0" borderId="27" xfId="0" applyNumberFormat="1" applyBorder="1"/>
    <xf numFmtId="173" fontId="0" fillId="0" borderId="0" xfId="0" applyNumberFormat="1"/>
    <xf numFmtId="168" fontId="20" fillId="0" borderId="28" xfId="7" applyNumberFormat="1" applyFont="1" applyBorder="1" applyAlignment="1">
      <alignment horizontal="right"/>
    </xf>
    <xf numFmtId="0" fontId="19" fillId="0" borderId="18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21" fillId="0" borderId="4" xfId="0" applyFont="1" applyBorder="1" applyAlignment="1">
      <alignment horizontal="right"/>
    </xf>
    <xf numFmtId="0" fontId="21" fillId="0" borderId="13" xfId="0" applyFont="1" applyBorder="1" applyAlignment="1">
      <alignment horizontal="right"/>
    </xf>
    <xf numFmtId="0" fontId="21" fillId="0" borderId="14" xfId="0" applyFont="1" applyBorder="1" applyAlignment="1">
      <alignment horizontal="right"/>
    </xf>
    <xf numFmtId="0" fontId="25" fillId="0" borderId="29" xfId="0" applyFont="1" applyBorder="1"/>
    <xf numFmtId="0" fontId="0" fillId="0" borderId="29" xfId="0" applyBorder="1" applyAlignment="1">
      <alignment horizontal="center" vertical="center"/>
    </xf>
    <xf numFmtId="0" fontId="26" fillId="0" borderId="29" xfId="0" applyFont="1" applyBorder="1"/>
    <xf numFmtId="0" fontId="20" fillId="0" borderId="19" xfId="0" applyFont="1" applyBorder="1"/>
    <xf numFmtId="0" fontId="17" fillId="2" borderId="0" xfId="0" applyFont="1" applyFill="1"/>
    <xf numFmtId="168" fontId="20" fillId="0" borderId="3" xfId="7" applyNumberFormat="1" applyFont="1" applyBorder="1"/>
    <xf numFmtId="0" fontId="20" fillId="0" borderId="3" xfId="0" applyFont="1" applyBorder="1"/>
    <xf numFmtId="0" fontId="21" fillId="0" borderId="30" xfId="0" applyFont="1" applyBorder="1" applyAlignment="1">
      <alignment horizontal="left"/>
    </xf>
    <xf numFmtId="0" fontId="0" fillId="0" borderId="31" xfId="0" applyBorder="1"/>
    <xf numFmtId="44" fontId="0" fillId="0" borderId="31" xfId="7" applyFont="1" applyBorder="1"/>
    <xf numFmtId="0" fontId="21" fillId="0" borderId="31" xfId="0" applyFont="1" applyBorder="1" applyAlignment="1">
      <alignment horizontal="left"/>
    </xf>
    <xf numFmtId="3" fontId="21" fillId="0" borderId="31" xfId="0" applyNumberFormat="1" applyFont="1" applyBorder="1" applyAlignment="1">
      <alignment horizontal="right"/>
    </xf>
    <xf numFmtId="0" fontId="21" fillId="0" borderId="31" xfId="0" applyFont="1" applyBorder="1" applyAlignment="1">
      <alignment horizontal="right"/>
    </xf>
    <xf numFmtId="0" fontId="22" fillId="0" borderId="31" xfId="0" applyFont="1" applyBorder="1" applyAlignment="1">
      <alignment horizontal="left"/>
    </xf>
    <xf numFmtId="174" fontId="17" fillId="0" borderId="31" xfId="0" applyNumberFormat="1" applyFont="1" applyBorder="1" applyAlignment="1">
      <alignment horizontal="right"/>
    </xf>
    <xf numFmtId="175" fontId="17" fillId="0" borderId="31" xfId="0" applyNumberFormat="1" applyFont="1" applyBorder="1" applyAlignment="1">
      <alignment horizontal="right"/>
    </xf>
    <xf numFmtId="173" fontId="20" fillId="0" borderId="31" xfId="0" applyNumberFormat="1" applyFont="1" applyBorder="1"/>
    <xf numFmtId="173" fontId="17" fillId="0" borderId="31" xfId="0" applyNumberFormat="1" applyFont="1" applyBorder="1"/>
    <xf numFmtId="10" fontId="21" fillId="13" borderId="31" xfId="0" applyNumberFormat="1" applyFont="1" applyFill="1" applyBorder="1" applyAlignment="1">
      <alignment horizontal="right"/>
    </xf>
    <xf numFmtId="0" fontId="21" fillId="13" borderId="31" xfId="0" applyFont="1" applyFill="1" applyBorder="1" applyAlignment="1">
      <alignment horizontal="right"/>
    </xf>
    <xf numFmtId="0" fontId="23" fillId="2" borderId="31" xfId="0" applyFont="1" applyFill="1" applyBorder="1"/>
    <xf numFmtId="173" fontId="17" fillId="0" borderId="31" xfId="0" applyNumberFormat="1" applyFont="1" applyBorder="1" applyAlignment="1">
      <alignment horizontal="right"/>
    </xf>
    <xf numFmtId="0" fontId="18" fillId="0" borderId="31" xfId="0" applyFont="1" applyBorder="1"/>
    <xf numFmtId="174" fontId="21" fillId="0" borderId="31" xfId="0" applyNumberFormat="1" applyFont="1" applyBorder="1" applyAlignment="1">
      <alignment horizontal="right"/>
    </xf>
    <xf numFmtId="3" fontId="21" fillId="13" borderId="31" xfId="0" applyNumberFormat="1" applyFont="1" applyFill="1" applyBorder="1" applyAlignment="1">
      <alignment horizontal="right"/>
    </xf>
    <xf numFmtId="3" fontId="21" fillId="0" borderId="14" xfId="0" applyNumberFormat="1" applyFont="1" applyBorder="1" applyAlignment="1">
      <alignment horizontal="right"/>
    </xf>
    <xf numFmtId="0" fontId="19" fillId="0" borderId="31" xfId="0" applyFont="1" applyBorder="1" applyAlignment="1">
      <alignment horizontal="left"/>
    </xf>
    <xf numFmtId="3" fontId="19" fillId="0" borderId="31" xfId="0" applyNumberFormat="1" applyFont="1" applyBorder="1" applyAlignment="1">
      <alignment horizontal="right"/>
    </xf>
    <xf numFmtId="168" fontId="0" fillId="0" borderId="31" xfId="7" applyNumberFormat="1" applyFont="1" applyBorder="1"/>
    <xf numFmtId="168" fontId="0" fillId="0" borderId="0" xfId="7" applyNumberFormat="1" applyFont="1" applyBorder="1"/>
    <xf numFmtId="168" fontId="0" fillId="0" borderId="0" xfId="7" applyNumberFormat="1" applyFont="1" applyFill="1" applyBorder="1"/>
    <xf numFmtId="7" fontId="0" fillId="0" borderId="0" xfId="0" applyNumberFormat="1"/>
    <xf numFmtId="49" fontId="8" fillId="0" borderId="3" xfId="0" applyNumberFormat="1" applyFont="1" applyBorder="1" applyAlignment="1">
      <alignment horizontal="left" wrapText="1"/>
    </xf>
    <xf numFmtId="167" fontId="8" fillId="0" borderId="3" xfId="0" applyNumberFormat="1" applyFont="1" applyBorder="1" applyAlignment="1">
      <alignment horizontal="left" wrapText="1"/>
    </xf>
    <xf numFmtId="1" fontId="4" fillId="0" borderId="17" xfId="1" applyNumberFormat="1" applyFont="1" applyBorder="1" applyAlignment="1">
      <alignment horizontal="center" vertical="center" wrapText="1"/>
    </xf>
    <xf numFmtId="1" fontId="4" fillId="0" borderId="6" xfId="1" applyNumberFormat="1" applyFont="1" applyBorder="1" applyAlignment="1">
      <alignment horizontal="center" vertical="center" wrapText="1"/>
    </xf>
    <xf numFmtId="0" fontId="8" fillId="0" borderId="3" xfId="0" applyFont="1" applyBorder="1" applyAlignment="1">
      <alignment horizontal="left"/>
    </xf>
    <xf numFmtId="167" fontId="8" fillId="0" borderId="3" xfId="0" applyNumberFormat="1" applyFont="1" applyBorder="1" applyAlignment="1">
      <alignment horizontal="left"/>
    </xf>
    <xf numFmtId="0" fontId="8" fillId="0" borderId="3" xfId="1" applyFont="1" applyBorder="1" applyAlignment="1">
      <alignment horizontal="left"/>
    </xf>
    <xf numFmtId="167" fontId="8" fillId="0" borderId="3" xfId="1" applyNumberFormat="1" applyFont="1" applyBorder="1" applyAlignment="1">
      <alignment horizontal="left"/>
    </xf>
    <xf numFmtId="14" fontId="8" fillId="0" borderId="3" xfId="1" applyNumberFormat="1" applyFont="1" applyBorder="1" applyAlignment="1">
      <alignment horizontal="left"/>
    </xf>
    <xf numFmtId="0" fontId="3" fillId="0" borderId="3" xfId="2" applyFont="1" applyBorder="1" applyAlignment="1">
      <alignment horizontal="left" wrapText="1"/>
    </xf>
    <xf numFmtId="3" fontId="3" fillId="0" borderId="3" xfId="2" applyNumberFormat="1" applyFont="1" applyBorder="1" applyAlignment="1">
      <alignment horizontal="left" wrapText="1"/>
    </xf>
    <xf numFmtId="167" fontId="3" fillId="0" borderId="3" xfId="2" applyNumberFormat="1" applyFont="1" applyBorder="1" applyAlignment="1">
      <alignment horizontal="left" wrapText="1"/>
    </xf>
    <xf numFmtId="1" fontId="8" fillId="0" borderId="3" xfId="1" applyNumberFormat="1" applyFont="1" applyBorder="1" applyAlignment="1">
      <alignment horizontal="left"/>
    </xf>
    <xf numFmtId="0" fontId="4" fillId="0" borderId="3" xfId="1" applyFont="1" applyBorder="1" applyAlignment="1">
      <alignment horizontal="left"/>
    </xf>
    <xf numFmtId="3" fontId="4" fillId="0" borderId="3" xfId="1" applyNumberFormat="1" applyFont="1" applyBorder="1" applyAlignment="1">
      <alignment horizontal="left"/>
    </xf>
    <xf numFmtId="1" fontId="4" fillId="0" borderId="3" xfId="1" applyNumberFormat="1" applyFont="1" applyBorder="1" applyAlignment="1">
      <alignment horizontal="left"/>
    </xf>
    <xf numFmtId="168" fontId="21" fillId="0" borderId="0" xfId="7" applyNumberFormat="1" applyFont="1" applyBorder="1" applyAlignment="1">
      <alignment horizontal="right"/>
    </xf>
    <xf numFmtId="1" fontId="2" fillId="0" borderId="0" xfId="2" applyNumberFormat="1" applyFont="1" applyBorder="1" applyAlignment="1">
      <alignment horizontal="center" vertical="center" wrapText="1"/>
    </xf>
    <xf numFmtId="0" fontId="2" fillId="0" borderId="0" xfId="2" applyFont="1" applyBorder="1" applyAlignment="1">
      <alignment horizontal="center" vertical="center" wrapText="1"/>
    </xf>
    <xf numFmtId="167" fontId="2" fillId="0" borderId="0" xfId="2" applyNumberFormat="1" applyFont="1" applyBorder="1" applyAlignment="1">
      <alignment horizontal="center" vertical="center" wrapText="1"/>
    </xf>
    <xf numFmtId="10" fontId="2" fillId="0" borderId="0" xfId="2" applyNumberFormat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" fontId="2" fillId="11" borderId="32" xfId="2" applyNumberFormat="1" applyFont="1" applyFill="1" applyBorder="1" applyAlignment="1">
      <alignment horizontal="center" vertical="center" wrapText="1"/>
    </xf>
    <xf numFmtId="0" fontId="2" fillId="11" borderId="32" xfId="2" applyFont="1" applyFill="1" applyBorder="1" applyAlignment="1">
      <alignment horizontal="center" vertical="center" wrapText="1"/>
    </xf>
    <xf numFmtId="167" fontId="2" fillId="11" borderId="32" xfId="2" applyNumberFormat="1" applyFont="1" applyFill="1" applyBorder="1" applyAlignment="1">
      <alignment horizontal="center" vertical="center" wrapText="1"/>
    </xf>
    <xf numFmtId="0" fontId="10" fillId="11" borderId="32" xfId="1" applyFont="1" applyFill="1" applyBorder="1" applyAlignment="1">
      <alignment horizontal="center" vertical="center" wrapText="1"/>
    </xf>
    <xf numFmtId="170" fontId="4" fillId="4" borderId="32" xfId="1" applyNumberFormat="1" applyFont="1" applyFill="1" applyBorder="1" applyAlignment="1">
      <alignment horizontal="center" vertical="center"/>
    </xf>
    <xf numFmtId="10" fontId="4" fillId="4" borderId="32" xfId="1" applyNumberFormat="1" applyFont="1" applyFill="1" applyBorder="1" applyAlignment="1">
      <alignment vertical="center"/>
    </xf>
    <xf numFmtId="167" fontId="10" fillId="0" borderId="32" xfId="1" applyNumberFormat="1" applyFont="1" applyBorder="1" applyAlignment="1">
      <alignment horizontal="center" vertical="center"/>
    </xf>
    <xf numFmtId="167" fontId="10" fillId="10" borderId="32" xfId="1" applyNumberFormat="1" applyFont="1" applyFill="1" applyBorder="1" applyAlignment="1">
      <alignment horizontal="center" vertical="center"/>
    </xf>
    <xf numFmtId="3" fontId="10" fillId="0" borderId="32" xfId="1" applyNumberFormat="1" applyFont="1" applyBorder="1" applyAlignment="1">
      <alignment horizontal="center" vertical="center"/>
    </xf>
    <xf numFmtId="1" fontId="4" fillId="4" borderId="33" xfId="1" applyNumberFormat="1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1" fontId="10" fillId="0" borderId="0" xfId="1" applyNumberFormat="1" applyFont="1" applyBorder="1" applyAlignment="1">
      <alignment horizontal="center" vertical="center"/>
    </xf>
    <xf numFmtId="167" fontId="10" fillId="0" borderId="0" xfId="1" applyNumberFormat="1" applyFont="1" applyBorder="1" applyAlignment="1">
      <alignment horizontal="center" vertical="center"/>
    </xf>
    <xf numFmtId="10" fontId="10" fillId="0" borderId="0" xfId="1" applyNumberFormat="1" applyFont="1" applyBorder="1" applyAlignment="1">
      <alignment horizontal="center" vertical="center"/>
    </xf>
    <xf numFmtId="4" fontId="10" fillId="0" borderId="0" xfId="1" applyNumberFormat="1" applyFont="1" applyBorder="1" applyAlignment="1">
      <alignment horizontal="center" vertical="center"/>
    </xf>
    <xf numFmtId="4" fontId="4" fillId="0" borderId="0" xfId="1" applyNumberFormat="1" applyFont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4" fillId="0" borderId="0" xfId="1" applyFont="1" applyBorder="1"/>
    <xf numFmtId="0" fontId="0" fillId="0" borderId="0" xfId="0" applyBorder="1"/>
    <xf numFmtId="167" fontId="0" fillId="0" borderId="0" xfId="0" applyNumberFormat="1" applyBorder="1"/>
    <xf numFmtId="0" fontId="4" fillId="0" borderId="0" xfId="1" applyFont="1" applyBorder="1" applyAlignment="1">
      <alignment horizontal="center" vertical="center"/>
    </xf>
    <xf numFmtId="172" fontId="4" fillId="0" borderId="0" xfId="1" applyNumberFormat="1" applyFont="1" applyBorder="1" applyAlignment="1">
      <alignment horizontal="center" vertical="center"/>
    </xf>
    <xf numFmtId="167" fontId="4" fillId="0" borderId="0" xfId="1" applyNumberFormat="1" applyFont="1" applyBorder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/>
    </xf>
    <xf numFmtId="167" fontId="4" fillId="0" borderId="0" xfId="0" applyNumberFormat="1" applyFont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167" fontId="0" fillId="11" borderId="0" xfId="0" applyNumberFormat="1" applyFill="1" applyBorder="1" applyAlignment="1">
      <alignment horizontal="center" vertical="center"/>
    </xf>
    <xf numFmtId="167" fontId="4" fillId="11" borderId="0" xfId="1" applyNumberFormat="1" applyFont="1" applyFill="1" applyBorder="1" applyAlignment="1">
      <alignment horizontal="center" vertical="center"/>
    </xf>
    <xf numFmtId="167" fontId="4" fillId="11" borderId="0" xfId="0" applyNumberFormat="1" applyFont="1" applyFill="1" applyBorder="1" applyAlignment="1">
      <alignment horizontal="center" vertical="center"/>
    </xf>
    <xf numFmtId="7" fontId="0" fillId="11" borderId="0" xfId="0" applyNumberForma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7" fontId="0" fillId="0" borderId="0" xfId="0" applyNumberForma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0" fontId="16" fillId="0" borderId="0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169" fontId="16" fillId="0" borderId="0" xfId="0" applyNumberFormat="1" applyFont="1" applyBorder="1" applyAlignment="1">
      <alignment horizontal="center" vertical="center"/>
    </xf>
    <xf numFmtId="49" fontId="16" fillId="0" borderId="0" xfId="0" applyNumberFormat="1" applyFont="1" applyBorder="1" applyAlignment="1">
      <alignment horizontal="center" vertical="center"/>
    </xf>
    <xf numFmtId="167" fontId="16" fillId="11" borderId="0" xfId="0" applyNumberFormat="1" applyFont="1" applyFill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 wrapText="1"/>
    </xf>
    <xf numFmtId="7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</cellXfs>
  <cellStyles count="8">
    <cellStyle name="Millares 2" xfId="3" xr:uid="{F1A636F1-E9A7-498C-A4EB-7D7D412550DF}"/>
    <cellStyle name="Millares 3" xfId="5" xr:uid="{C319CB0C-BFF5-4A29-B137-504397733F89}"/>
    <cellStyle name="Moneda" xfId="7" builtinId="4"/>
    <cellStyle name="Normal" xfId="0" builtinId="0"/>
    <cellStyle name="Normal 2 2 2" xfId="1" xr:uid="{9AFDAE61-A384-4522-BAD9-3E4247EC648A}"/>
    <cellStyle name="Normal 2 2 2 2" xfId="4" xr:uid="{7069966B-CBD3-4EFD-950B-A4385FE0848B}"/>
    <cellStyle name="Normal 3" xfId="6" xr:uid="{34361837-E364-4960-8202-13AA20641BEC}"/>
    <cellStyle name="Normal_Hoja1" xfId="2" xr:uid="{FCC37F02-9B3C-47F1-BA19-8EF4FBCF5590}"/>
  </cellStyles>
  <dxfs count="14"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</dxfs>
  <tableStyles count="1" defaultTableStyle="TableStyleMedium2" defaultPivotStyle="PivotStyleLight16">
    <tableStyle name="Invisible" pivot="0" table="0" count="0" xr9:uid="{7653C6F3-A878-4776-8555-BD46A5D7CCE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G2132"/>
  <sheetViews>
    <sheetView tabSelected="1" zoomScale="70" zoomScaleNormal="70" workbookViewId="0">
      <selection activeCell="I4" sqref="I4:J4"/>
    </sheetView>
  </sheetViews>
  <sheetFormatPr baseColWidth="10" defaultColWidth="8.88671875" defaultRowHeight="14.4" x14ac:dyDescent="0.3"/>
  <cols>
    <col min="1" max="1" width="40.5546875" customWidth="1"/>
    <col min="2" max="2" width="16.88671875" bestFit="1" customWidth="1"/>
    <col min="3" max="3" width="16" bestFit="1" customWidth="1"/>
    <col min="4" max="4" width="13.33203125" customWidth="1"/>
    <col min="5" max="5" width="17.44140625" customWidth="1"/>
    <col min="6" max="6" width="21" customWidth="1"/>
    <col min="7" max="7" width="23.33203125" style="62" customWidth="1"/>
    <col min="8" max="8" width="16.109375" bestFit="1" customWidth="1"/>
    <col min="9" max="9" width="23.33203125" customWidth="1"/>
    <col min="10" max="10" width="21.44140625" customWidth="1"/>
    <col min="11" max="11" width="19" bestFit="1" customWidth="1"/>
    <col min="12" max="12" width="11.5546875" customWidth="1"/>
    <col min="13" max="13" width="11" bestFit="1" customWidth="1"/>
    <col min="14" max="15" width="9.109375" bestFit="1" customWidth="1"/>
    <col min="16" max="17" width="11" bestFit="1" customWidth="1"/>
    <col min="18" max="18" width="31.88671875" customWidth="1"/>
    <col min="19" max="19" width="25.77734375" customWidth="1"/>
    <col min="20" max="20" width="23.77734375" bestFit="1" customWidth="1"/>
    <col min="21" max="21" width="40.5546875" customWidth="1"/>
    <col min="22" max="22" width="73.88671875" bestFit="1" customWidth="1"/>
    <col min="23" max="24" width="29.77734375" style="31" customWidth="1"/>
    <col min="30" max="33" width="24.109375" customWidth="1"/>
    <col min="53" max="53" width="21.109375" style="43" customWidth="1"/>
    <col min="56" max="56" width="11.109375" bestFit="1" customWidth="1"/>
  </cols>
  <sheetData>
    <row r="1" spans="1:59" ht="36" x14ac:dyDescent="0.3">
      <c r="A1" s="15" t="s">
        <v>0</v>
      </c>
      <c r="B1" s="12" t="s">
        <v>1</v>
      </c>
      <c r="C1" s="13" t="s">
        <v>2</v>
      </c>
      <c r="D1" s="25" t="s">
        <v>48</v>
      </c>
      <c r="E1" s="16" t="s">
        <v>3</v>
      </c>
      <c r="F1" s="9" t="s">
        <v>4</v>
      </c>
      <c r="G1" s="61" t="s">
        <v>5</v>
      </c>
      <c r="H1" s="20" t="s">
        <v>6</v>
      </c>
      <c r="I1" s="29" t="s">
        <v>33</v>
      </c>
      <c r="J1" s="4" t="s">
        <v>34</v>
      </c>
      <c r="K1" s="12" t="s">
        <v>7</v>
      </c>
      <c r="L1" s="19" t="s">
        <v>8</v>
      </c>
      <c r="M1" s="18" t="s">
        <v>9</v>
      </c>
      <c r="N1" s="10" t="s">
        <v>10</v>
      </c>
      <c r="O1" s="17" t="s">
        <v>11</v>
      </c>
      <c r="P1" s="21" t="s">
        <v>12</v>
      </c>
      <c r="Q1" s="21" t="s">
        <v>13</v>
      </c>
      <c r="R1" s="24" t="s">
        <v>49</v>
      </c>
      <c r="S1" s="11" t="s">
        <v>14</v>
      </c>
      <c r="T1" s="11" t="s">
        <v>15</v>
      </c>
      <c r="U1" s="11" t="s">
        <v>16</v>
      </c>
      <c r="V1" s="11" t="s">
        <v>1779</v>
      </c>
      <c r="W1" s="41" t="s">
        <v>53</v>
      </c>
      <c r="X1" s="11"/>
      <c r="Y1" s="11"/>
      <c r="Z1" s="11"/>
      <c r="AA1" s="41"/>
      <c r="AB1" s="22" t="s">
        <v>17</v>
      </c>
      <c r="AC1" s="22" t="s">
        <v>18</v>
      </c>
      <c r="AD1" s="11" t="s">
        <v>1780</v>
      </c>
      <c r="AE1" s="11" t="s">
        <v>1781</v>
      </c>
      <c r="AF1" s="11" t="s">
        <v>51</v>
      </c>
      <c r="AG1" s="11" t="s">
        <v>1782</v>
      </c>
      <c r="BA1" s="43" t="s">
        <v>52</v>
      </c>
      <c r="BB1" t="s">
        <v>57</v>
      </c>
      <c r="BF1" t="s">
        <v>37</v>
      </c>
      <c r="BG1" t="s">
        <v>50</v>
      </c>
    </row>
    <row r="2" spans="1:59" ht="15.6" x14ac:dyDescent="0.3">
      <c r="A2" s="158" t="s">
        <v>654</v>
      </c>
      <c r="B2" s="69">
        <v>33128453</v>
      </c>
      <c r="C2" s="69" t="s">
        <v>655</v>
      </c>
      <c r="D2" s="69">
        <v>0</v>
      </c>
      <c r="E2" s="70" t="s">
        <v>472</v>
      </c>
      <c r="F2" s="67" t="s">
        <v>1643</v>
      </c>
      <c r="G2" s="71">
        <v>38275</v>
      </c>
      <c r="H2" s="72">
        <v>45222</v>
      </c>
      <c r="I2" s="133">
        <v>1849694.82</v>
      </c>
      <c r="J2" s="134">
        <v>264429.23</v>
      </c>
      <c r="K2" s="123" t="s">
        <v>1490</v>
      </c>
      <c r="L2" s="74">
        <v>4.1200000000000001E-2</v>
      </c>
      <c r="M2" s="75">
        <v>18714</v>
      </c>
      <c r="N2" s="76">
        <v>14</v>
      </c>
      <c r="O2" s="76"/>
      <c r="P2" s="76"/>
      <c r="Q2" s="76"/>
      <c r="R2" s="67" t="s">
        <v>1521</v>
      </c>
      <c r="S2" s="68">
        <v>800231235</v>
      </c>
      <c r="T2" s="77"/>
      <c r="U2" s="78"/>
      <c r="V2" s="81"/>
      <c r="W2" s="80">
        <v>1085280</v>
      </c>
      <c r="X2" s="77"/>
      <c r="Y2" s="78"/>
      <c r="Z2" s="81"/>
      <c r="AA2" s="80"/>
      <c r="AB2" s="14"/>
      <c r="AC2" s="14"/>
      <c r="AD2" s="81">
        <v>126000</v>
      </c>
      <c r="AE2" s="81">
        <v>520000</v>
      </c>
      <c r="AF2" s="81">
        <v>145000</v>
      </c>
      <c r="AG2" s="81">
        <v>253300</v>
      </c>
      <c r="BA2" s="43" t="s">
        <v>58</v>
      </c>
      <c r="BB2" s="39">
        <v>34.42</v>
      </c>
      <c r="BD2" s="31"/>
      <c r="BF2">
        <v>1965</v>
      </c>
      <c r="BG2" s="26">
        <v>0.1484</v>
      </c>
    </row>
    <row r="3" spans="1:59" ht="15.6" x14ac:dyDescent="0.3">
      <c r="A3" s="158" t="s">
        <v>656</v>
      </c>
      <c r="B3" s="69">
        <v>34523687</v>
      </c>
      <c r="C3" s="69" t="s">
        <v>657</v>
      </c>
      <c r="D3" s="69">
        <v>0</v>
      </c>
      <c r="E3" s="70" t="s">
        <v>472</v>
      </c>
      <c r="F3" s="67" t="s">
        <v>1643</v>
      </c>
      <c r="G3" s="71">
        <v>39539</v>
      </c>
      <c r="H3" s="72">
        <v>45222</v>
      </c>
      <c r="I3" s="133">
        <v>1698991.08</v>
      </c>
      <c r="J3" s="134">
        <v>242884.88</v>
      </c>
      <c r="K3" s="123" t="s">
        <v>1491</v>
      </c>
      <c r="L3" s="74">
        <v>6.4500000000000002E-2</v>
      </c>
      <c r="M3" s="75">
        <v>120659</v>
      </c>
      <c r="N3" s="76">
        <v>13</v>
      </c>
      <c r="O3" s="76"/>
      <c r="P3" s="76"/>
      <c r="Q3" s="76"/>
      <c r="R3" s="67" t="s">
        <v>1521</v>
      </c>
      <c r="S3" s="68">
        <v>800231235</v>
      </c>
      <c r="T3" s="77"/>
      <c r="U3" s="78"/>
      <c r="V3" s="81"/>
      <c r="W3" s="80">
        <v>636752</v>
      </c>
      <c r="X3" s="77"/>
      <c r="Y3" s="78"/>
      <c r="Z3" s="81"/>
      <c r="AA3" s="80"/>
      <c r="AB3" s="14"/>
      <c r="AC3" s="14"/>
      <c r="AD3" s="81">
        <v>120000</v>
      </c>
      <c r="AE3" s="81">
        <v>160000</v>
      </c>
      <c r="AF3" s="81">
        <v>84500</v>
      </c>
      <c r="AG3" s="81">
        <v>56000</v>
      </c>
      <c r="BA3" s="43" t="s">
        <v>59</v>
      </c>
      <c r="BB3" s="39">
        <v>34.15</v>
      </c>
      <c r="BD3" s="31"/>
      <c r="BF3">
        <v>1966</v>
      </c>
      <c r="BG3" s="26">
        <v>0.12920000000000001</v>
      </c>
    </row>
    <row r="4" spans="1:59" ht="15.6" x14ac:dyDescent="0.3">
      <c r="I4" s="182"/>
      <c r="J4" s="182"/>
      <c r="X4" s="77"/>
      <c r="Y4" s="78"/>
      <c r="Z4" s="82"/>
      <c r="AA4" s="80"/>
      <c r="AB4" s="14"/>
      <c r="AC4" s="14"/>
      <c r="AD4" s="81"/>
      <c r="AE4" s="81"/>
      <c r="AF4" s="81"/>
      <c r="AG4" s="81"/>
      <c r="BA4" s="43" t="s">
        <v>60</v>
      </c>
      <c r="BB4" s="39">
        <v>34.65</v>
      </c>
      <c r="BD4" s="31"/>
      <c r="BF4">
        <v>1967</v>
      </c>
      <c r="BG4" s="26">
        <v>7.9000000000000001E-2</v>
      </c>
    </row>
    <row r="5" spans="1:59" ht="15.6" x14ac:dyDescent="0.3">
      <c r="X5" s="77"/>
      <c r="Y5" s="78"/>
      <c r="Z5" s="81"/>
      <c r="AA5" s="80"/>
      <c r="AB5" s="14"/>
      <c r="AC5" s="14"/>
      <c r="AD5" s="81"/>
      <c r="AE5" s="81"/>
      <c r="AF5" s="81"/>
      <c r="AG5" s="8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BA5" s="43" t="s">
        <v>61</v>
      </c>
      <c r="BB5" s="39">
        <v>37.67</v>
      </c>
      <c r="BD5" s="31"/>
      <c r="BF5">
        <v>1975</v>
      </c>
      <c r="BG5" s="26">
        <v>0.17519999999999999</v>
      </c>
    </row>
    <row r="6" spans="1:59" ht="15.6" x14ac:dyDescent="0.3">
      <c r="X6" s="77"/>
      <c r="Y6" s="78"/>
      <c r="Z6" s="81"/>
      <c r="AA6" s="80"/>
      <c r="AB6" s="14"/>
      <c r="AC6" s="14"/>
      <c r="AD6" s="81"/>
      <c r="AE6" s="81"/>
      <c r="AF6" s="81"/>
      <c r="AG6" s="8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BA6" s="43" t="s">
        <v>62</v>
      </c>
      <c r="BB6" s="39">
        <v>38.450000000000003</v>
      </c>
      <c r="BD6" s="31"/>
      <c r="BF6">
        <v>1976</v>
      </c>
      <c r="BG6" s="26">
        <v>0.25600000000000001</v>
      </c>
    </row>
    <row r="7" spans="1:59" ht="15.6" x14ac:dyDescent="0.3">
      <c r="X7" s="77"/>
      <c r="Y7" s="78"/>
      <c r="Z7" s="63"/>
      <c r="AA7" s="80"/>
      <c r="AB7" s="14"/>
      <c r="AC7" s="14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BA7" s="43" t="s">
        <v>63</v>
      </c>
      <c r="BB7" s="39">
        <v>35.89</v>
      </c>
      <c r="BD7" s="31"/>
      <c r="BF7">
        <v>1977</v>
      </c>
      <c r="BG7" s="26">
        <v>0.27450000000000002</v>
      </c>
    </row>
    <row r="8" spans="1:59" ht="15.6" x14ac:dyDescent="0.3">
      <c r="X8" s="77"/>
      <c r="Y8" s="78"/>
      <c r="Z8" s="81"/>
      <c r="AA8" s="80"/>
      <c r="AB8" s="14"/>
      <c r="AC8" s="14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BA8" s="43" t="s">
        <v>64</v>
      </c>
      <c r="BB8" s="39">
        <v>34.99</v>
      </c>
      <c r="BD8" s="31"/>
      <c r="BF8">
        <v>1978</v>
      </c>
      <c r="BG8" s="26">
        <v>0.19750000000000001</v>
      </c>
    </row>
    <row r="9" spans="1:59" ht="15.6" x14ac:dyDescent="0.3">
      <c r="X9" s="77"/>
      <c r="Y9" s="78"/>
      <c r="Z9" s="81"/>
      <c r="AA9" s="80"/>
      <c r="AB9" s="14"/>
      <c r="AC9" s="14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BA9" s="43" t="s">
        <v>65</v>
      </c>
      <c r="BB9" s="39">
        <v>36.479999999999997</v>
      </c>
      <c r="BD9" s="31"/>
      <c r="BF9">
        <v>1979</v>
      </c>
      <c r="BG9" s="26">
        <v>0.28810000000000002</v>
      </c>
    </row>
    <row r="10" spans="1:59" ht="15.6" x14ac:dyDescent="0.3">
      <c r="X10" s="77"/>
      <c r="Y10" s="78"/>
      <c r="Z10" s="81"/>
      <c r="AA10" s="80"/>
      <c r="AB10" s="14"/>
      <c r="AC10" s="1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BA10" s="43" t="s">
        <v>66</v>
      </c>
      <c r="BB10" s="39">
        <v>37.99</v>
      </c>
      <c r="BD10" s="31"/>
      <c r="BF10">
        <v>1980</v>
      </c>
      <c r="BG10" s="26">
        <v>0.2596</v>
      </c>
    </row>
    <row r="11" spans="1:59" ht="15.6" x14ac:dyDescent="0.3">
      <c r="X11" s="77"/>
      <c r="Y11" s="78"/>
      <c r="Z11" s="81"/>
      <c r="AA11" s="80"/>
      <c r="AB11" s="14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BA11" s="43" t="s">
        <v>67</v>
      </c>
      <c r="BB11" s="39">
        <v>36.69</v>
      </c>
      <c r="BD11" s="31"/>
      <c r="BF11">
        <v>1981</v>
      </c>
      <c r="BG11" s="26">
        <v>0.2636</v>
      </c>
    </row>
    <row r="12" spans="1:59" ht="15.6" x14ac:dyDescent="0.3">
      <c r="X12" s="77"/>
      <c r="Y12" s="78"/>
      <c r="Z12" s="81"/>
      <c r="AA12" s="80"/>
      <c r="AB12" s="14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BA12" s="43" t="s">
        <v>68</v>
      </c>
      <c r="BB12" s="39">
        <v>36.54</v>
      </c>
      <c r="BD12" s="31"/>
      <c r="BF12">
        <v>1982</v>
      </c>
      <c r="BG12" s="26">
        <v>0.24030000000000001</v>
      </c>
    </row>
    <row r="13" spans="1:59" ht="15.6" x14ac:dyDescent="0.3">
      <c r="X13" s="77"/>
      <c r="Y13" s="78"/>
      <c r="Z13" s="81"/>
      <c r="AA13" s="80"/>
      <c r="AB13" s="14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BA13" s="43" t="s">
        <v>69</v>
      </c>
      <c r="BB13" s="39">
        <v>37.49</v>
      </c>
      <c r="BD13" s="31"/>
      <c r="BF13">
        <v>1983</v>
      </c>
      <c r="BG13" s="26">
        <v>0.16619999999999999</v>
      </c>
    </row>
    <row r="14" spans="1:59" ht="15.6" x14ac:dyDescent="0.3">
      <c r="X14" s="77"/>
      <c r="Y14" s="78"/>
      <c r="Z14" s="81"/>
      <c r="AA14" s="80"/>
      <c r="AB14" s="14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BA14" s="43" t="s">
        <v>70</v>
      </c>
      <c r="BB14" s="39">
        <v>38.32</v>
      </c>
      <c r="BD14" s="31"/>
      <c r="BF14">
        <v>1984</v>
      </c>
      <c r="BG14" s="26">
        <v>0.18279999999999999</v>
      </c>
    </row>
    <row r="15" spans="1:59" ht="15.6" x14ac:dyDescent="0.3">
      <c r="X15" s="77"/>
      <c r="Y15" s="78"/>
      <c r="Z15" s="63"/>
      <c r="AA15" s="80"/>
      <c r="AB15" s="14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BA15" s="43" t="s">
        <v>71</v>
      </c>
      <c r="BB15" s="39">
        <v>39.270000000000003</v>
      </c>
      <c r="BD15" s="31"/>
      <c r="BF15">
        <v>1985</v>
      </c>
      <c r="BG15" s="26">
        <v>0.22450000000000001</v>
      </c>
    </row>
    <row r="16" spans="1:59" ht="15.6" x14ac:dyDescent="0.3">
      <c r="X16" s="77"/>
      <c r="Y16" s="78"/>
      <c r="Z16" s="81"/>
      <c r="AA16" s="80"/>
      <c r="AB16" s="14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BA16" s="43" t="s">
        <v>72</v>
      </c>
      <c r="BB16" s="39">
        <v>38.090000000000003</v>
      </c>
      <c r="BD16" s="31"/>
      <c r="BF16">
        <v>1986</v>
      </c>
      <c r="BG16" s="26">
        <v>0.20949999999999999</v>
      </c>
    </row>
    <row r="17" spans="24:59" ht="15.6" x14ac:dyDescent="0.3">
      <c r="X17" s="77"/>
      <c r="Y17" s="78"/>
      <c r="Z17" s="81"/>
      <c r="AA17" s="80"/>
      <c r="AB17" s="14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BA17" s="43" t="s">
        <v>73</v>
      </c>
      <c r="BB17" s="39">
        <v>37.97</v>
      </c>
      <c r="BD17" s="31"/>
      <c r="BF17">
        <v>1987</v>
      </c>
      <c r="BG17" s="26">
        <v>0.2402</v>
      </c>
    </row>
    <row r="18" spans="24:59" ht="15.6" x14ac:dyDescent="0.3">
      <c r="X18" s="77"/>
      <c r="Y18" s="78"/>
      <c r="Z18" s="81"/>
      <c r="AA18" s="80"/>
      <c r="AB18" s="14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BA18" s="43" t="s">
        <v>74</v>
      </c>
      <c r="BB18" s="39">
        <v>36.979999999999997</v>
      </c>
      <c r="BD18" s="31"/>
      <c r="BF18">
        <v>1988</v>
      </c>
      <c r="BG18" s="26">
        <v>0.28120000000000001</v>
      </c>
    </row>
    <row r="19" spans="24:59" ht="15.6" x14ac:dyDescent="0.3">
      <c r="X19" s="77"/>
      <c r="Y19" s="78"/>
      <c r="Z19" s="81"/>
      <c r="AA19" s="80"/>
      <c r="AB19" s="14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BA19" s="43" t="s">
        <v>75</v>
      </c>
      <c r="BB19" s="39">
        <v>32.69</v>
      </c>
      <c r="BD19" s="31"/>
      <c r="BF19">
        <v>1989</v>
      </c>
      <c r="BG19" s="26">
        <v>0.26119999999999999</v>
      </c>
    </row>
    <row r="20" spans="24:59" ht="15.6" x14ac:dyDescent="0.3">
      <c r="X20" s="77"/>
      <c r="Y20" s="78"/>
      <c r="Z20" s="81"/>
      <c r="AA20" s="80"/>
      <c r="AB20" s="14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BA20" s="43" t="s">
        <v>76</v>
      </c>
      <c r="BB20" s="39">
        <v>28.86</v>
      </c>
      <c r="BD20" s="31"/>
      <c r="BF20">
        <v>1990</v>
      </c>
      <c r="BG20" s="26">
        <v>0.3236</v>
      </c>
    </row>
    <row r="21" spans="24:59" ht="15.6" x14ac:dyDescent="0.3">
      <c r="X21" s="77"/>
      <c r="Y21" s="78"/>
      <c r="Z21" s="81"/>
      <c r="AA21" s="80"/>
      <c r="AB21" s="14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BA21" s="43" t="s">
        <v>77</v>
      </c>
      <c r="BB21" s="39">
        <v>28.28</v>
      </c>
      <c r="BD21" s="31"/>
      <c r="BF21">
        <v>1991</v>
      </c>
      <c r="BG21" s="26">
        <v>0.26819999999999999</v>
      </c>
    </row>
    <row r="22" spans="24:59" ht="15.6" x14ac:dyDescent="0.3">
      <c r="X22" s="77"/>
      <c r="Y22" s="78"/>
      <c r="Z22" s="81"/>
      <c r="AA22" s="80"/>
      <c r="AB22" s="14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BA22" s="43" t="s">
        <v>78</v>
      </c>
      <c r="BB22" s="39">
        <v>26.75</v>
      </c>
      <c r="BD22" s="31"/>
      <c r="BF22">
        <v>1992</v>
      </c>
      <c r="BG22" s="26">
        <v>0.25130000000000002</v>
      </c>
    </row>
    <row r="23" spans="24:59" ht="15.6" x14ac:dyDescent="0.3">
      <c r="X23" s="77"/>
      <c r="Y23" s="78"/>
      <c r="Z23" s="81"/>
      <c r="AA23" s="80"/>
      <c r="AB23" s="14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BA23" s="43" t="s">
        <v>79</v>
      </c>
      <c r="BB23" s="39">
        <v>24.27</v>
      </c>
      <c r="BD23" s="31"/>
      <c r="BF23">
        <v>1993</v>
      </c>
      <c r="BG23" s="26">
        <v>0.22600000000000001</v>
      </c>
    </row>
    <row r="24" spans="24:59" ht="15.6" x14ac:dyDescent="0.3">
      <c r="X24" s="77"/>
      <c r="Y24" s="78"/>
      <c r="Z24" s="81"/>
      <c r="AA24" s="80"/>
      <c r="AB24" s="14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BA24" s="43" t="s">
        <v>80</v>
      </c>
      <c r="BB24" s="39">
        <v>22.75</v>
      </c>
      <c r="BD24" s="31"/>
      <c r="BF24">
        <v>1994</v>
      </c>
      <c r="BG24" s="26">
        <v>0.22600000000000001</v>
      </c>
    </row>
    <row r="25" spans="24:59" ht="15.6" x14ac:dyDescent="0.3">
      <c r="X25" s="77"/>
      <c r="Y25" s="78"/>
      <c r="Z25" s="81"/>
      <c r="AA25" s="80"/>
      <c r="AB25" s="14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BA25" s="43" t="s">
        <v>81</v>
      </c>
      <c r="BB25" s="39">
        <v>21.89</v>
      </c>
      <c r="BD25" s="31"/>
      <c r="BF25">
        <v>1995</v>
      </c>
      <c r="BG25" s="26">
        <v>0.1946</v>
      </c>
    </row>
    <row r="26" spans="24:59" ht="15.6" x14ac:dyDescent="0.3">
      <c r="X26" s="77"/>
      <c r="Y26" s="78"/>
      <c r="Z26" s="81"/>
      <c r="AA26" s="80"/>
      <c r="AB26" s="14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BA26" s="43" t="s">
        <v>82</v>
      </c>
      <c r="BB26" s="39">
        <v>25.32</v>
      </c>
      <c r="BD26" s="31"/>
      <c r="BF26">
        <v>1996</v>
      </c>
      <c r="BG26" s="26">
        <v>0.21629999999999999</v>
      </c>
    </row>
    <row r="27" spans="24:59" ht="15.6" x14ac:dyDescent="0.3">
      <c r="X27" s="77"/>
      <c r="Y27" s="78"/>
      <c r="Z27" s="81"/>
      <c r="AA27" s="80"/>
      <c r="AB27" s="14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BA27" s="43" t="s">
        <v>83</v>
      </c>
      <c r="BB27" s="39">
        <v>27.32</v>
      </c>
      <c r="BD27" s="31"/>
      <c r="BF27">
        <v>1997</v>
      </c>
      <c r="BG27" s="26">
        <v>0.17680000000000001</v>
      </c>
    </row>
    <row r="28" spans="24:59" ht="15.6" x14ac:dyDescent="0.3">
      <c r="X28" s="77"/>
      <c r="Y28" s="78"/>
      <c r="Z28" s="81"/>
      <c r="AA28" s="80"/>
      <c r="AB28" s="14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BA28" s="43" t="s">
        <v>84</v>
      </c>
      <c r="BB28" s="39">
        <v>27.61</v>
      </c>
      <c r="BD28" s="31"/>
      <c r="BF28">
        <v>1998</v>
      </c>
      <c r="BG28" s="26">
        <v>0.16700000000000001</v>
      </c>
    </row>
    <row r="29" spans="24:59" ht="15.6" x14ac:dyDescent="0.3">
      <c r="X29" s="77"/>
      <c r="Y29" s="78"/>
      <c r="Z29" s="81"/>
      <c r="AA29" s="80"/>
      <c r="AB29" s="14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BA29" s="43" t="s">
        <v>85</v>
      </c>
      <c r="BB29" s="39">
        <v>26.9</v>
      </c>
      <c r="BD29" s="31"/>
      <c r="BF29">
        <v>1999</v>
      </c>
      <c r="BG29" s="26">
        <v>9.2299999999999993E-2</v>
      </c>
    </row>
    <row r="30" spans="24:59" ht="15.6" x14ac:dyDescent="0.3">
      <c r="X30" s="77"/>
      <c r="Y30" s="78"/>
      <c r="Z30" s="81"/>
      <c r="AA30" s="80"/>
      <c r="AB30" s="14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BA30" s="43" t="s">
        <v>86</v>
      </c>
      <c r="BB30" s="39">
        <v>27.42</v>
      </c>
      <c r="BD30" s="31"/>
      <c r="BF30">
        <v>2000</v>
      </c>
      <c r="BG30" s="26">
        <v>8.7499999999999994E-2</v>
      </c>
    </row>
    <row r="31" spans="24:59" ht="15.6" x14ac:dyDescent="0.3">
      <c r="X31" s="77"/>
      <c r="Y31" s="78"/>
      <c r="Z31" s="81"/>
      <c r="AA31" s="80"/>
      <c r="AB31" s="14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BA31" s="43" t="s">
        <v>87</v>
      </c>
      <c r="BB31" s="39">
        <v>26.27</v>
      </c>
      <c r="BD31" s="31"/>
      <c r="BF31">
        <v>2001</v>
      </c>
      <c r="BG31" s="26">
        <v>7.6499999999999999E-2</v>
      </c>
    </row>
    <row r="32" spans="24:59" ht="15.6" x14ac:dyDescent="0.3">
      <c r="X32" s="77"/>
      <c r="Y32" s="78"/>
      <c r="Z32" s="81"/>
      <c r="AA32" s="80"/>
      <c r="AB32" s="14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BA32" s="43" t="s">
        <v>88</v>
      </c>
      <c r="BB32" s="39">
        <v>26.29</v>
      </c>
      <c r="BD32" s="31"/>
      <c r="BF32">
        <v>2002</v>
      </c>
      <c r="BG32" s="26">
        <v>6.9900000000000004E-2</v>
      </c>
    </row>
    <row r="33" spans="24:59" ht="15.6" x14ac:dyDescent="0.3">
      <c r="X33" s="77"/>
      <c r="Y33" s="78"/>
      <c r="Z33" s="81"/>
      <c r="AA33" s="80"/>
      <c r="AB33" s="14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BA33" s="43" t="s">
        <v>89</v>
      </c>
      <c r="BB33" s="39">
        <v>26.8</v>
      </c>
      <c r="BD33" s="31"/>
      <c r="BF33">
        <v>2003</v>
      </c>
      <c r="BG33" s="26">
        <v>1.06E-2</v>
      </c>
    </row>
    <row r="34" spans="24:59" ht="15.6" x14ac:dyDescent="0.3">
      <c r="X34" s="77"/>
      <c r="Y34" s="78"/>
      <c r="Z34" s="81"/>
      <c r="AA34" s="80"/>
      <c r="AB34" s="14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BA34" s="43" t="s">
        <v>90</v>
      </c>
      <c r="BB34" s="39">
        <v>26.71</v>
      </c>
      <c r="BD34" s="31"/>
      <c r="BF34">
        <v>2004</v>
      </c>
      <c r="BG34" s="26">
        <v>1.06E-2</v>
      </c>
    </row>
    <row r="35" spans="24:59" ht="15.6" x14ac:dyDescent="0.3">
      <c r="X35" s="77"/>
      <c r="Y35" s="78"/>
      <c r="Z35" s="81"/>
      <c r="AA35" s="80"/>
      <c r="AB35" s="14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BA35" s="43" t="s">
        <v>91</v>
      </c>
      <c r="BB35" s="39">
        <v>26.42</v>
      </c>
      <c r="BD35" s="31"/>
      <c r="BF35">
        <v>2005</v>
      </c>
      <c r="BG35" s="26">
        <v>1.0500000000000001E-2</v>
      </c>
    </row>
    <row r="36" spans="24:59" ht="15.6" x14ac:dyDescent="0.3">
      <c r="X36" s="77"/>
      <c r="Y36" s="78"/>
      <c r="Z36" s="81"/>
      <c r="AA36" s="80"/>
      <c r="AB36" s="14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BA36" s="43" t="s">
        <v>92</v>
      </c>
      <c r="BB36" s="39">
        <v>26.48</v>
      </c>
      <c r="BD36" s="31"/>
      <c r="BF36">
        <v>2006</v>
      </c>
      <c r="BG36" s="26">
        <v>1.04E-2</v>
      </c>
    </row>
    <row r="37" spans="24:59" ht="15.6" x14ac:dyDescent="0.3">
      <c r="X37" s="77"/>
      <c r="Y37" s="78"/>
      <c r="Z37" s="81"/>
      <c r="AA37" s="80"/>
      <c r="AB37" s="14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BA37" s="43" t="s">
        <v>93</v>
      </c>
      <c r="BB37" s="39">
        <v>25.34</v>
      </c>
      <c r="BD37" s="31"/>
      <c r="BF37">
        <v>2007</v>
      </c>
      <c r="BG37" s="26">
        <v>1.04E-2</v>
      </c>
    </row>
    <row r="38" spans="24:59" ht="15.6" x14ac:dyDescent="0.3">
      <c r="X38" s="77"/>
      <c r="Y38" s="78"/>
      <c r="Z38" s="81"/>
      <c r="AA38" s="80"/>
      <c r="AB38" s="14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BA38" s="43" t="s">
        <v>94</v>
      </c>
      <c r="BB38" s="39">
        <v>24.44</v>
      </c>
      <c r="BD38" s="31"/>
      <c r="BF38">
        <v>2008</v>
      </c>
      <c r="BG38" s="26">
        <v>1.0500000000000001E-2</v>
      </c>
    </row>
    <row r="39" spans="24:59" ht="15.6" x14ac:dyDescent="0.3">
      <c r="X39" s="77"/>
      <c r="Y39" s="78"/>
      <c r="Z39" s="81"/>
      <c r="AA39" s="80"/>
      <c r="AB39" s="14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BA39" s="43" t="s">
        <v>95</v>
      </c>
      <c r="BB39" s="39">
        <v>24.37</v>
      </c>
      <c r="BD39" s="31"/>
      <c r="BF39">
        <v>2009</v>
      </c>
      <c r="BG39" s="26">
        <v>1.0699999999999999E-2</v>
      </c>
    </row>
    <row r="40" spans="24:59" ht="15.6" x14ac:dyDescent="0.3">
      <c r="X40" s="77"/>
      <c r="Y40" s="78"/>
      <c r="Z40" s="81"/>
      <c r="AA40" s="80"/>
      <c r="AB40" s="14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BA40" s="43" t="s">
        <v>96</v>
      </c>
      <c r="BB40" s="39">
        <v>24.9</v>
      </c>
      <c r="BD40" s="31"/>
      <c r="BF40">
        <v>2010</v>
      </c>
      <c r="BG40" s="26">
        <v>1.0200000000000001E-2</v>
      </c>
    </row>
    <row r="41" spans="24:59" ht="15.6" x14ac:dyDescent="0.3">
      <c r="X41" s="77"/>
      <c r="Y41" s="78"/>
      <c r="Z41" s="81"/>
      <c r="AA41" s="80"/>
      <c r="AB41" s="14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BA41" s="43" t="s">
        <v>97</v>
      </c>
      <c r="BB41" s="39">
        <v>25.48</v>
      </c>
      <c r="BD41" s="31"/>
      <c r="BF41">
        <v>2011</v>
      </c>
      <c r="BG41" s="26">
        <v>1.03E-2</v>
      </c>
    </row>
    <row r="42" spans="24:59" ht="15.6" x14ac:dyDescent="0.3">
      <c r="X42" s="77"/>
      <c r="Y42" s="78"/>
      <c r="Z42" s="81"/>
      <c r="AA42" s="80"/>
      <c r="AB42" s="14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BA42" s="43" t="s">
        <v>98</v>
      </c>
      <c r="BB42" s="39">
        <v>26.49</v>
      </c>
      <c r="BD42" s="31"/>
      <c r="BF42">
        <v>2012</v>
      </c>
      <c r="BG42" s="26">
        <v>1.03E-2</v>
      </c>
    </row>
    <row r="43" spans="24:59" ht="15.6" x14ac:dyDescent="0.3">
      <c r="X43" s="77"/>
      <c r="Y43" s="78"/>
      <c r="Z43" s="81"/>
      <c r="AA43" s="80"/>
      <c r="AB43" s="14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BA43" s="43" t="s">
        <v>99</v>
      </c>
      <c r="BB43" s="39">
        <v>25.82</v>
      </c>
      <c r="BD43" s="31"/>
      <c r="BF43">
        <v>2013</v>
      </c>
      <c r="BG43" s="26">
        <v>1.0200000000000001E-2</v>
      </c>
    </row>
    <row r="44" spans="24:59" ht="15.6" x14ac:dyDescent="0.3">
      <c r="X44" s="77"/>
      <c r="Y44" s="78"/>
      <c r="Z44" s="81"/>
      <c r="AA44" s="80"/>
      <c r="AB44" s="14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BA44" s="43" t="s">
        <v>100</v>
      </c>
      <c r="BB44" s="39">
        <v>25.26</v>
      </c>
      <c r="BD44" s="31"/>
      <c r="BF44">
        <v>2014</v>
      </c>
      <c r="BG44" s="26">
        <v>1.01E-2</v>
      </c>
    </row>
    <row r="45" spans="24:59" ht="15.6" x14ac:dyDescent="0.3">
      <c r="X45" s="77"/>
      <c r="Y45" s="78"/>
      <c r="Z45" s="81"/>
      <c r="AA45" s="80"/>
      <c r="AB45" s="14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BA45" s="43" t="s">
        <v>101</v>
      </c>
      <c r="BB45" s="39">
        <v>25.34</v>
      </c>
      <c r="BD45" s="31"/>
      <c r="BF45">
        <v>2015</v>
      </c>
      <c r="BG45" s="26">
        <v>1.03E-2</v>
      </c>
    </row>
    <row r="46" spans="24:59" ht="15.6" x14ac:dyDescent="0.3">
      <c r="X46" s="77"/>
      <c r="Y46" s="78"/>
      <c r="Z46" s="81"/>
      <c r="AA46" s="80"/>
      <c r="AB46" s="14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BA46" s="43" t="s">
        <v>102</v>
      </c>
      <c r="BB46" s="39">
        <v>25.31</v>
      </c>
      <c r="BD46" s="31"/>
      <c r="BF46">
        <v>2016</v>
      </c>
      <c r="BG46" s="26">
        <v>1.06E-2</v>
      </c>
    </row>
    <row r="47" spans="24:59" ht="15.6" x14ac:dyDescent="0.3">
      <c r="X47" s="77"/>
      <c r="Y47" s="78"/>
      <c r="Z47" s="81"/>
      <c r="AA47" s="80"/>
      <c r="AB47" s="14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BA47" s="43" t="s">
        <v>103</v>
      </c>
      <c r="BB47" s="39">
        <v>26.21</v>
      </c>
      <c r="BD47" s="31"/>
      <c r="BF47">
        <v>2017</v>
      </c>
      <c r="BG47" s="26">
        <v>1.0500000000000001E-2</v>
      </c>
    </row>
    <row r="48" spans="24:59" ht="15.6" x14ac:dyDescent="0.3">
      <c r="X48" s="77"/>
      <c r="Y48" s="78"/>
      <c r="Z48" s="81"/>
      <c r="AA48" s="80"/>
      <c r="AB48" s="14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BA48" s="43" t="s">
        <v>104</v>
      </c>
      <c r="BB48" s="39">
        <v>28.25</v>
      </c>
      <c r="BD48" s="31"/>
      <c r="BF48">
        <v>2018</v>
      </c>
      <c r="BG48" s="26">
        <v>1.04E-2</v>
      </c>
    </row>
    <row r="49" spans="24:59" ht="15.6" x14ac:dyDescent="0.3">
      <c r="X49" s="77"/>
      <c r="Y49" s="78"/>
      <c r="Z49" s="81"/>
      <c r="AA49" s="80"/>
      <c r="AB49" s="14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BA49" s="43" t="s">
        <v>105</v>
      </c>
      <c r="BB49" s="39">
        <v>29.15</v>
      </c>
      <c r="BD49" s="31"/>
      <c r="BF49">
        <v>2019</v>
      </c>
      <c r="BG49" s="26">
        <v>1.03E-2</v>
      </c>
    </row>
    <row r="50" spans="24:59" ht="15.6" x14ac:dyDescent="0.3">
      <c r="X50" s="77"/>
      <c r="Y50" s="78"/>
      <c r="Z50" s="81"/>
      <c r="AA50" s="80"/>
      <c r="AB50" s="14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BA50" s="43" t="s">
        <v>106</v>
      </c>
      <c r="BB50" s="39">
        <v>30.69</v>
      </c>
      <c r="BD50" s="31"/>
      <c r="BF50">
        <v>2020</v>
      </c>
      <c r="BG50" s="26">
        <v>1.03E-2</v>
      </c>
    </row>
    <row r="51" spans="24:59" ht="15.6" x14ac:dyDescent="0.3">
      <c r="X51" s="77"/>
      <c r="Y51" s="78"/>
      <c r="Z51" s="81"/>
      <c r="AA51" s="80"/>
      <c r="AB51" s="14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BA51" s="43" t="s">
        <v>107</v>
      </c>
      <c r="BB51" s="39">
        <v>30.84</v>
      </c>
      <c r="BD51" s="31"/>
      <c r="BF51">
        <v>2021</v>
      </c>
      <c r="BG51" s="26">
        <v>1.01E-2</v>
      </c>
    </row>
    <row r="52" spans="24:59" ht="15.6" x14ac:dyDescent="0.3">
      <c r="X52" s="77"/>
      <c r="Y52" s="78"/>
      <c r="Z52" s="63"/>
      <c r="AA52" s="80"/>
      <c r="AB52" s="14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BA52" s="43" t="s">
        <v>108</v>
      </c>
      <c r="BB52" s="39">
        <v>32.53</v>
      </c>
      <c r="BD52" s="31"/>
      <c r="BF52">
        <v>2022</v>
      </c>
      <c r="BG52" s="26">
        <v>1.0500000000000001E-2</v>
      </c>
    </row>
    <row r="53" spans="24:59" ht="15.6" x14ac:dyDescent="0.3">
      <c r="X53" s="77"/>
      <c r="Y53" s="78"/>
      <c r="Z53" s="81"/>
      <c r="AA53" s="80"/>
      <c r="AB53" s="14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BA53" s="43" t="s">
        <v>109</v>
      </c>
      <c r="BB53" s="39">
        <v>35.69</v>
      </c>
      <c r="BD53" s="31"/>
      <c r="BF53">
        <v>2023</v>
      </c>
      <c r="BG53" s="26">
        <v>1.1299999999999999E-2</v>
      </c>
    </row>
    <row r="54" spans="24:59" ht="15.6" x14ac:dyDescent="0.3">
      <c r="X54" s="77"/>
      <c r="Y54" s="78"/>
      <c r="Z54" s="81"/>
      <c r="AA54" s="80"/>
      <c r="AB54" s="14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BA54" s="43" t="s">
        <v>110</v>
      </c>
      <c r="BB54" s="39">
        <v>37.9</v>
      </c>
      <c r="BD54" s="40"/>
      <c r="BF54">
        <v>2024</v>
      </c>
      <c r="BG54" s="26">
        <v>1.09E-2</v>
      </c>
    </row>
    <row r="55" spans="24:59" ht="15.6" x14ac:dyDescent="0.3">
      <c r="X55" s="77"/>
      <c r="Y55" s="78"/>
      <c r="Z55" s="81"/>
      <c r="AA55" s="80"/>
      <c r="AB55" s="14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BA55" s="43" t="s">
        <v>111</v>
      </c>
      <c r="BB55" s="39">
        <v>32.28</v>
      </c>
      <c r="BF55">
        <v>2025</v>
      </c>
      <c r="BG55" s="26">
        <v>1.0500000000000001E-2</v>
      </c>
    </row>
    <row r="56" spans="24:59" ht="15.6" x14ac:dyDescent="0.3">
      <c r="X56" s="77"/>
      <c r="Y56" s="78"/>
      <c r="Z56" s="81"/>
      <c r="AA56" s="80"/>
      <c r="AB56" s="14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BA56" s="43" t="s">
        <v>112</v>
      </c>
      <c r="BB56" s="39">
        <v>34.25</v>
      </c>
    </row>
    <row r="57" spans="24:59" ht="15.6" x14ac:dyDescent="0.3">
      <c r="X57" s="77"/>
      <c r="Y57" s="78"/>
      <c r="Z57" s="81"/>
      <c r="AA57" s="80"/>
      <c r="AB57" s="14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BA57" s="43" t="s">
        <v>113</v>
      </c>
      <c r="BB57" s="39">
        <v>35.21</v>
      </c>
    </row>
    <row r="58" spans="24:59" ht="15.6" x14ac:dyDescent="0.3">
      <c r="X58" s="77"/>
      <c r="Y58" s="78"/>
      <c r="Z58" s="81"/>
      <c r="AA58" s="80"/>
      <c r="AB58" s="14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BA58" s="43" t="s">
        <v>114</v>
      </c>
      <c r="BB58" s="39">
        <v>35.69</v>
      </c>
    </row>
    <row r="59" spans="24:59" ht="15.6" x14ac:dyDescent="0.3">
      <c r="X59" s="77"/>
      <c r="Y59" s="78"/>
      <c r="Z59" s="81"/>
      <c r="AA59" s="80"/>
      <c r="AB59" s="14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BA59" s="43" t="s">
        <v>115</v>
      </c>
      <c r="BB59" s="39">
        <v>34.78</v>
      </c>
    </row>
    <row r="60" spans="24:59" ht="15.6" x14ac:dyDescent="0.3">
      <c r="X60" s="77"/>
      <c r="Y60" s="78"/>
      <c r="Z60" s="81"/>
      <c r="AA60" s="80"/>
      <c r="AB60" s="14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BA60" s="43" t="s">
        <v>116</v>
      </c>
      <c r="BB60" s="39">
        <v>34.020000000000003</v>
      </c>
    </row>
    <row r="61" spans="24:59" ht="15.6" x14ac:dyDescent="0.3">
      <c r="X61" s="77"/>
      <c r="Y61" s="78"/>
      <c r="Z61" s="81"/>
      <c r="AA61" s="80"/>
      <c r="AB61" s="14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BA61" s="43" t="s">
        <v>117</v>
      </c>
      <c r="BB61" s="39">
        <v>30.18</v>
      </c>
    </row>
    <row r="62" spans="24:59" ht="15.6" x14ac:dyDescent="0.3">
      <c r="X62" s="77"/>
      <c r="Y62" s="78"/>
      <c r="Z62" s="81"/>
      <c r="AA62" s="80"/>
      <c r="AB62" s="14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BA62" s="43" t="s">
        <v>118</v>
      </c>
      <c r="BB62" s="39">
        <v>29.13</v>
      </c>
    </row>
    <row r="63" spans="24:59" ht="15.6" x14ac:dyDescent="0.3">
      <c r="X63" s="77"/>
      <c r="Y63" s="78"/>
      <c r="Z63" s="81"/>
      <c r="AA63" s="80"/>
      <c r="AB63" s="14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BA63" s="43" t="s">
        <v>119</v>
      </c>
      <c r="BB63" s="39">
        <v>30.08</v>
      </c>
    </row>
    <row r="64" spans="24:59" ht="15.6" x14ac:dyDescent="0.3">
      <c r="X64" s="77"/>
      <c r="Y64" s="78"/>
      <c r="Z64" s="81"/>
      <c r="AA64" s="80"/>
      <c r="AB64" s="14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BA64" s="43" t="s">
        <v>120</v>
      </c>
      <c r="BB64" s="39">
        <v>29.38</v>
      </c>
    </row>
    <row r="65" spans="9:54" ht="15.6" x14ac:dyDescent="0.3">
      <c r="X65" s="77"/>
      <c r="Y65" s="78"/>
      <c r="Z65" s="81"/>
      <c r="AA65" s="80"/>
      <c r="AB65" s="14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BA65" s="43" t="s">
        <v>121</v>
      </c>
      <c r="BB65" s="39">
        <v>29.64</v>
      </c>
    </row>
    <row r="66" spans="9:54" ht="15.6" x14ac:dyDescent="0.3">
      <c r="X66" s="77"/>
      <c r="Y66" s="78"/>
      <c r="Z66" s="81"/>
      <c r="AA66" s="80"/>
      <c r="AB66" s="14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BA66" s="43" t="s">
        <v>122</v>
      </c>
      <c r="BB66" s="39">
        <v>33.42</v>
      </c>
    </row>
    <row r="67" spans="9:54" ht="15.6" x14ac:dyDescent="0.3">
      <c r="X67" s="77"/>
      <c r="Y67" s="78"/>
      <c r="Z67" s="81"/>
      <c r="AA67" s="80"/>
      <c r="AB67" s="14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BA67" s="43" t="s">
        <v>123</v>
      </c>
      <c r="BB67" s="39">
        <v>32.520000000000003</v>
      </c>
    </row>
    <row r="68" spans="9:54" ht="15.6" x14ac:dyDescent="0.3">
      <c r="X68" s="77"/>
      <c r="Y68" s="78"/>
      <c r="Z68" s="81"/>
      <c r="AA68" s="80"/>
      <c r="AB68" s="14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BA68" s="43" t="s">
        <v>124</v>
      </c>
      <c r="BB68" s="39">
        <v>33.1</v>
      </c>
    </row>
    <row r="69" spans="9:54" ht="15.6" x14ac:dyDescent="0.3">
      <c r="X69" s="77"/>
      <c r="Y69" s="78"/>
      <c r="Z69" s="81"/>
      <c r="AA69" s="80"/>
      <c r="AB69" s="14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BA69" s="43" t="s">
        <v>125</v>
      </c>
      <c r="BB69" s="39">
        <v>33.64</v>
      </c>
    </row>
    <row r="70" spans="9:54" ht="15.6" x14ac:dyDescent="0.3">
      <c r="X70" s="77"/>
      <c r="Y70" s="78"/>
      <c r="Z70" s="81"/>
      <c r="AA70" s="80"/>
      <c r="AB70" s="14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BA70" s="43" t="s">
        <v>126</v>
      </c>
      <c r="BB70" s="39">
        <v>33.630000000000003</v>
      </c>
    </row>
    <row r="71" spans="9:54" ht="15.6" x14ac:dyDescent="0.3">
      <c r="X71" s="77"/>
      <c r="Y71" s="78"/>
      <c r="Z71" s="81"/>
      <c r="AA71" s="80"/>
      <c r="AB71" s="14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BA71" s="43" t="s">
        <v>127</v>
      </c>
      <c r="BB71" s="39">
        <v>32.11</v>
      </c>
    </row>
    <row r="72" spans="9:54" ht="15.6" x14ac:dyDescent="0.3">
      <c r="I72" s="182"/>
      <c r="J72" s="182"/>
      <c r="W72" s="181"/>
      <c r="X72" s="80"/>
      <c r="Y72" s="14"/>
      <c r="Z72" s="14"/>
      <c r="AA72" s="14"/>
      <c r="AB72" s="14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BA72" s="43" t="s">
        <v>128</v>
      </c>
      <c r="BB72" s="39">
        <v>32.14</v>
      </c>
    </row>
    <row r="73" spans="9:54" ht="15.6" x14ac:dyDescent="0.3">
      <c r="W73" s="181"/>
      <c r="X73" s="80"/>
      <c r="Y73" s="14"/>
      <c r="Z73" s="14"/>
      <c r="AA73" s="14"/>
      <c r="AB73" s="14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BA73" s="43" t="s">
        <v>129</v>
      </c>
      <c r="BB73" s="39">
        <v>32.409999999999997</v>
      </c>
    </row>
    <row r="74" spans="9:54" ht="15.6" x14ac:dyDescent="0.3">
      <c r="W74" s="181"/>
      <c r="X74" s="80"/>
      <c r="Y74" s="14"/>
      <c r="Z74" s="14"/>
      <c r="AA74" s="14"/>
      <c r="AB74" s="14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BA74" s="43" t="s">
        <v>130</v>
      </c>
      <c r="BB74" s="39">
        <v>30.36</v>
      </c>
    </row>
    <row r="75" spans="9:54" ht="15.6" x14ac:dyDescent="0.3">
      <c r="W75" s="181"/>
      <c r="X75" s="80"/>
      <c r="Y75" s="14"/>
      <c r="Z75" s="14"/>
      <c r="AA75" s="14"/>
      <c r="AB75" s="14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BA75" s="43" t="s">
        <v>131</v>
      </c>
      <c r="BB75" s="39">
        <v>28.44</v>
      </c>
    </row>
    <row r="76" spans="9:54" ht="15.6" x14ac:dyDescent="0.3">
      <c r="W76" s="181"/>
      <c r="X76" s="80"/>
      <c r="Y76" s="14"/>
      <c r="Z76" s="14"/>
      <c r="AA76" s="14"/>
      <c r="AB76" s="14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BA76" s="43" t="s">
        <v>132</v>
      </c>
      <c r="BB76" s="39">
        <v>28.72</v>
      </c>
    </row>
    <row r="77" spans="9:54" ht="15.6" x14ac:dyDescent="0.3">
      <c r="W77" s="181"/>
      <c r="X77" s="80"/>
      <c r="Y77" s="14"/>
      <c r="Z77" s="14"/>
      <c r="AA77" s="14"/>
      <c r="AB77" s="14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BA77" s="43" t="s">
        <v>133</v>
      </c>
      <c r="BB77" s="39">
        <v>28.54</v>
      </c>
    </row>
    <row r="78" spans="9:54" ht="15.6" x14ac:dyDescent="0.3">
      <c r="W78" s="181"/>
      <c r="X78" s="80"/>
      <c r="Y78" s="14"/>
      <c r="Z78" s="14"/>
      <c r="AA78" s="14"/>
      <c r="AB78" s="14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BA78" s="43" t="s">
        <v>134</v>
      </c>
      <c r="BB78" s="39">
        <v>28.05</v>
      </c>
    </row>
    <row r="79" spans="9:54" ht="15.6" x14ac:dyDescent="0.3">
      <c r="W79" s="181"/>
      <c r="X79" s="80"/>
      <c r="Y79" s="14"/>
      <c r="Z79" s="14"/>
      <c r="AA79" s="14"/>
      <c r="AB79" s="14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BA79" s="43" t="s">
        <v>135</v>
      </c>
      <c r="BB79" s="39">
        <v>26.5</v>
      </c>
    </row>
    <row r="80" spans="9:54" ht="15.6" x14ac:dyDescent="0.3">
      <c r="W80" s="181"/>
      <c r="X80" s="80"/>
      <c r="Y80" s="14"/>
      <c r="Z80" s="14"/>
      <c r="AA80" s="14"/>
      <c r="AB80" s="14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BA80" s="43" t="s">
        <v>136</v>
      </c>
      <c r="BB80" s="39">
        <v>25.42</v>
      </c>
    </row>
    <row r="81" spans="23:54" ht="15.6" x14ac:dyDescent="0.3">
      <c r="W81" s="181"/>
      <c r="X81" s="80"/>
      <c r="Y81" s="14"/>
      <c r="Z81" s="14"/>
      <c r="AA81" s="14"/>
      <c r="AB81" s="14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BA81" s="43" t="s">
        <v>137</v>
      </c>
      <c r="BB81" s="39">
        <v>25.5</v>
      </c>
    </row>
    <row r="82" spans="23:54" ht="15.6" x14ac:dyDescent="0.3">
      <c r="W82" s="181"/>
      <c r="X82" s="80"/>
      <c r="Y82" s="14"/>
      <c r="Z82" s="14"/>
      <c r="AA82" s="14"/>
      <c r="AB82" s="14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BA82" s="43" t="s">
        <v>138</v>
      </c>
      <c r="BB82" s="39">
        <v>24.74</v>
      </c>
    </row>
    <row r="83" spans="23:54" ht="15.6" x14ac:dyDescent="0.3">
      <c r="W83" s="181"/>
      <c r="X83" s="80"/>
      <c r="Y83" s="23"/>
      <c r="Z83" s="14"/>
      <c r="AA83" s="14"/>
      <c r="AB83" s="14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BA83" s="43" t="s">
        <v>139</v>
      </c>
      <c r="BB83" s="39">
        <v>23.59</v>
      </c>
    </row>
    <row r="84" spans="23:54" ht="15.6" x14ac:dyDescent="0.3">
      <c r="W84" s="181"/>
      <c r="X84" s="80"/>
      <c r="Y84" s="14"/>
      <c r="Z84" s="14"/>
      <c r="AA84" s="14"/>
      <c r="AB84" s="14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BA84" s="43" t="s">
        <v>140</v>
      </c>
      <c r="BB84" s="39">
        <v>23.22</v>
      </c>
    </row>
    <row r="85" spans="23:54" ht="15.6" x14ac:dyDescent="0.3">
      <c r="W85" s="181"/>
      <c r="X85" s="80"/>
      <c r="Y85" s="14"/>
      <c r="Z85" s="14"/>
      <c r="AA85" s="14"/>
      <c r="AB85" s="14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BA85" s="43" t="s">
        <v>141</v>
      </c>
      <c r="BB85" s="39">
        <v>23.16</v>
      </c>
    </row>
    <row r="86" spans="23:54" ht="15.6" x14ac:dyDescent="0.3">
      <c r="W86" s="181"/>
      <c r="X86" s="80"/>
      <c r="Y86" s="14"/>
      <c r="Z86" s="14"/>
      <c r="AA86" s="14"/>
      <c r="AB86" s="14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BA86" s="43" t="s">
        <v>142</v>
      </c>
      <c r="BB86" s="39">
        <v>22.99</v>
      </c>
    </row>
    <row r="87" spans="23:54" ht="15.6" x14ac:dyDescent="0.3">
      <c r="W87" s="181"/>
      <c r="X87" s="80"/>
      <c r="Y87" s="23"/>
      <c r="Z87" s="14"/>
      <c r="AA87" s="14"/>
      <c r="AB87" s="14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BA87" s="43" t="s">
        <v>143</v>
      </c>
      <c r="BB87" s="39">
        <v>22.85</v>
      </c>
    </row>
    <row r="88" spans="23:54" ht="15.6" x14ac:dyDescent="0.3">
      <c r="W88" s="181"/>
      <c r="X88" s="80"/>
      <c r="Y88" s="14"/>
      <c r="Z88" s="14"/>
      <c r="AA88" s="14"/>
      <c r="AB88" s="14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BA88" s="43" t="s">
        <v>144</v>
      </c>
      <c r="BB88" s="39">
        <v>23.24</v>
      </c>
    </row>
    <row r="89" spans="23:54" ht="15.6" x14ac:dyDescent="0.3">
      <c r="W89" s="181"/>
      <c r="X89" s="80"/>
      <c r="Y89" s="14"/>
      <c r="Z89" s="14"/>
      <c r="AA89" s="14"/>
      <c r="AB89" s="14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BA89" s="43" t="s">
        <v>145</v>
      </c>
      <c r="BB89" s="39">
        <v>24.01</v>
      </c>
    </row>
    <row r="90" spans="23:54" ht="15.6" x14ac:dyDescent="0.3">
      <c r="W90" s="181"/>
      <c r="X90" s="80"/>
      <c r="Y90" s="14"/>
      <c r="Z90" s="14"/>
      <c r="AA90" s="14"/>
      <c r="AB90" s="14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BA90" s="43" t="s">
        <v>146</v>
      </c>
      <c r="BB90" s="39">
        <v>24.32</v>
      </c>
    </row>
    <row r="91" spans="23:54" ht="15.6" x14ac:dyDescent="0.3">
      <c r="W91" s="181"/>
      <c r="X91" s="80"/>
      <c r="Y91" s="14"/>
      <c r="Z91" s="14"/>
      <c r="AA91" s="14"/>
      <c r="AB91" s="14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BA91" s="43" t="s">
        <v>147</v>
      </c>
      <c r="BB91" s="39">
        <v>24.59</v>
      </c>
    </row>
    <row r="92" spans="23:54" ht="15.6" x14ac:dyDescent="0.3">
      <c r="W92" s="181"/>
      <c r="X92" s="80"/>
      <c r="Y92" s="14"/>
      <c r="Z92" s="14"/>
      <c r="AA92" s="14"/>
      <c r="AB92" s="14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BA92" s="43" t="s">
        <v>148</v>
      </c>
      <c r="BB92" s="39">
        <v>25.04</v>
      </c>
    </row>
    <row r="93" spans="23:54" ht="15.6" x14ac:dyDescent="0.3">
      <c r="W93" s="181"/>
      <c r="X93" s="80"/>
      <c r="Y93" s="14"/>
      <c r="Z93" s="14"/>
      <c r="AA93" s="14"/>
      <c r="AB93" s="14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BA93" s="43" t="s">
        <v>149</v>
      </c>
      <c r="BB93" s="39">
        <v>27.97</v>
      </c>
    </row>
    <row r="94" spans="23:54" ht="15.6" x14ac:dyDescent="0.3">
      <c r="W94" s="181"/>
      <c r="X94" s="80"/>
      <c r="Y94" s="14"/>
      <c r="Z94" s="14"/>
      <c r="AA94" s="14"/>
      <c r="AB94" s="14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BA94" s="43" t="s">
        <v>150</v>
      </c>
      <c r="BB94" s="39">
        <v>30.72</v>
      </c>
    </row>
    <row r="95" spans="23:54" ht="15.6" x14ac:dyDescent="0.3">
      <c r="W95" s="181"/>
      <c r="X95" s="80"/>
      <c r="Y95" s="14"/>
      <c r="Z95" s="14"/>
      <c r="AA95" s="14"/>
      <c r="AB95" s="14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BA95" s="43" t="s">
        <v>151</v>
      </c>
      <c r="BB95" s="39">
        <v>31.67</v>
      </c>
    </row>
    <row r="96" spans="23:54" ht="15.6" x14ac:dyDescent="0.3">
      <c r="W96" s="181"/>
      <c r="X96" s="80"/>
      <c r="Y96" s="14"/>
      <c r="Z96" s="14"/>
      <c r="AA96" s="14"/>
      <c r="AB96" s="14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BA96" s="43" t="s">
        <v>152</v>
      </c>
      <c r="BB96" s="39">
        <v>36.56</v>
      </c>
    </row>
    <row r="97" spans="23:54" ht="15.6" x14ac:dyDescent="0.3">
      <c r="W97" s="181"/>
      <c r="X97" s="80"/>
      <c r="Y97" s="14"/>
      <c r="Z97" s="14"/>
      <c r="AA97" s="14"/>
      <c r="AB97" s="14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BA97" s="43" t="s">
        <v>153</v>
      </c>
      <c r="BB97" s="39">
        <v>36.43</v>
      </c>
    </row>
    <row r="98" spans="23:54" ht="15.6" x14ac:dyDescent="0.3">
      <c r="W98" s="181"/>
      <c r="X98" s="80"/>
      <c r="Y98" s="23"/>
      <c r="Z98" s="14"/>
      <c r="AA98" s="14"/>
      <c r="AB98" s="14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BA98" s="43" t="s">
        <v>154</v>
      </c>
      <c r="BB98" s="39">
        <v>34.159999999999997</v>
      </c>
    </row>
    <row r="99" spans="23:54" ht="15.6" x14ac:dyDescent="0.3">
      <c r="W99" s="181"/>
      <c r="X99" s="80"/>
      <c r="Y99" s="23"/>
      <c r="Z99" s="14"/>
      <c r="AA99" s="14"/>
      <c r="AB99" s="14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BA99" s="43" t="s">
        <v>155</v>
      </c>
      <c r="BB99" s="39">
        <v>35.619999999999997</v>
      </c>
    </row>
    <row r="100" spans="23:54" ht="15.6" x14ac:dyDescent="0.3">
      <c r="W100" s="181"/>
      <c r="X100" s="80"/>
      <c r="Y100" s="23"/>
      <c r="Z100" s="14"/>
      <c r="AA100" s="14"/>
      <c r="AB100" s="14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BA100" s="43" t="s">
        <v>156</v>
      </c>
      <c r="BB100" s="39">
        <v>36.53</v>
      </c>
    </row>
    <row r="101" spans="23:54" ht="15.6" x14ac:dyDescent="0.3">
      <c r="W101" s="181"/>
      <c r="X101" s="80"/>
      <c r="Y101" s="14"/>
      <c r="Z101" s="14"/>
      <c r="AA101" s="14"/>
      <c r="AB101" s="14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BA101" s="43" t="s">
        <v>157</v>
      </c>
      <c r="BB101" s="39">
        <v>36.43</v>
      </c>
    </row>
    <row r="102" spans="23:54" ht="15.6" x14ac:dyDescent="0.3">
      <c r="W102" s="181"/>
      <c r="X102" s="80"/>
      <c r="Y102" s="14"/>
      <c r="Z102" s="14"/>
      <c r="AA102" s="14"/>
      <c r="AB102" s="14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BA102" s="43" t="s">
        <v>158</v>
      </c>
      <c r="BB102" s="39">
        <v>35.28</v>
      </c>
    </row>
    <row r="103" spans="23:54" ht="15.6" x14ac:dyDescent="0.3">
      <c r="W103" s="181"/>
      <c r="X103" s="80"/>
      <c r="Y103" s="14"/>
      <c r="Z103" s="14"/>
      <c r="AA103" s="14"/>
      <c r="AB103" s="14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BA103" s="43" t="s">
        <v>159</v>
      </c>
      <c r="BB103" s="39">
        <v>33.229999999999997</v>
      </c>
    </row>
    <row r="104" spans="23:54" ht="15.6" x14ac:dyDescent="0.3">
      <c r="W104" s="181"/>
      <c r="X104" s="80"/>
      <c r="Y104" s="14"/>
      <c r="Z104" s="14"/>
      <c r="AA104" s="14"/>
      <c r="AB104" s="14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BA104" s="43" t="s">
        <v>160</v>
      </c>
      <c r="BB104" s="39">
        <v>30.25</v>
      </c>
    </row>
    <row r="105" spans="23:54" ht="15.6" x14ac:dyDescent="0.3">
      <c r="W105" s="181"/>
      <c r="X105" s="80"/>
      <c r="Y105" s="14"/>
      <c r="Z105" s="14"/>
      <c r="AA105" s="14"/>
      <c r="AB105" s="14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BA105" s="43" t="s">
        <v>161</v>
      </c>
      <c r="BB105" s="39">
        <v>25.32</v>
      </c>
    </row>
    <row r="106" spans="23:54" ht="15.6" x14ac:dyDescent="0.3">
      <c r="W106" s="181"/>
      <c r="X106" s="80"/>
      <c r="Y106" s="14"/>
      <c r="Z106" s="14"/>
      <c r="AA106" s="14"/>
      <c r="AB106" s="14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BA106" s="43" t="s">
        <v>162</v>
      </c>
      <c r="BB106" s="39">
        <v>22.08</v>
      </c>
    </row>
    <row r="107" spans="23:54" ht="15.6" x14ac:dyDescent="0.3">
      <c r="W107" s="181"/>
      <c r="X107" s="80"/>
      <c r="Y107" s="14"/>
      <c r="Z107" s="14"/>
      <c r="AA107" s="14"/>
      <c r="AB107" s="14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BA107" s="43" t="s">
        <v>163</v>
      </c>
      <c r="BB107" s="39">
        <v>19.010000000000002</v>
      </c>
    </row>
    <row r="108" spans="23:54" ht="15.6" x14ac:dyDescent="0.3">
      <c r="W108" s="181"/>
      <c r="X108" s="80"/>
      <c r="Y108" s="14"/>
      <c r="Z108" s="14"/>
      <c r="AA108" s="14"/>
      <c r="AB108" s="14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BA108" s="43" t="s">
        <v>164</v>
      </c>
      <c r="BB108" s="39">
        <v>17.86</v>
      </c>
    </row>
    <row r="109" spans="23:54" ht="15.6" x14ac:dyDescent="0.3">
      <c r="W109" s="181"/>
      <c r="X109" s="80"/>
      <c r="Y109" s="14"/>
      <c r="Z109" s="14"/>
      <c r="AA109" s="14"/>
      <c r="AB109" s="14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BA109" s="43" t="s">
        <v>165</v>
      </c>
      <c r="BB109" s="39">
        <v>19.149999999999999</v>
      </c>
    </row>
    <row r="110" spans="23:54" ht="15.6" x14ac:dyDescent="0.3">
      <c r="W110" s="181"/>
      <c r="X110" s="80"/>
      <c r="Y110" s="14"/>
      <c r="Z110" s="14"/>
      <c r="AA110" s="14"/>
      <c r="AB110" s="14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BA110" s="43" t="s">
        <v>166</v>
      </c>
      <c r="BB110" s="39">
        <v>18.86</v>
      </c>
    </row>
    <row r="111" spans="23:54" ht="15.6" x14ac:dyDescent="0.3">
      <c r="W111" s="181"/>
      <c r="X111" s="80"/>
      <c r="Y111" s="14"/>
      <c r="Z111" s="14"/>
      <c r="AA111" s="14"/>
      <c r="AB111" s="14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BA111" s="43" t="s">
        <v>167</v>
      </c>
      <c r="BB111" s="39">
        <v>18.05</v>
      </c>
    </row>
    <row r="112" spans="23:54" ht="15.6" x14ac:dyDescent="0.3">
      <c r="W112" s="181"/>
      <c r="X112" s="80"/>
      <c r="Y112" s="14"/>
      <c r="Z112" s="14"/>
      <c r="AA112" s="14"/>
      <c r="AB112" s="14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BA112" s="43" t="s">
        <v>168</v>
      </c>
      <c r="BB112" s="39">
        <v>18.149999999999999</v>
      </c>
    </row>
    <row r="113" spans="23:54" ht="15.6" x14ac:dyDescent="0.3">
      <c r="W113" s="181"/>
      <c r="X113" s="80"/>
      <c r="Y113" s="14"/>
      <c r="Z113" s="14"/>
      <c r="AA113" s="14"/>
      <c r="AB113" s="14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BA113" s="43" t="s">
        <v>169</v>
      </c>
      <c r="BB113" s="39">
        <v>17.89</v>
      </c>
    </row>
    <row r="114" spans="23:54" ht="15.6" x14ac:dyDescent="0.3">
      <c r="W114" s="181"/>
      <c r="X114" s="80"/>
      <c r="Y114" s="14"/>
      <c r="Z114" s="14"/>
      <c r="AA114" s="14"/>
      <c r="AB114" s="14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BA114" s="43" t="s">
        <v>170</v>
      </c>
      <c r="BB114" s="39">
        <v>16.09</v>
      </c>
    </row>
    <row r="115" spans="23:54" ht="15.6" x14ac:dyDescent="0.3">
      <c r="W115" s="181"/>
      <c r="X115" s="80"/>
      <c r="Y115" s="14"/>
      <c r="Z115" s="14"/>
      <c r="AA115" s="14"/>
      <c r="AB115" s="14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BA115" s="43" t="s">
        <v>171</v>
      </c>
      <c r="BB115" s="39">
        <v>12.59</v>
      </c>
    </row>
    <row r="116" spans="23:54" ht="15.6" x14ac:dyDescent="0.3">
      <c r="W116" s="181"/>
      <c r="X116" s="80"/>
      <c r="Y116" s="14"/>
      <c r="Z116" s="14"/>
      <c r="AA116" s="14"/>
      <c r="AB116" s="14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BA116" s="43" t="s">
        <v>172</v>
      </c>
      <c r="BB116" s="39">
        <v>10.210000000000001</v>
      </c>
    </row>
    <row r="117" spans="23:54" ht="15.6" x14ac:dyDescent="0.3">
      <c r="W117" s="181"/>
      <c r="X117" s="80"/>
      <c r="Y117" s="14"/>
      <c r="Z117" s="14"/>
      <c r="AA117" s="14"/>
      <c r="AB117" s="14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BA117" s="43" t="s">
        <v>173</v>
      </c>
      <c r="BB117" s="39">
        <v>10.9</v>
      </c>
    </row>
    <row r="118" spans="23:54" ht="15.6" x14ac:dyDescent="0.3">
      <c r="W118" s="181"/>
      <c r="X118" s="80"/>
      <c r="Y118" s="14"/>
      <c r="Z118" s="14"/>
      <c r="AA118" s="14"/>
      <c r="AB118" s="14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BA118" s="43" t="s">
        <v>174</v>
      </c>
      <c r="BB118" s="39">
        <v>11.41</v>
      </c>
    </row>
    <row r="119" spans="23:54" ht="15.6" x14ac:dyDescent="0.3">
      <c r="W119" s="181"/>
      <c r="X119" s="80"/>
      <c r="Y119" s="14"/>
      <c r="Z119" s="14"/>
      <c r="AA119" s="14"/>
      <c r="AB119" s="14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BA119" s="43" t="s">
        <v>175</v>
      </c>
      <c r="BB119" s="39">
        <v>11.72</v>
      </c>
    </row>
    <row r="120" spans="23:54" ht="15.6" x14ac:dyDescent="0.3">
      <c r="W120" s="181"/>
      <c r="X120" s="80"/>
      <c r="Y120" s="14"/>
      <c r="Z120" s="14"/>
      <c r="AA120" s="14"/>
      <c r="AB120" s="14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BA120" s="43" t="s">
        <v>176</v>
      </c>
      <c r="BB120" s="39">
        <v>12</v>
      </c>
    </row>
    <row r="121" spans="23:54" ht="15.6" x14ac:dyDescent="0.3">
      <c r="W121" s="181"/>
      <c r="X121" s="80"/>
      <c r="Y121" s="14"/>
      <c r="Z121" s="14"/>
      <c r="AA121" s="14"/>
      <c r="AB121" s="14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BA121" s="43" t="s">
        <v>177</v>
      </c>
      <c r="BB121" s="39">
        <v>12.2</v>
      </c>
    </row>
    <row r="122" spans="23:54" ht="15.6" x14ac:dyDescent="0.3">
      <c r="W122" s="181"/>
      <c r="X122" s="80"/>
      <c r="Y122" s="14"/>
      <c r="Z122" s="14"/>
      <c r="AA122" s="14"/>
      <c r="AB122" s="14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BA122" s="43" t="s">
        <v>178</v>
      </c>
      <c r="BB122" s="39">
        <v>12.48</v>
      </c>
    </row>
    <row r="123" spans="23:54" ht="15.6" x14ac:dyDescent="0.3">
      <c r="W123" s="181"/>
      <c r="X123" s="80"/>
      <c r="Y123" s="14"/>
      <c r="Z123" s="14"/>
      <c r="AA123" s="14"/>
      <c r="AB123" s="14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BA123" s="43" t="s">
        <v>179</v>
      </c>
      <c r="BB123" s="39">
        <v>12.94</v>
      </c>
    </row>
    <row r="124" spans="23:54" ht="15.6" x14ac:dyDescent="0.3">
      <c r="W124" s="181"/>
      <c r="X124" s="80"/>
      <c r="Y124" s="14"/>
      <c r="Z124" s="14"/>
      <c r="AA124" s="14"/>
      <c r="AB124" s="14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BA124" s="43" t="s">
        <v>180</v>
      </c>
      <c r="BB124" s="39">
        <v>12.95</v>
      </c>
    </row>
    <row r="125" spans="23:54" ht="15.6" x14ac:dyDescent="0.3">
      <c r="W125" s="181"/>
      <c r="X125" s="80"/>
      <c r="Y125" s="23"/>
      <c r="Z125" s="14"/>
      <c r="AA125" s="14"/>
      <c r="AB125" s="14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BA125" s="43" t="s">
        <v>181</v>
      </c>
      <c r="BB125" s="39">
        <v>13.08</v>
      </c>
    </row>
    <row r="126" spans="23:54" ht="15.6" x14ac:dyDescent="0.3">
      <c r="W126" s="181"/>
      <c r="X126" s="80"/>
      <c r="Y126" s="14"/>
      <c r="Z126" s="14"/>
      <c r="AA126" s="14"/>
      <c r="AB126" s="14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BA126" s="43" t="s">
        <v>182</v>
      </c>
      <c r="BB126" s="39">
        <v>13.28</v>
      </c>
    </row>
    <row r="127" spans="23:54" ht="15.6" x14ac:dyDescent="0.3">
      <c r="W127" s="181"/>
      <c r="X127" s="80"/>
      <c r="Y127" s="14"/>
      <c r="Z127" s="14"/>
      <c r="AA127" s="14"/>
      <c r="AB127" s="14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BA127" s="43" t="s">
        <v>183</v>
      </c>
      <c r="BB127" s="39">
        <v>13.5</v>
      </c>
    </row>
    <row r="128" spans="23:54" ht="15.6" x14ac:dyDescent="0.3">
      <c r="W128" s="181"/>
      <c r="X128" s="80"/>
      <c r="Y128" s="14"/>
      <c r="Z128" s="14"/>
      <c r="AA128" s="14"/>
      <c r="AB128" s="14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BA128" s="43" t="s">
        <v>184</v>
      </c>
      <c r="BB128" s="39">
        <v>13.34</v>
      </c>
    </row>
    <row r="129" spans="23:54" ht="15.6" x14ac:dyDescent="0.3">
      <c r="W129" s="181"/>
      <c r="X129" s="80"/>
      <c r="Y129" s="14"/>
      <c r="Z129" s="14"/>
      <c r="AA129" s="14"/>
      <c r="AB129" s="14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BA129" s="43" t="s">
        <v>185</v>
      </c>
      <c r="BB129" s="39">
        <v>13.02</v>
      </c>
    </row>
    <row r="130" spans="23:54" ht="15.6" x14ac:dyDescent="0.3">
      <c r="W130" s="181"/>
      <c r="X130" s="80"/>
      <c r="Y130" s="14"/>
      <c r="Z130" s="14"/>
      <c r="AA130" s="14"/>
      <c r="AB130" s="14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BA130" s="43" t="s">
        <v>186</v>
      </c>
      <c r="BB130" s="39">
        <v>12.74</v>
      </c>
    </row>
    <row r="131" spans="23:54" ht="15.6" x14ac:dyDescent="0.3">
      <c r="W131" s="181"/>
      <c r="X131" s="80"/>
      <c r="Y131" s="14"/>
      <c r="Z131" s="14"/>
      <c r="AA131" s="14"/>
      <c r="AB131" s="14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BA131" s="43" t="s">
        <v>187</v>
      </c>
      <c r="BB131" s="39">
        <v>12.72</v>
      </c>
    </row>
    <row r="132" spans="23:54" ht="15.6" x14ac:dyDescent="0.3">
      <c r="W132" s="181"/>
      <c r="X132" s="80"/>
      <c r="Y132" s="14"/>
      <c r="Z132" s="14"/>
      <c r="AA132" s="14"/>
      <c r="AB132" s="14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BA132" s="43" t="s">
        <v>188</v>
      </c>
      <c r="BB132" s="39">
        <v>12.7</v>
      </c>
    </row>
    <row r="133" spans="23:54" ht="15.6" x14ac:dyDescent="0.3">
      <c r="W133" s="181"/>
      <c r="X133" s="80"/>
      <c r="Y133" s="14"/>
      <c r="Z133" s="14"/>
      <c r="AA133" s="14"/>
      <c r="AB133" s="14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BA133" s="43" t="s">
        <v>189</v>
      </c>
      <c r="BB133" s="39">
        <v>12.66</v>
      </c>
    </row>
    <row r="134" spans="23:54" ht="15.6" x14ac:dyDescent="0.3">
      <c r="W134" s="181"/>
      <c r="X134" s="80"/>
      <c r="Y134" s="14"/>
      <c r="Z134" s="14"/>
      <c r="AA134" s="14"/>
      <c r="AB134" s="14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BA134" s="43" t="s">
        <v>190</v>
      </c>
      <c r="BB134" s="39">
        <v>12.34</v>
      </c>
    </row>
    <row r="135" spans="23:54" ht="15.6" x14ac:dyDescent="0.3">
      <c r="W135" s="181"/>
      <c r="X135" s="80"/>
      <c r="Y135" s="14"/>
      <c r="Z135" s="14"/>
      <c r="AA135" s="14"/>
      <c r="AB135" s="14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BA135" s="43" t="s">
        <v>191</v>
      </c>
      <c r="BB135" s="39">
        <v>11.86</v>
      </c>
    </row>
    <row r="136" spans="23:54" ht="15.6" x14ac:dyDescent="0.3">
      <c r="W136" s="181"/>
      <c r="X136" s="80"/>
      <c r="Y136" s="14"/>
      <c r="Z136" s="14"/>
      <c r="AA136" s="14"/>
      <c r="AB136" s="14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BA136" s="43" t="s">
        <v>192</v>
      </c>
      <c r="BB136" s="39">
        <v>11.46</v>
      </c>
    </row>
    <row r="137" spans="23:54" ht="15.6" x14ac:dyDescent="0.3">
      <c r="W137" s="181"/>
      <c r="X137" s="80"/>
      <c r="Y137" s="14"/>
      <c r="Z137" s="14"/>
      <c r="AA137" s="14"/>
      <c r="AB137" s="14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BA137" s="43" t="s">
        <v>193</v>
      </c>
      <c r="BB137" s="39">
        <v>11.48</v>
      </c>
    </row>
    <row r="138" spans="23:54" ht="15.6" x14ac:dyDescent="0.3">
      <c r="W138" s="181"/>
      <c r="X138" s="80"/>
      <c r="Y138" s="14"/>
      <c r="Z138" s="14"/>
      <c r="AA138" s="14"/>
      <c r="AB138" s="14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BA138" s="43" t="s">
        <v>194</v>
      </c>
      <c r="BB138" s="39">
        <v>11.4</v>
      </c>
    </row>
    <row r="139" spans="23:54" ht="15.6" x14ac:dyDescent="0.3">
      <c r="W139" s="181"/>
      <c r="X139" s="80"/>
      <c r="Y139" s="14"/>
      <c r="Z139" s="14"/>
      <c r="AA139" s="14"/>
      <c r="AB139" s="14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BA139" s="43" t="s">
        <v>195</v>
      </c>
      <c r="BB139" s="39">
        <v>11.21</v>
      </c>
    </row>
    <row r="140" spans="23:54" ht="15.6" x14ac:dyDescent="0.3">
      <c r="W140" s="181"/>
      <c r="X140" s="80"/>
      <c r="Y140" s="14"/>
      <c r="Z140" s="14"/>
      <c r="AA140" s="14"/>
      <c r="AB140" s="14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BA140" s="43" t="s">
        <v>196</v>
      </c>
      <c r="BB140" s="39">
        <v>10.75</v>
      </c>
    </row>
    <row r="141" spans="23:54" ht="15.6" x14ac:dyDescent="0.3">
      <c r="W141" s="181"/>
      <c r="X141" s="80"/>
      <c r="Y141" s="14"/>
      <c r="Z141" s="14"/>
      <c r="AA141" s="14"/>
      <c r="AB141" s="14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BA141" s="43" t="s">
        <v>197</v>
      </c>
      <c r="BB141" s="39">
        <v>10.6</v>
      </c>
    </row>
    <row r="142" spans="23:54" ht="15.6" x14ac:dyDescent="0.3">
      <c r="W142" s="181"/>
      <c r="X142" s="80"/>
      <c r="Y142" s="14"/>
      <c r="Z142" s="14"/>
      <c r="AA142" s="14"/>
      <c r="AB142" s="14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BA142" s="43" t="s">
        <v>198</v>
      </c>
      <c r="BB142" s="39">
        <v>10.01</v>
      </c>
    </row>
    <row r="143" spans="23:54" ht="15.6" x14ac:dyDescent="0.3">
      <c r="W143" s="181"/>
      <c r="X143" s="80"/>
      <c r="Y143" s="23"/>
      <c r="Z143" s="14"/>
      <c r="AA143" s="14"/>
      <c r="AB143" s="14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BA143" s="43" t="s">
        <v>199</v>
      </c>
      <c r="BB143" s="39">
        <v>9.07</v>
      </c>
    </row>
    <row r="144" spans="23:54" ht="15.6" x14ac:dyDescent="0.3">
      <c r="W144" s="181"/>
      <c r="X144" s="80"/>
      <c r="Y144" s="14"/>
      <c r="Z144" s="14"/>
      <c r="AA144" s="14"/>
      <c r="AB144" s="14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BA144" s="43" t="s">
        <v>200</v>
      </c>
      <c r="BB144" s="39">
        <v>8.41</v>
      </c>
    </row>
    <row r="145" spans="23:54" ht="15.6" x14ac:dyDescent="0.3">
      <c r="W145" s="181"/>
      <c r="X145" s="80"/>
      <c r="Y145" s="14"/>
      <c r="Z145" s="14"/>
      <c r="AA145" s="14"/>
      <c r="AB145" s="14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BA145" s="43" t="s">
        <v>201</v>
      </c>
      <c r="BB145" s="39">
        <v>7.86</v>
      </c>
    </row>
    <row r="146" spans="23:54" ht="15.6" x14ac:dyDescent="0.3">
      <c r="W146" s="181"/>
      <c r="X146" s="80"/>
      <c r="Y146" s="14"/>
      <c r="Z146" s="14"/>
      <c r="AA146" s="14"/>
      <c r="AB146" s="14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BA146" s="43" t="s">
        <v>202</v>
      </c>
      <c r="BB146" s="39">
        <v>7.9</v>
      </c>
    </row>
    <row r="147" spans="23:54" ht="15.6" x14ac:dyDescent="0.3">
      <c r="W147" s="181"/>
      <c r="X147" s="80"/>
      <c r="Y147" s="14"/>
      <c r="Z147" s="14"/>
      <c r="AA147" s="14"/>
      <c r="AB147" s="14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BA147" s="43" t="s">
        <v>203</v>
      </c>
      <c r="BB147" s="39">
        <v>7.93</v>
      </c>
    </row>
    <row r="148" spans="23:54" ht="15.6" x14ac:dyDescent="0.3">
      <c r="W148" s="181"/>
      <c r="X148" s="80"/>
      <c r="Y148" s="14"/>
      <c r="Z148" s="14"/>
      <c r="AA148" s="14"/>
      <c r="AB148" s="14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BA148" s="43" t="s">
        <v>204</v>
      </c>
      <c r="BB148" s="39">
        <v>7.9</v>
      </c>
    </row>
    <row r="149" spans="23:54" ht="15.6" x14ac:dyDescent="0.3">
      <c r="W149" s="181"/>
      <c r="X149" s="80"/>
      <c r="Y149" s="14"/>
      <c r="Z149" s="14"/>
      <c r="AA149" s="14"/>
      <c r="AB149" s="14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BA149" s="43" t="s">
        <v>205</v>
      </c>
      <c r="BB149" s="39">
        <v>7.89</v>
      </c>
    </row>
    <row r="150" spans="23:54" ht="15.6" x14ac:dyDescent="0.3">
      <c r="W150" s="181"/>
      <c r="X150" s="80"/>
      <c r="Y150" s="14"/>
      <c r="Z150" s="14"/>
      <c r="AA150" s="14"/>
      <c r="AB150" s="14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BA150" s="43" t="s">
        <v>206</v>
      </c>
      <c r="BB150" s="39">
        <v>7.73</v>
      </c>
    </row>
    <row r="151" spans="23:54" ht="15.6" x14ac:dyDescent="0.3">
      <c r="W151" s="181"/>
      <c r="X151" s="80"/>
      <c r="Y151" s="14"/>
      <c r="Z151" s="14"/>
      <c r="AA151" s="14"/>
      <c r="AB151" s="14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BA151" s="43" t="s">
        <v>207</v>
      </c>
      <c r="BB151" s="39">
        <v>7.68</v>
      </c>
    </row>
    <row r="152" spans="23:54" ht="15.6" x14ac:dyDescent="0.3">
      <c r="W152" s="181"/>
      <c r="X152" s="80"/>
      <c r="Y152" s="14"/>
      <c r="Z152" s="14"/>
      <c r="AA152" s="14"/>
      <c r="AB152" s="14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BA152" s="43" t="s">
        <v>208</v>
      </c>
      <c r="BB152" s="39">
        <v>7.77</v>
      </c>
    </row>
    <row r="153" spans="23:54" ht="15.6" x14ac:dyDescent="0.3">
      <c r="W153" s="181"/>
      <c r="X153" s="80"/>
      <c r="Y153" s="14"/>
      <c r="Z153" s="14"/>
      <c r="AA153" s="14"/>
      <c r="AB153" s="14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BA153" s="43" t="s">
        <v>209</v>
      </c>
      <c r="BB153" s="39">
        <v>7.76</v>
      </c>
    </row>
    <row r="154" spans="23:54" ht="15.6" x14ac:dyDescent="0.3">
      <c r="W154" s="181"/>
      <c r="X154" s="80"/>
      <c r="Y154" s="23"/>
      <c r="Z154" s="14"/>
      <c r="AA154" s="14"/>
      <c r="AB154" s="14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BA154" s="43" t="s">
        <v>210</v>
      </c>
      <c r="BB154" s="39">
        <v>7.72</v>
      </c>
    </row>
    <row r="155" spans="23:54" ht="15.6" x14ac:dyDescent="0.3">
      <c r="W155" s="181"/>
      <c r="X155" s="80"/>
      <c r="Y155" s="14"/>
      <c r="Z155" s="14"/>
      <c r="AA155" s="14"/>
      <c r="AB155" s="14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BA155" s="43" t="s">
        <v>211</v>
      </c>
      <c r="BB155" s="39">
        <v>7.79</v>
      </c>
    </row>
    <row r="156" spans="23:54" ht="15.6" x14ac:dyDescent="0.3">
      <c r="W156" s="181"/>
      <c r="X156" s="80"/>
      <c r="Y156" s="14"/>
      <c r="Z156" s="14"/>
      <c r="AA156" s="14"/>
      <c r="AB156" s="14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BA156" s="43" t="s">
        <v>212</v>
      </c>
      <c r="BB156" s="39">
        <v>7.77</v>
      </c>
    </row>
    <row r="157" spans="23:54" ht="15.6" x14ac:dyDescent="0.3">
      <c r="W157" s="181"/>
      <c r="X157" s="80"/>
      <c r="Y157" s="14"/>
      <c r="Z157" s="14"/>
      <c r="AA157" s="14"/>
      <c r="AB157" s="14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BA157" s="43" t="s">
        <v>213</v>
      </c>
      <c r="BB157" s="39">
        <v>7.82</v>
      </c>
    </row>
    <row r="158" spans="23:54" ht="15.6" x14ac:dyDescent="0.3">
      <c r="W158" s="181"/>
      <c r="X158" s="80"/>
      <c r="Y158" s="14"/>
      <c r="Z158" s="14"/>
      <c r="AA158" s="14"/>
      <c r="AB158" s="14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BA158" s="43" t="s">
        <v>214</v>
      </c>
      <c r="BB158" s="39">
        <v>7.83</v>
      </c>
    </row>
    <row r="159" spans="23:54" ht="15.6" x14ac:dyDescent="0.3">
      <c r="W159" s="181"/>
      <c r="X159" s="80"/>
      <c r="Y159" s="14"/>
      <c r="Z159" s="14"/>
      <c r="AA159" s="14"/>
      <c r="AB159" s="14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BA159" s="43" t="s">
        <v>215</v>
      </c>
      <c r="BB159" s="39">
        <v>7.8</v>
      </c>
    </row>
    <row r="160" spans="23:54" ht="15.6" x14ac:dyDescent="0.3">
      <c r="W160" s="181"/>
      <c r="X160" s="80"/>
      <c r="Y160" s="14"/>
      <c r="Z160" s="14"/>
      <c r="AA160" s="14"/>
      <c r="AB160" s="14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BA160" s="43" t="s">
        <v>216</v>
      </c>
      <c r="BB160" s="39">
        <v>7.82</v>
      </c>
    </row>
    <row r="161" spans="23:54" ht="15.6" x14ac:dyDescent="0.3">
      <c r="W161" s="181"/>
      <c r="X161" s="80"/>
      <c r="Y161" s="23"/>
      <c r="Z161" s="14"/>
      <c r="AA161" s="14"/>
      <c r="AB161" s="14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BA161" s="43" t="s">
        <v>217</v>
      </c>
      <c r="BB161" s="39">
        <v>7.93</v>
      </c>
    </row>
    <row r="162" spans="23:54" ht="15.6" x14ac:dyDescent="0.3">
      <c r="W162" s="181"/>
      <c r="X162" s="80"/>
      <c r="Y162" s="14"/>
      <c r="Z162" s="14"/>
      <c r="AA162" s="14"/>
      <c r="AB162" s="14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BA162" s="43" t="s">
        <v>218</v>
      </c>
      <c r="BB162" s="39">
        <v>7.95</v>
      </c>
    </row>
    <row r="163" spans="23:54" ht="15.6" x14ac:dyDescent="0.3">
      <c r="W163" s="181"/>
      <c r="X163" s="80"/>
      <c r="Y163" s="23"/>
      <c r="Z163" s="14"/>
      <c r="AA163" s="14"/>
      <c r="AB163" s="14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BA163" s="43" t="s">
        <v>219</v>
      </c>
      <c r="BB163" s="39">
        <v>7.98</v>
      </c>
    </row>
    <row r="164" spans="23:54" ht="15.6" x14ac:dyDescent="0.3">
      <c r="W164" s="181"/>
      <c r="X164" s="80"/>
      <c r="Y164" s="14"/>
      <c r="Z164" s="14"/>
      <c r="AA164" s="14"/>
      <c r="AB164" s="14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BA164" s="43" t="s">
        <v>220</v>
      </c>
      <c r="BB164" s="39">
        <v>7.85</v>
      </c>
    </row>
    <row r="165" spans="23:54" ht="15.6" x14ac:dyDescent="0.3">
      <c r="W165" s="181"/>
      <c r="X165" s="80"/>
      <c r="Y165" s="14"/>
      <c r="Z165" s="14"/>
      <c r="AA165" s="14"/>
      <c r="AB165" s="14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BA165" s="43" t="s">
        <v>221</v>
      </c>
      <c r="BB165" s="39">
        <v>7.8</v>
      </c>
    </row>
    <row r="166" spans="23:54" ht="15.6" x14ac:dyDescent="0.3">
      <c r="W166" s="181"/>
      <c r="X166" s="80"/>
      <c r="Y166" s="23"/>
      <c r="Z166" s="14"/>
      <c r="AA166" s="14"/>
      <c r="AB166" s="14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BA166" s="43" t="s">
        <v>222</v>
      </c>
      <c r="BB166" s="39">
        <v>7.84</v>
      </c>
    </row>
    <row r="167" spans="23:54" ht="15.6" x14ac:dyDescent="0.3">
      <c r="W167" s="181"/>
      <c r="X167" s="80"/>
      <c r="Y167" s="23"/>
      <c r="Z167" s="14"/>
      <c r="AA167" s="14"/>
      <c r="AB167" s="14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BA167" s="43" t="s">
        <v>223</v>
      </c>
      <c r="BB167" s="39">
        <v>7.81</v>
      </c>
    </row>
    <row r="168" spans="23:54" ht="15.6" x14ac:dyDescent="0.3">
      <c r="W168" s="181"/>
      <c r="X168" s="80"/>
      <c r="Y168" s="23"/>
      <c r="Z168" s="14"/>
      <c r="AA168" s="14"/>
      <c r="AB168" s="14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BA168" s="43" t="s">
        <v>224</v>
      </c>
      <c r="BB168" s="39">
        <v>7.86</v>
      </c>
    </row>
    <row r="169" spans="23:54" ht="15.6" x14ac:dyDescent="0.3">
      <c r="W169" s="181"/>
      <c r="X169" s="80"/>
      <c r="Y169" s="23"/>
      <c r="Z169" s="14"/>
      <c r="AA169" s="14"/>
      <c r="AB169" s="14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BA169" s="43" t="s">
        <v>225</v>
      </c>
      <c r="BB169" s="39">
        <v>7.83</v>
      </c>
    </row>
    <row r="170" spans="23:54" ht="15.6" x14ac:dyDescent="0.3">
      <c r="W170" s="181"/>
      <c r="X170" s="80"/>
      <c r="Y170" s="23"/>
      <c r="Z170" s="14"/>
      <c r="AA170" s="14"/>
      <c r="AB170" s="14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BA170" s="43" t="s">
        <v>226</v>
      </c>
      <c r="BB170" s="39">
        <v>7.76</v>
      </c>
    </row>
    <row r="171" spans="23:54" ht="15.6" x14ac:dyDescent="0.3">
      <c r="W171" s="181"/>
      <c r="X171" s="80"/>
      <c r="Y171" s="14"/>
      <c r="Z171" s="14"/>
      <c r="AA171" s="14"/>
      <c r="AB171" s="14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BA171" s="43" t="s">
        <v>227</v>
      </c>
      <c r="BB171" s="39">
        <v>7.74</v>
      </c>
    </row>
    <row r="172" spans="23:54" ht="15.6" x14ac:dyDescent="0.3">
      <c r="W172" s="181"/>
      <c r="X172" s="80"/>
      <c r="Y172" s="14"/>
      <c r="Z172" s="14"/>
      <c r="AA172" s="14"/>
      <c r="AB172" s="14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BA172" s="43" t="s">
        <v>228</v>
      </c>
      <c r="BB172" s="39">
        <v>7.68</v>
      </c>
    </row>
    <row r="173" spans="23:54" ht="15.6" x14ac:dyDescent="0.3">
      <c r="W173" s="181"/>
      <c r="X173" s="80"/>
      <c r="Y173" s="14"/>
      <c r="Z173" s="14"/>
      <c r="AA173" s="14"/>
      <c r="AB173" s="14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BA173" s="43" t="s">
        <v>229</v>
      </c>
      <c r="BB173" s="39">
        <v>7.67</v>
      </c>
    </row>
    <row r="174" spans="23:54" ht="15.6" x14ac:dyDescent="0.3">
      <c r="W174" s="181"/>
      <c r="X174" s="80"/>
      <c r="Y174" s="23"/>
      <c r="Z174" s="14"/>
      <c r="AA174" s="14"/>
      <c r="AB174" s="14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BA174" s="43" t="s">
        <v>230</v>
      </c>
      <c r="BB174" s="39">
        <v>7.76</v>
      </c>
    </row>
    <row r="175" spans="23:54" ht="15.6" x14ac:dyDescent="0.3">
      <c r="W175" s="181"/>
      <c r="X175" s="80"/>
      <c r="Y175" s="14"/>
      <c r="Z175" s="14"/>
      <c r="AA175" s="14"/>
      <c r="AB175" s="14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BA175" s="43" t="s">
        <v>231</v>
      </c>
      <c r="BB175" s="39">
        <v>7.67</v>
      </c>
    </row>
    <row r="176" spans="23:54" ht="15.6" x14ac:dyDescent="0.3">
      <c r="W176" s="181"/>
      <c r="X176" s="80"/>
      <c r="Y176" s="14"/>
      <c r="Z176" s="14"/>
      <c r="AA176" s="14"/>
      <c r="AB176" s="14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BA176" s="43" t="s">
        <v>232</v>
      </c>
      <c r="BB176" s="39">
        <v>7.41</v>
      </c>
    </row>
    <row r="177" spans="23:54" ht="15.6" x14ac:dyDescent="0.3">
      <c r="W177" s="181"/>
      <c r="X177" s="80"/>
      <c r="Y177" s="14"/>
      <c r="Z177" s="14"/>
      <c r="AA177" s="14"/>
      <c r="AB177" s="14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BA177" s="43" t="s">
        <v>233</v>
      </c>
      <c r="BB177" s="39">
        <v>7.34</v>
      </c>
    </row>
    <row r="178" spans="23:54" ht="15.6" x14ac:dyDescent="0.3">
      <c r="W178" s="181"/>
      <c r="X178" s="80"/>
      <c r="Y178" s="23"/>
      <c r="Z178" s="14"/>
      <c r="AA178" s="14"/>
      <c r="AB178" s="14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BA178" s="43" t="s">
        <v>234</v>
      </c>
      <c r="BB178" s="39">
        <v>7.29</v>
      </c>
    </row>
    <row r="179" spans="23:54" ht="15.6" x14ac:dyDescent="0.3">
      <c r="W179" s="181"/>
      <c r="X179" s="80"/>
      <c r="Y179" s="14"/>
      <c r="Z179" s="14"/>
      <c r="AA179" s="14"/>
      <c r="AB179" s="14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BA179" s="43" t="s">
        <v>235</v>
      </c>
      <c r="BB179" s="39">
        <v>7.18</v>
      </c>
    </row>
    <row r="180" spans="23:54" ht="15.6" x14ac:dyDescent="0.3">
      <c r="W180" s="181"/>
      <c r="X180" s="80"/>
      <c r="Y180" s="14"/>
      <c r="Z180" s="14"/>
      <c r="AA180" s="14"/>
      <c r="AB180" s="14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BA180" s="43" t="s">
        <v>236</v>
      </c>
      <c r="BB180" s="39">
        <v>7.18</v>
      </c>
    </row>
    <row r="181" spans="23:54" ht="15.6" x14ac:dyDescent="0.3">
      <c r="W181" s="181"/>
      <c r="X181" s="80"/>
      <c r="Y181" s="14"/>
      <c r="Z181" s="14"/>
      <c r="AA181" s="14"/>
      <c r="AB181" s="14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BA181" s="43" t="s">
        <v>237</v>
      </c>
      <c r="BB181" s="39">
        <v>7.1</v>
      </c>
    </row>
    <row r="182" spans="23:54" ht="15.6" x14ac:dyDescent="0.3">
      <c r="W182" s="181"/>
      <c r="X182" s="80"/>
      <c r="Y182" s="14"/>
      <c r="Z182" s="14"/>
      <c r="AA182" s="14"/>
      <c r="AB182" s="14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BA182" s="43" t="s">
        <v>238</v>
      </c>
      <c r="BB182" s="39">
        <v>6.99</v>
      </c>
    </row>
    <row r="183" spans="23:54" ht="15.6" x14ac:dyDescent="0.3">
      <c r="W183" s="181"/>
      <c r="X183" s="80"/>
      <c r="Y183" s="14"/>
      <c r="Z183" s="14"/>
      <c r="AA183" s="14"/>
      <c r="AB183" s="14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BA183" s="43" t="s">
        <v>239</v>
      </c>
      <c r="BB183" s="39">
        <v>6.84</v>
      </c>
    </row>
    <row r="184" spans="23:54" ht="15.6" x14ac:dyDescent="0.3">
      <c r="W184" s="181"/>
      <c r="X184" s="80"/>
      <c r="Y184" s="14"/>
      <c r="Z184" s="14"/>
      <c r="AA184" s="14"/>
      <c r="AB184" s="14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BA184" s="43" t="s">
        <v>240</v>
      </c>
      <c r="BB184" s="39">
        <v>6.46</v>
      </c>
    </row>
    <row r="185" spans="23:54" ht="15.6" x14ac:dyDescent="0.3">
      <c r="W185" s="181"/>
      <c r="X185" s="80"/>
      <c r="Y185" s="14"/>
      <c r="Z185" s="14"/>
      <c r="AA185" s="14"/>
      <c r="AB185" s="14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BA185" s="43" t="s">
        <v>241</v>
      </c>
      <c r="BB185" s="39">
        <v>6.41</v>
      </c>
    </row>
    <row r="186" spans="23:54" ht="15.6" x14ac:dyDescent="0.3">
      <c r="W186" s="181"/>
      <c r="X186" s="80"/>
      <c r="Y186" s="23"/>
      <c r="Z186" s="14"/>
      <c r="AA186" s="14"/>
      <c r="AB186" s="14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BA186" s="43" t="s">
        <v>242</v>
      </c>
      <c r="BB186" s="39">
        <v>6.3</v>
      </c>
    </row>
    <row r="187" spans="23:54" ht="15.6" x14ac:dyDescent="0.3">
      <c r="W187" s="181"/>
      <c r="X187" s="80"/>
      <c r="Y187" s="14"/>
      <c r="Z187" s="14"/>
      <c r="AA187" s="14"/>
      <c r="AB187" s="14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BA187" s="43" t="s">
        <v>243</v>
      </c>
      <c r="BB187" s="39">
        <v>6.14</v>
      </c>
    </row>
    <row r="188" spans="23:54" ht="15.6" x14ac:dyDescent="0.3">
      <c r="W188" s="181"/>
      <c r="X188" s="80"/>
      <c r="Y188" s="14"/>
      <c r="Z188" s="14"/>
      <c r="AA188" s="14"/>
      <c r="AB188" s="14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BA188" s="43" t="s">
        <v>244</v>
      </c>
      <c r="BB188" s="39">
        <v>6.01</v>
      </c>
    </row>
    <row r="189" spans="23:54" ht="15.6" x14ac:dyDescent="0.3">
      <c r="W189" s="181"/>
      <c r="X189" s="80"/>
      <c r="Y189" s="23"/>
      <c r="Z189" s="14"/>
      <c r="AA189" s="14"/>
      <c r="AB189" s="14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BA189" s="43" t="s">
        <v>245</v>
      </c>
      <c r="BB189" s="39">
        <v>5.97</v>
      </c>
    </row>
    <row r="190" spans="23:54" ht="15.6" x14ac:dyDescent="0.3">
      <c r="W190" s="181"/>
      <c r="X190" s="80"/>
      <c r="Y190" s="14"/>
      <c r="Z190" s="14"/>
      <c r="AA190" s="14"/>
      <c r="AB190" s="14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BA190" s="43" t="s">
        <v>246</v>
      </c>
      <c r="BB190" s="39">
        <v>5.93</v>
      </c>
    </row>
    <row r="191" spans="23:54" ht="15.6" x14ac:dyDescent="0.3">
      <c r="W191" s="181"/>
      <c r="X191" s="80"/>
      <c r="Y191" s="14"/>
      <c r="Z191" s="14"/>
      <c r="AA191" s="14"/>
      <c r="AB191" s="14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BA191" s="43" t="s">
        <v>247</v>
      </c>
      <c r="BB191" s="39">
        <v>5.97</v>
      </c>
    </row>
    <row r="192" spans="23:54" ht="15.6" x14ac:dyDescent="0.3">
      <c r="W192" s="181"/>
      <c r="X192" s="80"/>
      <c r="Y192" s="14"/>
      <c r="Z192" s="14"/>
      <c r="AA192" s="14"/>
      <c r="AB192" s="14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BA192" s="43" t="s">
        <v>248</v>
      </c>
      <c r="BB192" s="39">
        <v>6.12</v>
      </c>
    </row>
    <row r="193" spans="23:54" ht="15.6" x14ac:dyDescent="0.3">
      <c r="W193" s="181"/>
      <c r="X193" s="80"/>
      <c r="Y193" s="14"/>
      <c r="Z193" s="14"/>
      <c r="AA193" s="14"/>
      <c r="AB193" s="14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BA193" s="43" t="s">
        <v>249</v>
      </c>
      <c r="BB193" s="39">
        <v>6.51</v>
      </c>
    </row>
    <row r="194" spans="23:54" ht="15.6" x14ac:dyDescent="0.3">
      <c r="W194" s="181"/>
      <c r="X194" s="80"/>
      <c r="Y194" s="14"/>
      <c r="Z194" s="14"/>
      <c r="AA194" s="14"/>
      <c r="AB194" s="14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BA194" s="43" t="s">
        <v>250</v>
      </c>
      <c r="BB194" s="39">
        <v>6.37</v>
      </c>
    </row>
    <row r="195" spans="23:54" ht="15.6" x14ac:dyDescent="0.3">
      <c r="W195" s="181"/>
      <c r="X195" s="80"/>
      <c r="Y195" s="23"/>
      <c r="Z195" s="14"/>
      <c r="AA195" s="14"/>
      <c r="AB195" s="14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BA195" s="43" t="s">
        <v>251</v>
      </c>
      <c r="BB195" s="39">
        <v>6.42</v>
      </c>
    </row>
    <row r="196" spans="23:54" ht="15.6" x14ac:dyDescent="0.3">
      <c r="W196" s="181"/>
      <c r="X196" s="80"/>
      <c r="Y196" s="14"/>
      <c r="Z196" s="14"/>
      <c r="AA196" s="14"/>
      <c r="AB196" s="14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BA196" s="43" t="s">
        <v>252</v>
      </c>
      <c r="BB196" s="39">
        <v>6.42</v>
      </c>
    </row>
    <row r="197" spans="23:54" ht="15.6" x14ac:dyDescent="0.3">
      <c r="W197" s="181"/>
      <c r="X197" s="80"/>
      <c r="Y197" s="23"/>
      <c r="Z197" s="14"/>
      <c r="AA197" s="14"/>
      <c r="AB197" s="14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BA197" s="43" t="s">
        <v>253</v>
      </c>
      <c r="BB197" s="39">
        <v>6.68</v>
      </c>
    </row>
    <row r="198" spans="23:54" ht="15.6" x14ac:dyDescent="0.3">
      <c r="W198" s="181"/>
      <c r="X198" s="80"/>
      <c r="Y198" s="14"/>
      <c r="Z198" s="14"/>
      <c r="AA198" s="14"/>
      <c r="AB198" s="14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BA198" s="43" t="s">
        <v>254</v>
      </c>
      <c r="BB198" s="39">
        <v>6.75</v>
      </c>
    </row>
    <row r="199" spans="23:54" ht="15.6" x14ac:dyDescent="0.3">
      <c r="W199" s="181"/>
      <c r="X199" s="80"/>
      <c r="Y199" s="14"/>
      <c r="Z199" s="14"/>
      <c r="AA199" s="14"/>
      <c r="AB199" s="14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BA199" s="43" t="s">
        <v>255</v>
      </c>
      <c r="BB199" s="39">
        <v>6.81</v>
      </c>
    </row>
    <row r="200" spans="23:54" ht="15.6" x14ac:dyDescent="0.3">
      <c r="W200" s="181"/>
      <c r="X200" s="80"/>
      <c r="Y200" s="14"/>
      <c r="Z200" s="14"/>
      <c r="AA200" s="14"/>
      <c r="AB200" s="14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BA200" s="43" t="s">
        <v>256</v>
      </c>
      <c r="BB200" s="39">
        <v>6.8</v>
      </c>
    </row>
    <row r="201" spans="23:54" ht="15.6" x14ac:dyDescent="0.3">
      <c r="W201" s="181"/>
      <c r="X201" s="80"/>
      <c r="Y201" s="14"/>
      <c r="Z201" s="14"/>
      <c r="AA201" s="14"/>
      <c r="AB201" s="14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BA201" s="43" t="s">
        <v>257</v>
      </c>
      <c r="BB201" s="39">
        <v>7.52</v>
      </c>
    </row>
    <row r="202" spans="23:54" ht="15.6" x14ac:dyDescent="0.3">
      <c r="W202" s="181"/>
      <c r="X202" s="80"/>
      <c r="Y202" s="14"/>
      <c r="Z202" s="14"/>
      <c r="AA202" s="14"/>
      <c r="AB202" s="14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BA202" s="43" t="s">
        <v>258</v>
      </c>
      <c r="BB202" s="39">
        <v>7.45</v>
      </c>
    </row>
    <row r="203" spans="23:54" ht="15.6" x14ac:dyDescent="0.3">
      <c r="W203" s="181"/>
      <c r="X203" s="80"/>
      <c r="Y203" s="14"/>
      <c r="Z203" s="14"/>
      <c r="AA203" s="14"/>
      <c r="AB203" s="14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BA203" s="43" t="s">
        <v>259</v>
      </c>
      <c r="BB203" s="39">
        <v>7.61</v>
      </c>
    </row>
    <row r="204" spans="23:54" ht="15.6" x14ac:dyDescent="0.3">
      <c r="W204" s="181"/>
      <c r="X204" s="80"/>
      <c r="Y204" s="14"/>
      <c r="Z204" s="14"/>
      <c r="AA204" s="14"/>
      <c r="AB204" s="14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BA204" s="43" t="s">
        <v>260</v>
      </c>
      <c r="BB204" s="39">
        <v>8.02</v>
      </c>
    </row>
    <row r="205" spans="23:54" ht="15.6" x14ac:dyDescent="0.3">
      <c r="W205" s="181"/>
      <c r="X205" s="80"/>
      <c r="Y205" s="14"/>
      <c r="Z205" s="14"/>
      <c r="AA205" s="14"/>
      <c r="AB205" s="14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BA205" s="43" t="s">
        <v>261</v>
      </c>
      <c r="BB205" s="39">
        <v>8.2899999999999991</v>
      </c>
    </row>
    <row r="206" spans="23:54" ht="15.6" x14ac:dyDescent="0.3">
      <c r="W206" s="181"/>
      <c r="X206" s="80"/>
      <c r="Y206" s="14"/>
      <c r="Z206" s="14"/>
      <c r="AA206" s="14"/>
      <c r="AB206" s="14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BA206" s="43" t="s">
        <v>262</v>
      </c>
      <c r="BB206" s="39">
        <v>8.5399999999999991</v>
      </c>
    </row>
    <row r="207" spans="23:54" ht="15.6" x14ac:dyDescent="0.3">
      <c r="W207" s="181"/>
      <c r="X207" s="80"/>
      <c r="Y207" s="14"/>
      <c r="Z207" s="14"/>
      <c r="AA207" s="14"/>
      <c r="AB207" s="14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BA207" s="43" t="s">
        <v>263</v>
      </c>
      <c r="BB207" s="39">
        <v>8.89</v>
      </c>
    </row>
    <row r="208" spans="23:54" ht="15.6" x14ac:dyDescent="0.3">
      <c r="W208" s="181"/>
      <c r="X208" s="80"/>
      <c r="Y208" s="14"/>
      <c r="Z208" s="14"/>
      <c r="AA208" s="14"/>
      <c r="AB208" s="14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BA208" s="43" t="s">
        <v>264</v>
      </c>
      <c r="BB208" s="39">
        <v>8.59</v>
      </c>
    </row>
    <row r="209" spans="23:54" ht="15.6" x14ac:dyDescent="0.3">
      <c r="W209" s="181"/>
      <c r="X209" s="80"/>
      <c r="Y209" s="23"/>
      <c r="Z209" s="14"/>
      <c r="AA209" s="14"/>
      <c r="AB209" s="14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BA209" s="43" t="s">
        <v>265</v>
      </c>
      <c r="BB209" s="39">
        <v>8.67</v>
      </c>
    </row>
    <row r="210" spans="23:54" ht="15.6" x14ac:dyDescent="0.3">
      <c r="W210" s="181"/>
      <c r="X210" s="80"/>
      <c r="Y210" s="23"/>
      <c r="Z210" s="14"/>
      <c r="AA210" s="14"/>
      <c r="AB210" s="14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BA210" s="43" t="s">
        <v>266</v>
      </c>
      <c r="BB210" s="39">
        <v>8.98</v>
      </c>
    </row>
    <row r="211" spans="23:54" ht="15.6" x14ac:dyDescent="0.3">
      <c r="W211" s="181"/>
      <c r="X211" s="80"/>
      <c r="Y211" s="14"/>
      <c r="Z211" s="14"/>
      <c r="AA211" s="14"/>
      <c r="AB211" s="14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BA211" s="43" t="s">
        <v>267</v>
      </c>
      <c r="BB211" s="39">
        <v>9.1199999999999992</v>
      </c>
    </row>
    <row r="212" spans="23:54" ht="15.6" x14ac:dyDescent="0.3">
      <c r="W212" s="181"/>
      <c r="X212" s="80"/>
      <c r="Y212" s="14"/>
      <c r="Z212" s="14"/>
      <c r="AA212" s="14"/>
      <c r="AB212" s="14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BA212" s="43" t="s">
        <v>268</v>
      </c>
      <c r="BB212" s="39">
        <v>9.3000000000000007</v>
      </c>
    </row>
    <row r="213" spans="23:54" ht="15.6" x14ac:dyDescent="0.3">
      <c r="W213" s="181"/>
      <c r="X213" s="80"/>
      <c r="Y213" s="23"/>
      <c r="Z213" s="14"/>
      <c r="AA213" s="14"/>
      <c r="AB213" s="14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BA213" s="43" t="s">
        <v>269</v>
      </c>
      <c r="BB213" s="39">
        <v>9.59</v>
      </c>
    </row>
    <row r="214" spans="23:54" ht="15.6" x14ac:dyDescent="0.3">
      <c r="W214" s="181"/>
      <c r="X214" s="80"/>
      <c r="Y214" s="14"/>
      <c r="Z214" s="14"/>
      <c r="AA214" s="14"/>
      <c r="AB214" s="14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BA214" s="43" t="s">
        <v>270</v>
      </c>
      <c r="BB214" s="39">
        <v>9.7899999999999991</v>
      </c>
    </row>
    <row r="215" spans="23:54" ht="15.6" x14ac:dyDescent="0.3">
      <c r="W215" s="181"/>
      <c r="X215" s="80"/>
      <c r="Y215" s="14"/>
      <c r="Z215" s="14"/>
      <c r="AA215" s="14"/>
      <c r="AB215" s="14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BA215" s="43" t="s">
        <v>271</v>
      </c>
      <c r="BB215" s="39">
        <v>9.59</v>
      </c>
    </row>
    <row r="216" spans="23:54" ht="15.6" x14ac:dyDescent="0.3">
      <c r="W216" s="181"/>
      <c r="X216" s="80"/>
      <c r="Y216" s="14"/>
      <c r="Z216" s="14"/>
      <c r="AA216" s="14"/>
      <c r="AB216" s="14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BA216" s="43" t="s">
        <v>272</v>
      </c>
      <c r="BB216" s="39">
        <v>9.75</v>
      </c>
    </row>
    <row r="217" spans="23:54" ht="15.6" x14ac:dyDescent="0.3">
      <c r="W217" s="181"/>
      <c r="X217" s="80"/>
      <c r="Y217" s="14"/>
      <c r="Z217" s="14"/>
      <c r="AA217" s="14"/>
      <c r="AB217" s="14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BA217" s="43" t="s">
        <v>273</v>
      </c>
      <c r="BB217" s="39">
        <v>9.61</v>
      </c>
    </row>
    <row r="218" spans="23:54" ht="15.6" x14ac:dyDescent="0.3">
      <c r="W218" s="181"/>
      <c r="X218" s="80"/>
      <c r="Y218" s="14"/>
      <c r="Z218" s="14"/>
      <c r="AA218" s="14"/>
      <c r="AB218" s="14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BA218" s="43" t="s">
        <v>274</v>
      </c>
      <c r="BB218" s="39">
        <v>9.9600000000000009</v>
      </c>
    </row>
    <row r="219" spans="23:54" ht="15.6" x14ac:dyDescent="0.3">
      <c r="W219" s="181"/>
      <c r="X219" s="80"/>
      <c r="Y219" s="14"/>
      <c r="Z219" s="14"/>
      <c r="AA219" s="14"/>
      <c r="AB219" s="14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BA219" s="43" t="s">
        <v>275</v>
      </c>
      <c r="BB219" s="39">
        <v>9.92</v>
      </c>
    </row>
    <row r="220" spans="23:54" ht="15.6" x14ac:dyDescent="0.3">
      <c r="W220" s="181"/>
      <c r="X220" s="80"/>
      <c r="Y220" s="14"/>
      <c r="Z220" s="14"/>
      <c r="AA220" s="14"/>
      <c r="AB220" s="14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BA220" s="43" t="s">
        <v>276</v>
      </c>
      <c r="BB220" s="39">
        <v>10.02</v>
      </c>
    </row>
    <row r="221" spans="23:54" ht="15.6" x14ac:dyDescent="0.3">
      <c r="W221" s="181"/>
      <c r="X221" s="80"/>
      <c r="Y221" s="14"/>
      <c r="Z221" s="14"/>
      <c r="AA221" s="14"/>
      <c r="AB221" s="14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BA221" s="43" t="s">
        <v>277</v>
      </c>
      <c r="BB221" s="39">
        <v>10.130000000000001</v>
      </c>
    </row>
    <row r="222" spans="23:54" ht="15.6" x14ac:dyDescent="0.3">
      <c r="W222" s="181"/>
      <c r="X222" s="80"/>
      <c r="Y222" s="14"/>
      <c r="Z222" s="14"/>
      <c r="AA222" s="14"/>
      <c r="AB222" s="14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BA222" s="43" t="s">
        <v>278</v>
      </c>
      <c r="BB222" s="39">
        <v>10.119999999999999</v>
      </c>
    </row>
    <row r="223" spans="23:54" ht="15.6" x14ac:dyDescent="0.3">
      <c r="W223" s="181"/>
      <c r="X223" s="80"/>
      <c r="Y223" s="14"/>
      <c r="Z223" s="14"/>
      <c r="AA223" s="14"/>
      <c r="AB223" s="14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BA223" s="43" t="s">
        <v>279</v>
      </c>
      <c r="BB223" s="39">
        <v>9.69</v>
      </c>
    </row>
    <row r="224" spans="23:54" ht="15.6" x14ac:dyDescent="0.3">
      <c r="W224" s="181"/>
      <c r="X224" s="80"/>
      <c r="Y224" s="14"/>
      <c r="Z224" s="14"/>
      <c r="AA224" s="14"/>
      <c r="AB224" s="14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BA224" s="43" t="s">
        <v>280</v>
      </c>
      <c r="BB224" s="39">
        <v>8.98</v>
      </c>
    </row>
    <row r="225" spans="23:54" ht="15.6" x14ac:dyDescent="0.3">
      <c r="W225" s="181"/>
      <c r="X225" s="80"/>
      <c r="Y225" s="14"/>
      <c r="Z225" s="14"/>
      <c r="AA225" s="14"/>
      <c r="AB225" s="14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BA225" s="43" t="s">
        <v>281</v>
      </c>
      <c r="BB225" s="39">
        <v>8.17</v>
      </c>
    </row>
    <row r="226" spans="23:54" ht="15.6" x14ac:dyDescent="0.3">
      <c r="W226" s="181"/>
      <c r="X226" s="80"/>
      <c r="Y226" s="23"/>
      <c r="Z226" s="14"/>
      <c r="AA226" s="14"/>
      <c r="AB226" s="14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BA226" s="43" t="s">
        <v>282</v>
      </c>
      <c r="BB226" s="39">
        <v>7.12</v>
      </c>
    </row>
    <row r="227" spans="23:54" ht="15.6" x14ac:dyDescent="0.3">
      <c r="W227" s="181"/>
      <c r="X227" s="80"/>
      <c r="Y227" s="14"/>
      <c r="Z227" s="14"/>
      <c r="AA227" s="14"/>
      <c r="AB227" s="14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BA227" s="43" t="s">
        <v>283</v>
      </c>
      <c r="BB227" s="39">
        <v>6.2</v>
      </c>
    </row>
    <row r="228" spans="23:54" ht="15.6" x14ac:dyDescent="0.3">
      <c r="W228" s="181"/>
      <c r="X228" s="80"/>
      <c r="Y228" s="14"/>
      <c r="Z228" s="14"/>
      <c r="AA228" s="14"/>
      <c r="AB228" s="14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BA228" s="43" t="s">
        <v>284</v>
      </c>
      <c r="BB228" s="39">
        <v>5.52</v>
      </c>
    </row>
    <row r="229" spans="23:54" ht="15.6" x14ac:dyDescent="0.3">
      <c r="W229" s="181"/>
      <c r="X229" s="80"/>
      <c r="Y229" s="23"/>
      <c r="Z229" s="14"/>
      <c r="AA229" s="14"/>
      <c r="AB229" s="14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BA229" s="43" t="s">
        <v>285</v>
      </c>
      <c r="BB229" s="39">
        <v>5.15</v>
      </c>
    </row>
    <row r="230" spans="23:54" ht="15.6" x14ac:dyDescent="0.3">
      <c r="W230" s="181"/>
      <c r="X230" s="80"/>
      <c r="Y230" s="14"/>
      <c r="Z230" s="14"/>
      <c r="AA230" s="14"/>
      <c r="AB230" s="14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BA230" s="43" t="s">
        <v>286</v>
      </c>
      <c r="BB230" s="39">
        <v>5.08</v>
      </c>
    </row>
    <row r="231" spans="23:54" ht="15.6" x14ac:dyDescent="0.3">
      <c r="W231" s="181"/>
      <c r="X231" s="80"/>
      <c r="Y231" s="23"/>
      <c r="Z231" s="14"/>
      <c r="AA231" s="14"/>
      <c r="AB231" s="14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BA231" s="43" t="s">
        <v>287</v>
      </c>
      <c r="BB231" s="39">
        <v>4.8899999999999997</v>
      </c>
    </row>
    <row r="232" spans="23:54" ht="15.6" x14ac:dyDescent="0.3">
      <c r="W232" s="181"/>
      <c r="X232" s="80"/>
      <c r="Y232" s="14"/>
      <c r="Z232" s="14"/>
      <c r="AA232" s="14"/>
      <c r="AB232" s="14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BA232" s="43" t="s">
        <v>288</v>
      </c>
      <c r="BB232" s="39">
        <v>4.41</v>
      </c>
    </row>
    <row r="233" spans="23:54" ht="15.6" x14ac:dyDescent="0.3">
      <c r="W233" s="181"/>
      <c r="X233" s="80"/>
      <c r="Y233" s="14"/>
      <c r="Z233" s="14"/>
      <c r="AA233" s="14"/>
      <c r="AB233" s="14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BA233" s="43" t="s">
        <v>289</v>
      </c>
      <c r="BB233" s="39">
        <v>4.4000000000000004</v>
      </c>
    </row>
    <row r="234" spans="23:54" ht="15.6" x14ac:dyDescent="0.3">
      <c r="W234" s="181"/>
      <c r="X234" s="80"/>
      <c r="Y234" s="14"/>
      <c r="Z234" s="14"/>
      <c r="AA234" s="14"/>
      <c r="AB234" s="14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BA234" s="43" t="s">
        <v>290</v>
      </c>
      <c r="BB234" s="39">
        <v>4.12</v>
      </c>
    </row>
    <row r="235" spans="23:54" ht="15.6" x14ac:dyDescent="0.3">
      <c r="W235" s="181"/>
      <c r="X235" s="80"/>
      <c r="Y235" s="14"/>
      <c r="Z235" s="14"/>
      <c r="AA235" s="14"/>
      <c r="AB235" s="14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BA235" s="43" t="s">
        <v>291</v>
      </c>
      <c r="BB235" s="39">
        <v>4.04</v>
      </c>
    </row>
    <row r="236" spans="23:54" ht="15.6" x14ac:dyDescent="0.3">
      <c r="W236" s="181"/>
      <c r="X236" s="80"/>
      <c r="Y236" s="14"/>
      <c r="Z236" s="14"/>
      <c r="AA236" s="14"/>
      <c r="AB236" s="14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BA236" s="43" t="s">
        <v>292</v>
      </c>
      <c r="BB236" s="39">
        <v>4</v>
      </c>
    </row>
    <row r="237" spans="23:54" ht="15.6" x14ac:dyDescent="0.3">
      <c r="W237" s="181"/>
      <c r="X237" s="80"/>
      <c r="Y237" s="14"/>
      <c r="Z237" s="14"/>
      <c r="AA237" s="14"/>
      <c r="AB237" s="14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BA237" s="43" t="s">
        <v>293</v>
      </c>
      <c r="BB237" s="39">
        <v>3.93</v>
      </c>
    </row>
    <row r="238" spans="23:54" ht="15.6" x14ac:dyDescent="0.3">
      <c r="W238" s="181"/>
      <c r="X238" s="80"/>
      <c r="Y238" s="14"/>
      <c r="Z238" s="14"/>
      <c r="AA238" s="14"/>
      <c r="AB238" s="14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BA238" s="43" t="s">
        <v>294</v>
      </c>
      <c r="BB238" s="39">
        <v>3.92</v>
      </c>
    </row>
    <row r="239" spans="23:54" ht="15.6" x14ac:dyDescent="0.3">
      <c r="W239" s="181"/>
      <c r="X239" s="80"/>
      <c r="Y239" s="14"/>
      <c r="Z239" s="14"/>
      <c r="AA239" s="14"/>
      <c r="AB239" s="14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BA239" s="43" t="s">
        <v>295</v>
      </c>
      <c r="BB239" s="39">
        <v>3.63</v>
      </c>
    </row>
    <row r="240" spans="23:54" ht="15.6" x14ac:dyDescent="0.3">
      <c r="W240" s="181"/>
      <c r="X240" s="80"/>
      <c r="Y240" s="14"/>
      <c r="Z240" s="14"/>
      <c r="AA240" s="14"/>
      <c r="AB240" s="14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BA240" s="43" t="s">
        <v>296</v>
      </c>
      <c r="BB240" s="39">
        <v>3.54</v>
      </c>
    </row>
    <row r="241" spans="23:54" ht="15.6" x14ac:dyDescent="0.3">
      <c r="W241" s="181"/>
      <c r="X241" s="80"/>
      <c r="Y241" s="14"/>
      <c r="Z241" s="14"/>
      <c r="AA241" s="14"/>
      <c r="AB241" s="14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BA241" s="43" t="s">
        <v>297</v>
      </c>
      <c r="BB241" s="39">
        <v>3.52</v>
      </c>
    </row>
    <row r="242" spans="23:54" ht="15.6" x14ac:dyDescent="0.3">
      <c r="W242" s="181"/>
      <c r="X242" s="80"/>
      <c r="Y242" s="14"/>
      <c r="Z242" s="14"/>
      <c r="AA242" s="14"/>
      <c r="AB242" s="14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BA242" s="43" t="s">
        <v>298</v>
      </c>
      <c r="BB242" s="39">
        <v>3.5</v>
      </c>
    </row>
    <row r="243" spans="23:54" ht="15.6" x14ac:dyDescent="0.3">
      <c r="W243" s="181"/>
      <c r="X243" s="80"/>
      <c r="Y243" s="14"/>
      <c r="Z243" s="14"/>
      <c r="AA243" s="14"/>
      <c r="AB243" s="14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BA243" s="43" t="s">
        <v>299</v>
      </c>
      <c r="BB243" s="39">
        <v>3.47</v>
      </c>
    </row>
    <row r="244" spans="23:54" ht="15.6" x14ac:dyDescent="0.3">
      <c r="W244" s="181"/>
      <c r="X244" s="80"/>
      <c r="Y244" s="23"/>
      <c r="Z244" s="14"/>
      <c r="AA244" s="14"/>
      <c r="AB244" s="14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BA244" s="43" t="s">
        <v>300</v>
      </c>
      <c r="BB244" s="39">
        <v>3.45</v>
      </c>
    </row>
    <row r="245" spans="23:54" ht="15.6" x14ac:dyDescent="0.3">
      <c r="W245" s="181"/>
      <c r="X245" s="80"/>
      <c r="Y245" s="14"/>
      <c r="Z245" s="14"/>
      <c r="AA245" s="14"/>
      <c r="AB245" s="14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BA245" s="43" t="s">
        <v>301</v>
      </c>
      <c r="BB245" s="39">
        <v>3.44</v>
      </c>
    </row>
    <row r="246" spans="23:54" ht="15.6" x14ac:dyDescent="0.3">
      <c r="W246" s="181"/>
      <c r="X246" s="80"/>
      <c r="Y246" s="14"/>
      <c r="Z246" s="14"/>
      <c r="AA246" s="14"/>
      <c r="AB246" s="14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BA246" s="43" t="s">
        <v>302</v>
      </c>
      <c r="BB246" s="39">
        <v>3.5</v>
      </c>
    </row>
    <row r="247" spans="23:54" ht="15.6" x14ac:dyDescent="0.3">
      <c r="W247" s="181"/>
      <c r="X247" s="80"/>
      <c r="Y247" s="23"/>
      <c r="Z247" s="14"/>
      <c r="AA247" s="14"/>
      <c r="AB247" s="14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BA247" s="43" t="s">
        <v>303</v>
      </c>
      <c r="BB247" s="39">
        <v>3.48</v>
      </c>
    </row>
    <row r="248" spans="23:54" ht="15.6" x14ac:dyDescent="0.3">
      <c r="W248" s="181"/>
      <c r="X248" s="80"/>
      <c r="Y248" s="14"/>
      <c r="Z248" s="14"/>
      <c r="AA248" s="14"/>
      <c r="AB248" s="14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BA248" s="43" t="s">
        <v>304</v>
      </c>
      <c r="BB248" s="39">
        <v>3.46</v>
      </c>
    </row>
    <row r="249" spans="23:54" ht="15.6" x14ac:dyDescent="0.3">
      <c r="W249" s="181"/>
      <c r="X249" s="80"/>
      <c r="Y249" s="14"/>
      <c r="Z249" s="14"/>
      <c r="AA249" s="14"/>
      <c r="AB249" s="14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BA249" s="43" t="s">
        <v>305</v>
      </c>
      <c r="BB249" s="39">
        <v>3.59</v>
      </c>
    </row>
    <row r="250" spans="23:54" ht="15.6" x14ac:dyDescent="0.3">
      <c r="W250" s="181"/>
      <c r="X250" s="80"/>
      <c r="Y250" s="14"/>
      <c r="Z250" s="14"/>
      <c r="AA250" s="14"/>
      <c r="AB250" s="14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BA250" s="43" t="s">
        <v>306</v>
      </c>
      <c r="BB250" s="39">
        <v>3.74</v>
      </c>
    </row>
    <row r="251" spans="23:54" ht="15.6" x14ac:dyDescent="0.3">
      <c r="W251" s="181"/>
      <c r="X251" s="80"/>
      <c r="Y251" s="14"/>
      <c r="Z251" s="14"/>
      <c r="AA251" s="14"/>
      <c r="AB251" s="14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BA251" s="43" t="s">
        <v>307</v>
      </c>
      <c r="BB251" s="39">
        <v>3.88</v>
      </c>
    </row>
    <row r="252" spans="23:54" ht="15.6" x14ac:dyDescent="0.3">
      <c r="W252" s="181"/>
      <c r="X252" s="80"/>
      <c r="Y252" s="14"/>
      <c r="Z252" s="14"/>
      <c r="AA252" s="14"/>
      <c r="AB252" s="14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BA252" s="43" t="s">
        <v>308</v>
      </c>
      <c r="BB252" s="39">
        <v>4.0999999999999996</v>
      </c>
    </row>
    <row r="253" spans="23:54" ht="15.6" x14ac:dyDescent="0.3">
      <c r="W253" s="181"/>
      <c r="X253" s="80"/>
      <c r="Y253" s="14"/>
      <c r="Z253" s="14"/>
      <c r="AA253" s="14"/>
      <c r="AB253" s="14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BA253" s="43" t="s">
        <v>309</v>
      </c>
      <c r="BB253" s="39">
        <v>4.21</v>
      </c>
    </row>
    <row r="254" spans="23:54" ht="15.6" x14ac:dyDescent="0.3">
      <c r="W254" s="181"/>
      <c r="X254" s="80"/>
      <c r="Y254" s="14"/>
      <c r="Z254" s="14"/>
      <c r="AA254" s="14"/>
      <c r="AB254" s="14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BA254" s="43" t="s">
        <v>310</v>
      </c>
      <c r="BB254" s="39">
        <v>4.49</v>
      </c>
    </row>
    <row r="255" spans="23:54" ht="15.6" x14ac:dyDescent="0.3">
      <c r="W255" s="181"/>
      <c r="X255" s="80"/>
      <c r="Y255" s="14"/>
      <c r="Z255" s="14"/>
      <c r="AA255" s="14"/>
      <c r="AB255" s="14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BA255" s="43" t="s">
        <v>311</v>
      </c>
      <c r="BB255" s="39">
        <v>4.6100000000000003</v>
      </c>
    </row>
    <row r="256" spans="23:54" ht="15.6" x14ac:dyDescent="0.3">
      <c r="W256" s="181"/>
      <c r="X256" s="80"/>
      <c r="Y256" s="23"/>
      <c r="Z256" s="14"/>
      <c r="AA256" s="14"/>
      <c r="AB256" s="14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BA256" s="43" t="s">
        <v>312</v>
      </c>
      <c r="BB256" s="39">
        <v>4.72</v>
      </c>
    </row>
    <row r="257" spans="23:54" ht="15.6" x14ac:dyDescent="0.3">
      <c r="W257" s="181"/>
      <c r="X257" s="80"/>
      <c r="Y257" s="14"/>
      <c r="Z257" s="14"/>
      <c r="AA257" s="14"/>
      <c r="AB257" s="14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BA257" s="43" t="s">
        <v>313</v>
      </c>
      <c r="BB257" s="39">
        <v>5.08</v>
      </c>
    </row>
    <row r="258" spans="23:54" ht="15.6" x14ac:dyDescent="0.3">
      <c r="W258" s="181"/>
      <c r="X258" s="80"/>
      <c r="Y258" s="14"/>
      <c r="Z258" s="14"/>
      <c r="AA258" s="14"/>
      <c r="AB258" s="14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BA258" s="43" t="s">
        <v>314</v>
      </c>
      <c r="BB258" s="39">
        <v>5.12</v>
      </c>
    </row>
    <row r="259" spans="23:54" ht="15.6" x14ac:dyDescent="0.3">
      <c r="W259" s="181"/>
      <c r="X259" s="80"/>
      <c r="Y259" s="14"/>
      <c r="Z259" s="14"/>
      <c r="AA259" s="14"/>
      <c r="AB259" s="14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BA259" s="43" t="s">
        <v>315</v>
      </c>
      <c r="BB259" s="39">
        <v>5.13</v>
      </c>
    </row>
    <row r="260" spans="23:54" ht="15.6" x14ac:dyDescent="0.3">
      <c r="W260" s="181"/>
      <c r="X260" s="80"/>
      <c r="Y260" s="23"/>
      <c r="Z260" s="14"/>
      <c r="AA260" s="14"/>
      <c r="AB260" s="14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BA260" s="43" t="s">
        <v>316</v>
      </c>
      <c r="BB260" s="39">
        <v>5.27</v>
      </c>
    </row>
    <row r="261" spans="23:54" ht="15.6" x14ac:dyDescent="0.3">
      <c r="W261" s="181"/>
      <c r="X261" s="80"/>
      <c r="Y261" s="14"/>
      <c r="Z261" s="14"/>
      <c r="AA261" s="14"/>
      <c r="AB261" s="14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BA261" s="43" t="s">
        <v>317</v>
      </c>
      <c r="BB261" s="39">
        <v>5.36</v>
      </c>
    </row>
    <row r="262" spans="23:54" ht="15.6" x14ac:dyDescent="0.3">
      <c r="W262" s="181"/>
      <c r="X262" s="80"/>
      <c r="Y262" s="14"/>
      <c r="Z262" s="14"/>
      <c r="AA262" s="14"/>
      <c r="AB262" s="14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BA262" s="43" t="s">
        <v>318</v>
      </c>
      <c r="BB262" s="39">
        <v>5.47</v>
      </c>
    </row>
    <row r="263" spans="23:54" ht="15.6" x14ac:dyDescent="0.3">
      <c r="W263" s="181"/>
      <c r="X263" s="80"/>
      <c r="Y263" s="23"/>
      <c r="Z263" s="14"/>
      <c r="AA263" s="14"/>
      <c r="AB263" s="14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BA263" s="43" t="s">
        <v>319</v>
      </c>
      <c r="BB263" s="39">
        <v>5.45</v>
      </c>
    </row>
    <row r="264" spans="23:54" ht="15.6" x14ac:dyDescent="0.3">
      <c r="W264" s="181"/>
      <c r="X264" s="80"/>
      <c r="Y264" s="14"/>
      <c r="Z264" s="14"/>
      <c r="AA264" s="14"/>
      <c r="AB264" s="14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BA264" s="43" t="s">
        <v>320</v>
      </c>
      <c r="BB264" s="39">
        <v>5.45</v>
      </c>
    </row>
    <row r="265" spans="23:54" ht="15.6" x14ac:dyDescent="0.3">
      <c r="W265" s="181"/>
      <c r="X265" s="80"/>
      <c r="Y265" s="14"/>
      <c r="Z265" s="14"/>
      <c r="AA265" s="14"/>
      <c r="AB265" s="14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BA265" s="43" t="s">
        <v>321</v>
      </c>
      <c r="BB265" s="39">
        <v>5.44</v>
      </c>
    </row>
    <row r="266" spans="23:54" ht="15.6" x14ac:dyDescent="0.3">
      <c r="W266" s="181"/>
      <c r="X266" s="80"/>
      <c r="Y266" s="14"/>
      <c r="Z266" s="14"/>
      <c r="AA266" s="14"/>
      <c r="AB266" s="14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BA266" s="43" t="s">
        <v>322</v>
      </c>
      <c r="BB266" s="39">
        <v>5.41</v>
      </c>
    </row>
    <row r="267" spans="23:54" ht="15.6" x14ac:dyDescent="0.3">
      <c r="W267" s="181"/>
      <c r="X267" s="80"/>
      <c r="Y267" s="14"/>
      <c r="Z267" s="14"/>
      <c r="AA267" s="14"/>
      <c r="AB267" s="14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BA267" s="43" t="s">
        <v>323</v>
      </c>
      <c r="BB267" s="39">
        <v>5.32</v>
      </c>
    </row>
    <row r="268" spans="23:54" ht="15.6" x14ac:dyDescent="0.3">
      <c r="W268" s="181"/>
      <c r="X268" s="80"/>
      <c r="Y268" s="14"/>
      <c r="Z268" s="14"/>
      <c r="AA268" s="14"/>
      <c r="AB268" s="14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BA268" s="43" t="s">
        <v>324</v>
      </c>
      <c r="BB268" s="39">
        <v>5.42</v>
      </c>
    </row>
    <row r="269" spans="23:54" ht="15.6" x14ac:dyDescent="0.3">
      <c r="W269" s="181"/>
      <c r="X269" s="80"/>
      <c r="Y269" s="14"/>
      <c r="Z269" s="14"/>
      <c r="AA269" s="14"/>
      <c r="AB269" s="14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BA269" s="43" t="s">
        <v>325</v>
      </c>
      <c r="BB269" s="39">
        <v>5.31</v>
      </c>
    </row>
    <row r="270" spans="23:54" ht="15.6" x14ac:dyDescent="0.3">
      <c r="W270" s="181"/>
      <c r="X270" s="80"/>
      <c r="Y270" s="14"/>
      <c r="Z270" s="14"/>
      <c r="AA270" s="14"/>
      <c r="AB270" s="14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BA270" s="43" t="s">
        <v>326</v>
      </c>
      <c r="BB270" s="39">
        <v>5.22</v>
      </c>
    </row>
    <row r="271" spans="23:54" ht="15.6" x14ac:dyDescent="0.3">
      <c r="W271" s="181"/>
      <c r="X271" s="80"/>
      <c r="Y271" s="14"/>
      <c r="Z271" s="14"/>
      <c r="AA271" s="14"/>
      <c r="AB271" s="14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BA271" s="43" t="s">
        <v>327</v>
      </c>
      <c r="BB271" s="39">
        <v>5.12</v>
      </c>
    </row>
    <row r="272" spans="23:54" ht="15.6" x14ac:dyDescent="0.3">
      <c r="W272" s="181"/>
      <c r="X272" s="80"/>
      <c r="Y272" s="14"/>
      <c r="Z272" s="14"/>
      <c r="AA272" s="14"/>
      <c r="AB272" s="14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BA272" s="43" t="s">
        <v>328</v>
      </c>
      <c r="BB272" s="39">
        <v>4.82</v>
      </c>
    </row>
    <row r="273" spans="23:54" ht="15.6" x14ac:dyDescent="0.3">
      <c r="W273" s="181"/>
      <c r="X273" s="80"/>
      <c r="Y273" s="14"/>
      <c r="Z273" s="14"/>
      <c r="AA273" s="14"/>
      <c r="AB273" s="14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BA273" s="43" t="s">
        <v>329</v>
      </c>
      <c r="BB273" s="39">
        <v>4.57</v>
      </c>
    </row>
    <row r="274" spans="23:54" ht="15.6" x14ac:dyDescent="0.3">
      <c r="W274" s="181"/>
      <c r="X274" s="80"/>
      <c r="Y274" s="14"/>
      <c r="Z274" s="14"/>
      <c r="AA274" s="14"/>
      <c r="AB274" s="14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BA274" s="43" t="s">
        <v>330</v>
      </c>
      <c r="BB274" s="39">
        <v>4.21</v>
      </c>
    </row>
    <row r="275" spans="23:54" ht="15.6" x14ac:dyDescent="0.3">
      <c r="W275" s="181"/>
      <c r="X275" s="80"/>
      <c r="Y275" s="14"/>
      <c r="Z275" s="14"/>
      <c r="AA275" s="14"/>
      <c r="AB275" s="14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BA275" s="43" t="s">
        <v>331</v>
      </c>
      <c r="BB275" s="39">
        <v>3.98</v>
      </c>
    </row>
    <row r="276" spans="23:54" ht="15.6" x14ac:dyDescent="0.3">
      <c r="W276" s="181"/>
      <c r="X276" s="80"/>
      <c r="Y276" s="14"/>
      <c r="Z276" s="14"/>
      <c r="AA276" s="14"/>
      <c r="AB276" s="14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BA276" s="43" t="s">
        <v>332</v>
      </c>
      <c r="BB276" s="39">
        <v>3.94</v>
      </c>
    </row>
    <row r="277" spans="23:54" ht="15.6" x14ac:dyDescent="0.3">
      <c r="X277" s="80"/>
      <c r="Y277" s="14"/>
      <c r="Z277" s="14"/>
      <c r="AA277" s="14"/>
      <c r="AB277" s="14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BA277" s="43" t="s">
        <v>333</v>
      </c>
      <c r="BB277" s="39">
        <v>3.98</v>
      </c>
    </row>
    <row r="278" spans="23:54" ht="15.6" x14ac:dyDescent="0.3">
      <c r="X278" s="80"/>
      <c r="Y278" s="14"/>
      <c r="Z278" s="14"/>
      <c r="AA278" s="14"/>
      <c r="AB278" s="14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BA278" s="43" t="s">
        <v>334</v>
      </c>
      <c r="BB278" s="39">
        <v>4.07</v>
      </c>
    </row>
    <row r="279" spans="23:54" ht="15.6" x14ac:dyDescent="0.3">
      <c r="X279" s="80"/>
      <c r="Y279" s="14"/>
      <c r="Z279" s="14"/>
      <c r="AA279" s="14"/>
      <c r="AB279" s="14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BA279" s="43" t="s">
        <v>335</v>
      </c>
      <c r="BB279" s="39">
        <v>4.07</v>
      </c>
    </row>
    <row r="280" spans="23:54" ht="15.6" x14ac:dyDescent="0.3">
      <c r="X280" s="80"/>
      <c r="Y280" s="14"/>
      <c r="Z280" s="14"/>
      <c r="AA280" s="14"/>
      <c r="AB280" s="14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BA280" s="43" t="s">
        <v>336</v>
      </c>
      <c r="BB280" s="39">
        <v>4.0199999999999996</v>
      </c>
    </row>
    <row r="281" spans="23:54" ht="15.6" x14ac:dyDescent="0.3">
      <c r="X281" s="80"/>
      <c r="Y281" s="14"/>
      <c r="Z281" s="14"/>
      <c r="AA281" s="14"/>
      <c r="AB281" s="14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BA281" s="43" t="s">
        <v>337</v>
      </c>
      <c r="BB281" s="39">
        <v>4.03</v>
      </c>
    </row>
    <row r="282" spans="23:54" ht="15.6" x14ac:dyDescent="0.3">
      <c r="X282" s="80"/>
      <c r="Y282" s="14"/>
      <c r="Z282" s="14"/>
      <c r="AA282" s="14"/>
      <c r="AB282" s="14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BA282" s="43" t="s">
        <v>338</v>
      </c>
      <c r="BB282" s="39">
        <v>4.0599999999999996</v>
      </c>
    </row>
    <row r="283" spans="23:54" ht="15.6" x14ac:dyDescent="0.3">
      <c r="X283" s="80"/>
      <c r="Y283" s="14"/>
      <c r="Z283" s="14"/>
      <c r="AA283" s="14"/>
      <c r="AB283" s="14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BA283" s="43" t="s">
        <v>339</v>
      </c>
      <c r="BB283" s="39">
        <v>4.03</v>
      </c>
    </row>
    <row r="284" spans="23:54" ht="15.6" x14ac:dyDescent="0.3">
      <c r="X284" s="80"/>
      <c r="Y284" s="14"/>
      <c r="Z284" s="14"/>
      <c r="AA284" s="14"/>
      <c r="AB284" s="14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BA284" s="43" t="s">
        <v>340</v>
      </c>
      <c r="BB284" s="39">
        <v>3.97</v>
      </c>
    </row>
    <row r="285" spans="23:54" ht="15.6" x14ac:dyDescent="0.3">
      <c r="X285" s="80"/>
      <c r="Y285" s="14"/>
      <c r="Z285" s="14"/>
      <c r="AA285" s="14"/>
      <c r="AB285" s="14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BA285" s="43" t="s">
        <v>341</v>
      </c>
      <c r="BB285" s="39">
        <v>3.89</v>
      </c>
    </row>
    <row r="286" spans="23:54" ht="15.6" x14ac:dyDescent="0.3">
      <c r="X286" s="80"/>
      <c r="Y286" s="14"/>
      <c r="Z286" s="14"/>
      <c r="AA286" s="14"/>
      <c r="AB286" s="14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BA286" s="43" t="s">
        <v>342</v>
      </c>
      <c r="BB286" s="39">
        <v>3.81</v>
      </c>
    </row>
    <row r="287" spans="23:54" ht="15.6" x14ac:dyDescent="0.3">
      <c r="X287" s="80"/>
      <c r="Y287" s="14"/>
      <c r="Z287" s="14"/>
      <c r="AA287" s="14"/>
      <c r="AB287" s="14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BA287" s="43" t="s">
        <v>343</v>
      </c>
      <c r="BB287" s="39">
        <v>3.79</v>
      </c>
    </row>
    <row r="288" spans="23:54" ht="15.6" x14ac:dyDescent="0.3">
      <c r="X288" s="80"/>
      <c r="Y288" s="14"/>
      <c r="Z288" s="14"/>
      <c r="AA288" s="14"/>
      <c r="AB288" s="14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BA288" s="43" t="s">
        <v>344</v>
      </c>
      <c r="BB288" s="39">
        <v>3.94</v>
      </c>
    </row>
    <row r="289" spans="24:54" ht="15.6" x14ac:dyDescent="0.3">
      <c r="X289" s="80"/>
      <c r="Y289" s="14"/>
      <c r="Z289" s="14"/>
      <c r="AA289" s="14"/>
      <c r="AB289" s="14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BA289" s="43" t="s">
        <v>345</v>
      </c>
      <c r="BB289" s="39">
        <v>4.0599999999999996</v>
      </c>
    </row>
    <row r="290" spans="24:54" ht="15.6" x14ac:dyDescent="0.3">
      <c r="X290" s="80"/>
      <c r="Y290" s="23"/>
      <c r="Z290" s="14"/>
      <c r="AA290" s="14"/>
      <c r="AB290" s="14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BA290" s="43" t="s">
        <v>346</v>
      </c>
      <c r="BB290" s="39">
        <v>4.04</v>
      </c>
    </row>
    <row r="291" spans="24:54" ht="15.6" x14ac:dyDescent="0.3">
      <c r="X291" s="80"/>
      <c r="Y291" s="14"/>
      <c r="Z291" s="14"/>
      <c r="AA291" s="14"/>
      <c r="AB291" s="14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BA291" s="43" t="s">
        <v>347</v>
      </c>
      <c r="BB291" s="39">
        <v>4.26</v>
      </c>
    </row>
    <row r="292" spans="24:54" ht="15.6" x14ac:dyDescent="0.3">
      <c r="X292" s="80"/>
      <c r="Y292" s="14"/>
      <c r="Z292" s="14"/>
      <c r="AA292" s="14"/>
      <c r="AB292" s="14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BA292" s="43" t="s">
        <v>348</v>
      </c>
      <c r="BB292" s="39">
        <v>4.33</v>
      </c>
    </row>
    <row r="293" spans="24:54" ht="15.6" x14ac:dyDescent="0.3">
      <c r="X293" s="80"/>
      <c r="Y293" s="14"/>
      <c r="Z293" s="14"/>
      <c r="AA293" s="14"/>
      <c r="AB293" s="14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BA293" s="43" t="s">
        <v>349</v>
      </c>
      <c r="BB293" s="39">
        <v>4.3600000000000003</v>
      </c>
    </row>
    <row r="294" spans="24:54" ht="15.6" x14ac:dyDescent="0.3">
      <c r="X294" s="80"/>
      <c r="Y294" s="14"/>
      <c r="Z294" s="14"/>
      <c r="AA294" s="14"/>
      <c r="AB294" s="14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BA294" s="43" t="s">
        <v>350</v>
      </c>
      <c r="BB294" s="39">
        <v>4.34</v>
      </c>
    </row>
    <row r="295" spans="24:54" ht="15.6" x14ac:dyDescent="0.3">
      <c r="X295" s="80"/>
      <c r="Y295" s="14"/>
      <c r="Z295" s="14"/>
      <c r="AA295" s="14"/>
      <c r="AB295" s="14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BA295" s="43" t="s">
        <v>351</v>
      </c>
      <c r="BB295" s="39">
        <v>4.47</v>
      </c>
    </row>
    <row r="296" spans="24:54" ht="15.6" x14ac:dyDescent="0.3">
      <c r="X296" s="80"/>
      <c r="Y296" s="14"/>
      <c r="Z296" s="14"/>
      <c r="AA296" s="14"/>
      <c r="AB296" s="14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BA296" s="43" t="s">
        <v>352</v>
      </c>
      <c r="BB296" s="39">
        <v>4.45</v>
      </c>
    </row>
    <row r="297" spans="24:54" ht="15.6" x14ac:dyDescent="0.3">
      <c r="X297" s="80"/>
      <c r="Y297" s="14"/>
      <c r="Z297" s="14"/>
      <c r="AA297" s="14"/>
      <c r="AB297" s="14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BA297" s="43" t="s">
        <v>353</v>
      </c>
      <c r="BB297" s="39">
        <v>4.41</v>
      </c>
    </row>
    <row r="298" spans="24:54" ht="15.6" x14ac:dyDescent="0.3">
      <c r="X298" s="80"/>
      <c r="Y298" s="14"/>
      <c r="Z298" s="14"/>
      <c r="AA298" s="14"/>
      <c r="AB298" s="14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BA298" s="43" t="s">
        <v>354</v>
      </c>
      <c r="BB298" s="39">
        <v>4.51</v>
      </c>
    </row>
    <row r="299" spans="24:54" ht="15.6" x14ac:dyDescent="0.3">
      <c r="X299" s="80"/>
      <c r="Y299" s="14"/>
      <c r="Z299" s="14"/>
      <c r="AA299" s="14"/>
      <c r="AB299" s="14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BA299" s="43" t="s">
        <v>355</v>
      </c>
      <c r="BB299" s="39">
        <v>4.42</v>
      </c>
    </row>
    <row r="300" spans="24:54" ht="15.6" x14ac:dyDescent="0.3">
      <c r="X300" s="80"/>
      <c r="Y300" s="14"/>
      <c r="Z300" s="14"/>
      <c r="AA300" s="14"/>
      <c r="AB300" s="14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BA300" s="43" t="s">
        <v>356</v>
      </c>
      <c r="BB300" s="39">
        <v>4.4000000000000004</v>
      </c>
    </row>
    <row r="301" spans="24:54" ht="15.6" x14ac:dyDescent="0.3">
      <c r="X301" s="80"/>
      <c r="Y301" s="14"/>
      <c r="Z301" s="14"/>
      <c r="AA301" s="14"/>
      <c r="AB301" s="14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BA301" s="43" t="s">
        <v>357</v>
      </c>
      <c r="BB301" s="39">
        <v>4.5199999999999996</v>
      </c>
    </row>
    <row r="302" spans="24:54" ht="15.6" x14ac:dyDescent="0.3">
      <c r="X302" s="80"/>
      <c r="Y302" s="14"/>
      <c r="Z302" s="14"/>
      <c r="AA302" s="14"/>
      <c r="AB302" s="14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BA302" s="43" t="s">
        <v>358</v>
      </c>
      <c r="BB302" s="39">
        <v>4.47</v>
      </c>
    </row>
    <row r="303" spans="24:54" ht="15.6" x14ac:dyDescent="0.3">
      <c r="X303" s="80"/>
      <c r="Y303" s="14"/>
      <c r="Z303" s="14"/>
      <c r="AA303" s="14"/>
      <c r="AB303" s="14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BA303" s="43" t="s">
        <v>359</v>
      </c>
      <c r="BB303" s="39">
        <v>4.41</v>
      </c>
    </row>
    <row r="304" spans="24:54" ht="15.6" x14ac:dyDescent="0.3">
      <c r="X304" s="80"/>
      <c r="Y304" s="14"/>
      <c r="Z304" s="14"/>
      <c r="AA304" s="14"/>
      <c r="AB304" s="14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BA304" s="43" t="s">
        <v>360</v>
      </c>
      <c r="BB304" s="39">
        <v>4.72</v>
      </c>
    </row>
    <row r="305" spans="24:54" ht="15.6" x14ac:dyDescent="0.3">
      <c r="X305" s="80"/>
      <c r="Y305" s="14"/>
      <c r="Z305" s="14"/>
      <c r="AA305" s="14"/>
      <c r="AB305" s="14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BA305" s="43" t="s">
        <v>361</v>
      </c>
      <c r="BB305" s="39">
        <v>4.92</v>
      </c>
    </row>
    <row r="306" spans="24:54" ht="15.6" x14ac:dyDescent="0.3">
      <c r="X306" s="80"/>
      <c r="Y306" s="14"/>
      <c r="Z306" s="14"/>
      <c r="AA306" s="14"/>
      <c r="AB306" s="14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BA306" s="43" t="s">
        <v>362</v>
      </c>
      <c r="BB306" s="39">
        <v>5.24</v>
      </c>
    </row>
    <row r="307" spans="24:54" ht="15.6" x14ac:dyDescent="0.3">
      <c r="X307" s="80"/>
      <c r="Y307" s="14"/>
      <c r="Z307" s="14"/>
      <c r="AA307" s="14"/>
      <c r="AB307" s="14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BA307" s="43" t="s">
        <v>363</v>
      </c>
      <c r="BB307" s="39">
        <v>5.74</v>
      </c>
    </row>
    <row r="308" spans="24:54" ht="15.6" x14ac:dyDescent="0.3">
      <c r="X308" s="80"/>
      <c r="Y308" s="14"/>
      <c r="Z308" s="14"/>
      <c r="AA308" s="14"/>
      <c r="AB308" s="14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BA308" s="43" t="s">
        <v>364</v>
      </c>
      <c r="BB308" s="39">
        <v>6.25</v>
      </c>
    </row>
    <row r="309" spans="24:54" ht="15.6" x14ac:dyDescent="0.3">
      <c r="X309" s="80"/>
      <c r="Y309" s="23"/>
      <c r="Z309" s="14"/>
      <c r="AA309" s="14"/>
      <c r="AB309" s="14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BA309" s="43" t="s">
        <v>365</v>
      </c>
      <c r="BB309" s="39">
        <v>6.35</v>
      </c>
    </row>
    <row r="310" spans="24:54" ht="15.6" x14ac:dyDescent="0.3">
      <c r="X310" s="80"/>
      <c r="Y310" s="14"/>
      <c r="Z310" s="14"/>
      <c r="AA310" s="14"/>
      <c r="AB310" s="14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BA310" s="43" t="s">
        <v>366</v>
      </c>
      <c r="BB310" s="39">
        <v>6.65</v>
      </c>
    </row>
    <row r="311" spans="24:54" ht="15.6" x14ac:dyDescent="0.3">
      <c r="X311" s="80"/>
      <c r="Y311" s="14"/>
      <c r="Z311" s="14"/>
      <c r="AA311" s="14"/>
      <c r="AB311" s="14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BA311" s="43" t="s">
        <v>367</v>
      </c>
      <c r="BB311" s="39">
        <v>6.83</v>
      </c>
    </row>
    <row r="312" spans="24:54" ht="15.6" x14ac:dyDescent="0.3">
      <c r="X312" s="80"/>
      <c r="Y312" s="14"/>
      <c r="Z312" s="14"/>
      <c r="AA312" s="14"/>
      <c r="AB312" s="14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BA312" s="43" t="s">
        <v>368</v>
      </c>
      <c r="BB312" s="39">
        <v>6.91</v>
      </c>
    </row>
    <row r="313" spans="24:54" ht="15.6" x14ac:dyDescent="0.3">
      <c r="X313" s="80"/>
      <c r="Y313" s="14"/>
      <c r="Z313" s="14"/>
      <c r="AA313" s="14"/>
      <c r="AB313" s="14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BA313" s="43" t="s">
        <v>369</v>
      </c>
      <c r="BB313" s="39">
        <v>7.26</v>
      </c>
    </row>
    <row r="314" spans="24:54" ht="15.6" x14ac:dyDescent="0.3">
      <c r="X314" s="80"/>
      <c r="Y314" s="23"/>
      <c r="Z314" s="14"/>
      <c r="AA314" s="14"/>
      <c r="AB314" s="14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BA314" s="43" t="s">
        <v>370</v>
      </c>
      <c r="BB314" s="39">
        <v>7.19</v>
      </c>
    </row>
    <row r="315" spans="24:54" ht="15.6" x14ac:dyDescent="0.3">
      <c r="X315" s="80"/>
      <c r="Y315" s="14"/>
      <c r="Z315" s="14"/>
      <c r="AA315" s="14"/>
      <c r="AB315" s="14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BA315" s="43" t="s">
        <v>371</v>
      </c>
      <c r="BB315" s="39">
        <v>7.18</v>
      </c>
    </row>
    <row r="316" spans="24:54" ht="15.6" x14ac:dyDescent="0.3">
      <c r="X316" s="80"/>
      <c r="Y316" s="14"/>
      <c r="Z316" s="14"/>
      <c r="AA316" s="14"/>
      <c r="AB316" s="14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BA316" s="43" t="s">
        <v>372</v>
      </c>
      <c r="BB316" s="39">
        <v>7.09</v>
      </c>
    </row>
    <row r="317" spans="24:54" ht="15.6" x14ac:dyDescent="0.3">
      <c r="X317" s="80"/>
      <c r="Y317" s="14"/>
      <c r="Z317" s="14"/>
      <c r="AA317" s="14"/>
      <c r="AB317" s="14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BA317" s="43" t="s">
        <v>373</v>
      </c>
      <c r="BB317" s="39">
        <v>7.01</v>
      </c>
    </row>
    <row r="318" spans="24:54" ht="15.6" x14ac:dyDescent="0.3">
      <c r="X318" s="80"/>
      <c r="Y318" s="14"/>
      <c r="Z318" s="14"/>
      <c r="AA318" s="14"/>
      <c r="AB318" s="14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BA318" s="43" t="s">
        <v>374</v>
      </c>
      <c r="BB318" s="39">
        <v>6.92</v>
      </c>
    </row>
    <row r="319" spans="24:54" ht="15.6" x14ac:dyDescent="0.3">
      <c r="X319" s="80"/>
      <c r="Y319" s="14"/>
      <c r="Z319" s="14"/>
      <c r="AA319" s="14"/>
      <c r="AB319" s="14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BA319" s="43" t="s">
        <v>375</v>
      </c>
      <c r="BB319" s="39">
        <v>6.94</v>
      </c>
    </row>
    <row r="320" spans="24:54" ht="15.6" x14ac:dyDescent="0.3">
      <c r="X320" s="80"/>
      <c r="Y320" s="14"/>
      <c r="Z320" s="14"/>
      <c r="AA320" s="14"/>
      <c r="AB320" s="14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BA320" s="43" t="s">
        <v>376</v>
      </c>
      <c r="BB320" s="39">
        <v>6.78</v>
      </c>
    </row>
    <row r="321" spans="24:54" ht="15.6" x14ac:dyDescent="0.3">
      <c r="X321" s="80"/>
      <c r="Y321" s="23"/>
      <c r="Z321" s="14"/>
      <c r="AA321" s="14"/>
      <c r="AB321" s="14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BA321" s="43" t="s">
        <v>377</v>
      </c>
      <c r="BB321" s="39">
        <v>6.65</v>
      </c>
    </row>
    <row r="322" spans="24:54" ht="15.6" x14ac:dyDescent="0.3">
      <c r="X322" s="80"/>
      <c r="Y322" s="14"/>
      <c r="Z322" s="14"/>
      <c r="AA322" s="14"/>
      <c r="AB322" s="14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BA322" s="43" t="s">
        <v>378</v>
      </c>
      <c r="BB322" s="39">
        <v>6.53</v>
      </c>
    </row>
    <row r="323" spans="24:54" ht="15.6" x14ac:dyDescent="0.3">
      <c r="X323" s="80"/>
      <c r="Y323" s="14"/>
      <c r="Z323" s="14"/>
      <c r="AA323" s="14"/>
      <c r="AB323" s="14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BA323" s="43" t="s">
        <v>379</v>
      </c>
      <c r="BB323" s="39">
        <v>6.17</v>
      </c>
    </row>
    <row r="324" spans="24:54" ht="15.6" x14ac:dyDescent="0.3">
      <c r="X324" s="80"/>
      <c r="Y324" s="14"/>
      <c r="Z324" s="14"/>
      <c r="AA324" s="14"/>
      <c r="AB324" s="14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BA324" s="43" t="s">
        <v>380</v>
      </c>
      <c r="BB324" s="39">
        <v>5.96</v>
      </c>
    </row>
    <row r="325" spans="24:54" ht="15.6" x14ac:dyDescent="0.3">
      <c r="X325" s="80"/>
      <c r="Y325" s="23"/>
      <c r="Z325" s="14"/>
      <c r="AA325" s="14"/>
      <c r="AB325" s="14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BA325" s="43" t="s">
        <v>381</v>
      </c>
      <c r="BB325" s="39">
        <v>5.65</v>
      </c>
    </row>
    <row r="326" spans="24:54" ht="15.6" x14ac:dyDescent="0.3">
      <c r="X326" s="80"/>
      <c r="Y326" s="14"/>
      <c r="Z326" s="14"/>
      <c r="AA326" s="14"/>
      <c r="AB326" s="14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BA326" s="43" t="s">
        <v>382</v>
      </c>
      <c r="BB326" s="39">
        <v>5.58</v>
      </c>
    </row>
    <row r="327" spans="24:54" ht="15.6" x14ac:dyDescent="0.3">
      <c r="X327" s="80"/>
      <c r="Y327" s="14"/>
      <c r="Z327" s="14"/>
      <c r="AA327" s="14"/>
      <c r="AB327" s="14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BA327" s="43" t="s">
        <v>383</v>
      </c>
      <c r="BB327" s="39">
        <v>5.52</v>
      </c>
    </row>
    <row r="328" spans="24:54" ht="15.6" x14ac:dyDescent="0.3">
      <c r="X328" s="80"/>
      <c r="Y328" s="23"/>
      <c r="Z328" s="14"/>
      <c r="AA328" s="14"/>
      <c r="AB328" s="14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BA328" s="43" t="s">
        <v>384</v>
      </c>
      <c r="BB328" s="39">
        <v>5.46</v>
      </c>
    </row>
    <row r="329" spans="24:54" ht="15.6" x14ac:dyDescent="0.3">
      <c r="X329" s="80"/>
      <c r="Y329" s="14"/>
      <c r="Z329" s="14"/>
      <c r="AA329" s="14"/>
      <c r="AB329" s="14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BA329" s="43" t="s">
        <v>385</v>
      </c>
      <c r="BB329" s="39">
        <v>5.35</v>
      </c>
    </row>
    <row r="330" spans="24:54" ht="15.6" x14ac:dyDescent="0.3">
      <c r="X330" s="80"/>
      <c r="Y330" s="14"/>
      <c r="Z330" s="14"/>
      <c r="AA330" s="14"/>
      <c r="AB330" s="14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BA330" s="43" t="s">
        <v>386</v>
      </c>
      <c r="BB330" s="39">
        <v>5.28</v>
      </c>
    </row>
    <row r="331" spans="24:54" ht="15.6" x14ac:dyDescent="0.3">
      <c r="X331" s="80"/>
      <c r="Y331" s="23"/>
      <c r="Z331" s="14"/>
      <c r="AA331" s="14"/>
      <c r="AB331" s="14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BA331" s="43" t="s">
        <v>387</v>
      </c>
      <c r="BB331" s="39">
        <v>5.21</v>
      </c>
    </row>
    <row r="332" spans="24:54" ht="15.6" x14ac:dyDescent="0.3">
      <c r="X332" s="80"/>
      <c r="Y332" s="14"/>
      <c r="Z332" s="14"/>
      <c r="AA332" s="14"/>
      <c r="AB332" s="14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BA332" s="43" t="s">
        <v>388</v>
      </c>
      <c r="BB332" s="39">
        <v>5.07</v>
      </c>
    </row>
    <row r="333" spans="24:54" ht="15.6" x14ac:dyDescent="0.3">
      <c r="X333" s="80"/>
      <c r="Y333" s="23"/>
      <c r="Z333" s="14"/>
      <c r="AA333" s="14"/>
      <c r="AB333" s="14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BA333" s="43" t="s">
        <v>389</v>
      </c>
      <c r="BB333" s="39">
        <v>5.01</v>
      </c>
    </row>
    <row r="334" spans="24:54" ht="15.6" x14ac:dyDescent="0.3">
      <c r="X334" s="80"/>
      <c r="Y334" s="14"/>
      <c r="Z334" s="14"/>
      <c r="AA334" s="14"/>
      <c r="AB334" s="14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BA334" s="43" t="s">
        <v>390</v>
      </c>
      <c r="BB334" s="39">
        <v>4.9000000000000004</v>
      </c>
    </row>
    <row r="335" spans="24:54" ht="15.6" x14ac:dyDescent="0.3">
      <c r="X335" s="80"/>
      <c r="Y335" s="14"/>
      <c r="Z335" s="14"/>
      <c r="AA335" s="14"/>
      <c r="AB335" s="14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BA335" s="43" t="s">
        <v>391</v>
      </c>
      <c r="BB335" s="39">
        <v>4.7</v>
      </c>
    </row>
    <row r="336" spans="24:54" ht="15.6" x14ac:dyDescent="0.3">
      <c r="X336" s="80"/>
      <c r="Y336" s="14"/>
      <c r="Z336" s="14"/>
      <c r="AA336" s="14"/>
      <c r="AB336" s="14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BA336" s="43" t="s">
        <v>392</v>
      </c>
      <c r="BB336" s="39">
        <v>4.5999999999999996</v>
      </c>
    </row>
    <row r="337" spans="24:54" ht="15.6" x14ac:dyDescent="0.3">
      <c r="X337" s="80"/>
      <c r="Y337" s="23"/>
      <c r="Z337" s="14"/>
      <c r="AA337" s="14"/>
      <c r="AB337" s="14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BA337" s="43" t="s">
        <v>393</v>
      </c>
      <c r="BB337" s="39">
        <v>4.57</v>
      </c>
    </row>
    <row r="338" spans="24:54" ht="15.6" x14ac:dyDescent="0.3">
      <c r="X338" s="80"/>
      <c r="Y338" s="14"/>
      <c r="Z338" s="14"/>
      <c r="AA338" s="14"/>
      <c r="AB338" s="14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BA338" s="43" t="s">
        <v>394</v>
      </c>
      <c r="BB338" s="39">
        <v>4.53</v>
      </c>
    </row>
    <row r="339" spans="24:54" ht="15.6" x14ac:dyDescent="0.3">
      <c r="X339" s="80"/>
      <c r="Y339" s="14"/>
      <c r="Z339" s="14"/>
      <c r="AA339" s="14"/>
      <c r="AB339" s="14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BA339" s="43" t="s">
        <v>395</v>
      </c>
      <c r="BB339" s="39">
        <v>4.53</v>
      </c>
    </row>
    <row r="340" spans="24:54" ht="15.6" x14ac:dyDescent="0.3">
      <c r="X340" s="80"/>
      <c r="Y340" s="14"/>
      <c r="Z340" s="14"/>
      <c r="AA340" s="14"/>
      <c r="AB340" s="14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BA340" s="43" t="s">
        <v>396</v>
      </c>
      <c r="BB340" s="39">
        <v>4.43</v>
      </c>
    </row>
    <row r="341" spans="24:54" ht="15.6" x14ac:dyDescent="0.3">
      <c r="X341" s="80"/>
      <c r="Y341" s="14"/>
      <c r="Z341" s="14"/>
      <c r="AA341" s="14"/>
      <c r="AB341" s="14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BA341" s="43" t="s">
        <v>397</v>
      </c>
      <c r="BB341" s="39">
        <v>4.42</v>
      </c>
    </row>
    <row r="342" spans="24:54" ht="15.6" x14ac:dyDescent="0.3">
      <c r="X342" s="80"/>
      <c r="Y342" s="14"/>
      <c r="Z342" s="14"/>
      <c r="AA342" s="14"/>
      <c r="AB342" s="14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BA342" s="43" t="s">
        <v>398</v>
      </c>
      <c r="BB342" s="39">
        <v>4.54</v>
      </c>
    </row>
    <row r="343" spans="24:54" ht="15.6" x14ac:dyDescent="0.3">
      <c r="X343" s="80"/>
      <c r="Y343" s="14"/>
      <c r="Z343" s="14"/>
      <c r="AA343" s="14"/>
      <c r="AB343" s="14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BA343" s="43" t="s">
        <v>399</v>
      </c>
      <c r="BB343" s="39">
        <v>4.5599999999999996</v>
      </c>
    </row>
    <row r="344" spans="24:54" ht="15.6" x14ac:dyDescent="0.3">
      <c r="X344" s="80"/>
      <c r="Y344" s="14"/>
      <c r="Z344" s="14"/>
      <c r="AA344" s="14"/>
      <c r="AB344" s="14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BA344" s="43" t="s">
        <v>400</v>
      </c>
      <c r="BB344" s="39">
        <v>4.57</v>
      </c>
    </row>
    <row r="345" spans="24:54" ht="15.6" x14ac:dyDescent="0.3">
      <c r="X345" s="80"/>
      <c r="Y345" s="14"/>
      <c r="Z345" s="14"/>
      <c r="AA345" s="14"/>
      <c r="AB345" s="14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BA345" s="43" t="s">
        <v>401</v>
      </c>
      <c r="BB345" s="39">
        <v>4.55</v>
      </c>
    </row>
    <row r="346" spans="24:54" ht="15.6" x14ac:dyDescent="0.3">
      <c r="X346" s="80"/>
      <c r="Y346" s="14"/>
      <c r="Z346" s="14"/>
      <c r="AA346" s="14"/>
      <c r="AB346" s="14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BA346" s="43" t="s">
        <v>402</v>
      </c>
      <c r="BB346" s="39">
        <v>4.54</v>
      </c>
    </row>
    <row r="347" spans="24:54" ht="15.6" x14ac:dyDescent="0.3">
      <c r="X347" s="80"/>
      <c r="Y347" s="14"/>
      <c r="Z347" s="14"/>
      <c r="AA347" s="14"/>
      <c r="AB347" s="14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BA347" s="43" t="s">
        <v>403</v>
      </c>
      <c r="BB347" s="39">
        <v>4.5</v>
      </c>
    </row>
    <row r="348" spans="24:54" ht="15.6" x14ac:dyDescent="0.3">
      <c r="X348" s="80"/>
      <c r="Y348" s="14"/>
      <c r="Z348" s="14"/>
      <c r="AA348" s="14"/>
      <c r="AB348" s="14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BA348" s="43" t="s">
        <v>404</v>
      </c>
      <c r="BB348" s="39">
        <v>4.5199999999999996</v>
      </c>
    </row>
    <row r="349" spans="24:54" ht="15.6" x14ac:dyDescent="0.3">
      <c r="X349" s="80"/>
      <c r="Y349" s="14"/>
      <c r="Z349" s="14"/>
      <c r="AA349" s="14"/>
      <c r="AB349" s="14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BA349" s="43" t="s">
        <v>405</v>
      </c>
      <c r="BB349" s="39">
        <v>4.47</v>
      </c>
    </row>
    <row r="350" spans="24:54" ht="15.6" x14ac:dyDescent="0.3">
      <c r="X350" s="80"/>
      <c r="Y350" s="14"/>
      <c r="Z350" s="14"/>
      <c r="AA350" s="14"/>
      <c r="AB350" s="14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BA350" s="43" t="s">
        <v>406</v>
      </c>
      <c r="BB350" s="39">
        <v>4.43</v>
      </c>
    </row>
    <row r="351" spans="24:54" ht="15.6" x14ac:dyDescent="0.3">
      <c r="X351" s="80"/>
      <c r="Y351" s="14"/>
      <c r="Z351" s="14"/>
      <c r="AA351" s="14"/>
      <c r="AB351" s="14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BA351" s="43" t="s">
        <v>407</v>
      </c>
      <c r="BB351" s="39">
        <v>4.4800000000000004</v>
      </c>
    </row>
    <row r="352" spans="24:54" ht="15.6" x14ac:dyDescent="0.3">
      <c r="X352" s="80"/>
      <c r="Y352" s="14"/>
      <c r="Z352" s="14"/>
      <c r="AA352" s="14"/>
      <c r="AB352" s="14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BA352" s="43" t="s">
        <v>408</v>
      </c>
      <c r="BB352" s="39">
        <v>4.41</v>
      </c>
    </row>
    <row r="353" spans="24:54" ht="15.6" x14ac:dyDescent="0.3">
      <c r="X353" s="80"/>
      <c r="Y353" s="14"/>
      <c r="Z353" s="14"/>
      <c r="AA353" s="14"/>
      <c r="AB353" s="14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BA353" s="43" t="s">
        <v>409</v>
      </c>
      <c r="BB353" s="39">
        <v>4.43</v>
      </c>
    </row>
    <row r="354" spans="24:54" ht="15.6" x14ac:dyDescent="0.3">
      <c r="X354" s="80"/>
      <c r="Y354" s="14"/>
      <c r="Z354" s="14"/>
      <c r="AA354" s="14"/>
      <c r="AB354" s="14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BA354" s="43" t="s">
        <v>410</v>
      </c>
      <c r="BB354" s="39">
        <v>4.5199999999999996</v>
      </c>
    </row>
    <row r="355" spans="24:54" ht="15.6" x14ac:dyDescent="0.3">
      <c r="X355" s="80"/>
      <c r="Y355" s="14"/>
      <c r="Z355" s="14"/>
      <c r="AA355" s="14"/>
      <c r="AB355" s="14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BA355" s="43" t="s">
        <v>411</v>
      </c>
      <c r="BB355" s="39">
        <v>4.54</v>
      </c>
    </row>
    <row r="356" spans="24:54" ht="15.6" x14ac:dyDescent="0.3">
      <c r="X356" s="80"/>
      <c r="Y356" s="14"/>
      <c r="Z356" s="14"/>
      <c r="AA356" s="14"/>
      <c r="AB356" s="14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BA356" s="43" t="s">
        <v>412</v>
      </c>
      <c r="BB356" s="39">
        <v>4.46</v>
      </c>
    </row>
    <row r="357" spans="24:54" ht="15.6" x14ac:dyDescent="0.3">
      <c r="X357" s="80"/>
      <c r="Y357" s="23"/>
      <c r="Z357" s="14"/>
      <c r="AA357" s="14"/>
      <c r="AB357" s="14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BA357" s="43" t="s">
        <v>413</v>
      </c>
      <c r="BB357" s="39">
        <v>4.5</v>
      </c>
    </row>
    <row r="358" spans="24:54" ht="15.6" x14ac:dyDescent="0.3">
      <c r="X358" s="80"/>
      <c r="Y358" s="14"/>
      <c r="Z358" s="14"/>
      <c r="AA358" s="14"/>
      <c r="AB358" s="14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BA358" s="43" t="s">
        <v>414</v>
      </c>
      <c r="BB358" s="39">
        <v>4.55</v>
      </c>
    </row>
    <row r="359" spans="24:54" ht="15.6" x14ac:dyDescent="0.3">
      <c r="X359" s="80"/>
      <c r="Y359" s="23"/>
      <c r="Z359" s="14"/>
      <c r="AA359" s="14"/>
      <c r="AB359" s="14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BA359" s="43" t="s">
        <v>415</v>
      </c>
      <c r="BB359" s="39">
        <v>4.29</v>
      </c>
    </row>
    <row r="360" spans="24:54" ht="15.6" x14ac:dyDescent="0.3">
      <c r="X360" s="80"/>
      <c r="Y360" s="14"/>
      <c r="Z360" s="14"/>
      <c r="AA360" s="14"/>
      <c r="AB360" s="14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BA360" s="43" t="s">
        <v>416</v>
      </c>
      <c r="BB360" s="39">
        <v>3.76</v>
      </c>
    </row>
    <row r="361" spans="24:54" ht="15.6" x14ac:dyDescent="0.3">
      <c r="X361" s="80"/>
      <c r="Y361" s="14"/>
      <c r="Z361" s="14"/>
      <c r="AA361" s="14"/>
      <c r="AB361" s="14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BA361" s="43" t="s">
        <v>417</v>
      </c>
      <c r="BB361" s="39">
        <v>3.34</v>
      </c>
    </row>
    <row r="362" spans="24:54" ht="15.6" x14ac:dyDescent="0.3">
      <c r="X362" s="80"/>
      <c r="Y362" s="14"/>
      <c r="Z362" s="14"/>
      <c r="AA362" s="14"/>
      <c r="AB362" s="14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BA362" s="43" t="s">
        <v>418</v>
      </c>
      <c r="BB362" s="39">
        <v>2.79</v>
      </c>
    </row>
    <row r="363" spans="24:54" ht="15.6" x14ac:dyDescent="0.3">
      <c r="X363" s="80"/>
      <c r="Y363" s="14"/>
      <c r="Z363" s="14"/>
      <c r="AA363" s="14"/>
      <c r="AB363" s="14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BA363" s="43" t="s">
        <v>419</v>
      </c>
      <c r="BB363" s="39">
        <v>2.39</v>
      </c>
    </row>
    <row r="364" spans="24:54" ht="15.6" x14ac:dyDescent="0.3">
      <c r="X364" s="80"/>
      <c r="Y364" s="14"/>
      <c r="Z364" s="14"/>
      <c r="AA364" s="14"/>
      <c r="AB364" s="14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BA364" s="43" t="s">
        <v>420</v>
      </c>
      <c r="BB364" s="39">
        <v>2.0299999999999998</v>
      </c>
    </row>
    <row r="365" spans="24:54" ht="15.6" x14ac:dyDescent="0.3">
      <c r="X365" s="80"/>
      <c r="Y365" s="14"/>
      <c r="Z365" s="14"/>
      <c r="AA365" s="14"/>
      <c r="AB365" s="14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BA365" s="43" t="s">
        <v>421</v>
      </c>
      <c r="BB365" s="39">
        <v>1.96</v>
      </c>
    </row>
    <row r="366" spans="24:54" ht="15.6" x14ac:dyDescent="0.3">
      <c r="X366" s="80"/>
      <c r="Y366" s="14"/>
      <c r="Z366" s="14"/>
      <c r="AA366" s="14"/>
      <c r="AB366" s="14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BA366" s="43" t="s">
        <v>422</v>
      </c>
      <c r="BB366" s="39">
        <v>1.93</v>
      </c>
    </row>
    <row r="367" spans="24:54" ht="15.6" x14ac:dyDescent="0.3">
      <c r="X367" s="80"/>
      <c r="Y367" s="23"/>
      <c r="Z367" s="14"/>
      <c r="AA367" s="14"/>
      <c r="AB367" s="14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BA367" s="43" t="s">
        <v>423</v>
      </c>
      <c r="BB367" s="39">
        <v>1.91</v>
      </c>
    </row>
    <row r="368" spans="24:54" ht="15.6" x14ac:dyDescent="0.3">
      <c r="X368" s="80"/>
      <c r="Y368" s="14"/>
      <c r="Z368" s="14"/>
      <c r="AA368" s="14"/>
      <c r="AB368" s="14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BA368" s="43" t="s">
        <v>424</v>
      </c>
      <c r="BB368" s="39">
        <v>1.81</v>
      </c>
    </row>
    <row r="369" spans="24:54" ht="15.6" x14ac:dyDescent="0.3">
      <c r="X369" s="80"/>
      <c r="Y369" s="14"/>
      <c r="Z369" s="14"/>
      <c r="AA369" s="14"/>
      <c r="AB369" s="14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BA369" s="43" t="s">
        <v>425</v>
      </c>
      <c r="BB369" s="39">
        <v>1.77</v>
      </c>
    </row>
    <row r="370" spans="24:54" ht="15.6" x14ac:dyDescent="0.3">
      <c r="X370" s="80"/>
      <c r="Y370" s="14"/>
      <c r="Z370" s="14"/>
      <c r="AA370" s="14"/>
      <c r="AB370" s="14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BA370" s="43" t="s">
        <v>426</v>
      </c>
      <c r="BB370" s="39">
        <v>1.76</v>
      </c>
    </row>
    <row r="371" spans="24:54" ht="15.6" x14ac:dyDescent="0.3">
      <c r="X371" s="80"/>
      <c r="Y371" s="14"/>
      <c r="Z371" s="14"/>
      <c r="AA371" s="14"/>
      <c r="AB371" s="14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BA371" s="43" t="s">
        <v>427</v>
      </c>
      <c r="BB371" s="39">
        <v>1.82</v>
      </c>
    </row>
    <row r="372" spans="24:54" ht="15.6" x14ac:dyDescent="0.3">
      <c r="X372" s="80"/>
      <c r="Y372" s="14"/>
      <c r="Z372" s="14"/>
      <c r="AA372" s="14"/>
      <c r="AB372" s="14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BA372" s="43" t="s">
        <v>428</v>
      </c>
      <c r="BB372" s="39">
        <v>1.91</v>
      </c>
    </row>
    <row r="373" spans="24:54" ht="15.6" x14ac:dyDescent="0.3">
      <c r="X373" s="80"/>
      <c r="Y373" s="23"/>
      <c r="Z373" s="14"/>
      <c r="AA373" s="14"/>
      <c r="AB373" s="14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BA373" s="43" t="s">
        <v>429</v>
      </c>
      <c r="BB373" s="39">
        <v>1.9</v>
      </c>
    </row>
    <row r="374" spans="24:54" ht="15.6" x14ac:dyDescent="0.3">
      <c r="X374" s="80"/>
      <c r="Y374" s="14"/>
      <c r="Z374" s="14"/>
      <c r="AA374" s="14"/>
      <c r="AB374" s="14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BA374" s="43" t="s">
        <v>430</v>
      </c>
      <c r="BB374" s="39">
        <v>1.99</v>
      </c>
    </row>
    <row r="375" spans="24:54" ht="15.6" x14ac:dyDescent="0.3">
      <c r="X375" s="80"/>
      <c r="Y375" s="14"/>
      <c r="Z375" s="14"/>
      <c r="AA375" s="14"/>
      <c r="AB375" s="14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BA375" s="43" t="s">
        <v>431</v>
      </c>
      <c r="BB375" s="39">
        <v>2.0499999999999998</v>
      </c>
    </row>
    <row r="376" spans="24:54" ht="15.6" x14ac:dyDescent="0.3">
      <c r="X376" s="80"/>
      <c r="Y376" s="14"/>
      <c r="Z376" s="14"/>
      <c r="AA376" s="14"/>
      <c r="AB376" s="14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BA376" s="43" t="s">
        <v>432</v>
      </c>
      <c r="BB376" s="39">
        <v>2.2200000000000002</v>
      </c>
    </row>
    <row r="377" spans="24:54" ht="15.6" x14ac:dyDescent="0.3">
      <c r="X377" s="80"/>
      <c r="Y377" s="14"/>
      <c r="Z377" s="14"/>
      <c r="AA377" s="14"/>
      <c r="AB377" s="14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BA377" s="43" t="s">
        <v>433</v>
      </c>
      <c r="BB377" s="39">
        <v>2.65</v>
      </c>
    </row>
    <row r="378" spans="24:54" ht="15.6" x14ac:dyDescent="0.3">
      <c r="X378" s="80"/>
      <c r="Y378" s="14"/>
      <c r="Z378" s="14"/>
      <c r="AA378" s="14"/>
      <c r="AB378" s="14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BA378" s="43" t="s">
        <v>434</v>
      </c>
      <c r="BB378" s="39">
        <v>3.08</v>
      </c>
    </row>
    <row r="379" spans="24:54" ht="15.6" x14ac:dyDescent="0.3">
      <c r="X379" s="80"/>
      <c r="Y379" s="14"/>
      <c r="Z379" s="14"/>
      <c r="AA379" s="14"/>
      <c r="AB379" s="14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BA379" s="43" t="s">
        <v>435</v>
      </c>
      <c r="BB379" s="39">
        <v>3.47</v>
      </c>
    </row>
    <row r="380" spans="24:54" ht="15.6" x14ac:dyDescent="0.3">
      <c r="X380" s="80"/>
      <c r="Y380" s="14"/>
      <c r="Z380" s="14"/>
      <c r="AA380" s="14"/>
      <c r="AB380" s="14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BA380" s="43" t="s">
        <v>436</v>
      </c>
      <c r="BB380" s="39">
        <v>4.3099999999999996</v>
      </c>
    </row>
    <row r="381" spans="24:54" ht="15.6" x14ac:dyDescent="0.3">
      <c r="X381" s="80"/>
      <c r="Y381" s="14"/>
      <c r="Z381" s="14"/>
      <c r="AA381" s="14"/>
      <c r="AB381" s="14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BA381" s="43" t="s">
        <v>437</v>
      </c>
      <c r="BB381" s="39">
        <v>4.97</v>
      </c>
    </row>
    <row r="382" spans="24:54" ht="15.6" x14ac:dyDescent="0.3">
      <c r="X382" s="80"/>
      <c r="Y382" s="14"/>
      <c r="Z382" s="14"/>
      <c r="AA382" s="14"/>
      <c r="AB382" s="14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BA382" s="43" t="s">
        <v>438</v>
      </c>
      <c r="BB382" s="39">
        <v>5.97</v>
      </c>
    </row>
    <row r="383" spans="24:54" ht="15.6" x14ac:dyDescent="0.3">
      <c r="X383" s="80"/>
      <c r="Y383" s="14"/>
      <c r="Z383" s="14"/>
      <c r="AA383" s="14"/>
      <c r="AB383" s="14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BA383" s="43" t="s">
        <v>439</v>
      </c>
      <c r="BB383" s="39">
        <v>7.04</v>
      </c>
    </row>
    <row r="384" spans="24:54" ht="15.6" x14ac:dyDescent="0.3">
      <c r="X384" s="80"/>
      <c r="Y384" s="14"/>
      <c r="Z384" s="14"/>
      <c r="AA384" s="14"/>
      <c r="AB384" s="14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BA384" s="43" t="s">
        <v>440</v>
      </c>
      <c r="BB384" s="39">
        <v>7.72</v>
      </c>
    </row>
    <row r="385" spans="24:54" ht="15.6" x14ac:dyDescent="0.3">
      <c r="X385" s="80"/>
      <c r="Y385" s="14"/>
      <c r="Z385" s="14"/>
      <c r="AA385" s="14"/>
      <c r="AB385" s="14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BA385" s="43" t="s">
        <v>441</v>
      </c>
      <c r="BB385" s="39">
        <v>9.3000000000000007</v>
      </c>
    </row>
    <row r="386" spans="24:54" ht="15.6" x14ac:dyDescent="0.3">
      <c r="X386" s="80"/>
      <c r="Y386" s="14"/>
      <c r="Z386" s="14"/>
      <c r="AA386" s="14"/>
      <c r="AB386" s="14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BA386" s="43" t="s">
        <v>442</v>
      </c>
      <c r="BB386" s="39">
        <v>10.57</v>
      </c>
    </row>
    <row r="387" spans="24:54" ht="15.6" x14ac:dyDescent="0.3">
      <c r="X387" s="80"/>
      <c r="Y387" s="14"/>
      <c r="Z387" s="14"/>
      <c r="AA387" s="14"/>
      <c r="AB387" s="14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BA387" s="43" t="s">
        <v>443</v>
      </c>
      <c r="BB387" s="39">
        <v>10.99</v>
      </c>
    </row>
    <row r="388" spans="24:54" ht="15.6" x14ac:dyDescent="0.3">
      <c r="X388" s="80"/>
      <c r="Y388" s="14"/>
      <c r="Z388" s="14"/>
      <c r="AA388" s="14"/>
      <c r="AB388" s="14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BA388" s="43" t="s">
        <v>444</v>
      </c>
      <c r="BB388" s="39">
        <v>11.6</v>
      </c>
    </row>
    <row r="389" spans="24:54" ht="15.6" x14ac:dyDescent="0.3">
      <c r="X389" s="80"/>
      <c r="Y389" s="23"/>
      <c r="Z389" s="14"/>
      <c r="AA389" s="14"/>
      <c r="AB389" s="14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BA389" s="43" t="s">
        <v>445</v>
      </c>
      <c r="BB389" s="39">
        <v>12.63</v>
      </c>
    </row>
    <row r="390" spans="24:54" ht="15.6" x14ac:dyDescent="0.3">
      <c r="X390" s="80"/>
      <c r="Y390" s="14"/>
      <c r="Z390" s="14"/>
      <c r="AA390" s="14"/>
      <c r="AB390" s="14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BA390" s="43" t="s">
        <v>446</v>
      </c>
      <c r="BB390" s="39">
        <v>13.42</v>
      </c>
    </row>
    <row r="391" spans="24:54" ht="15.6" x14ac:dyDescent="0.3">
      <c r="X391" s="80"/>
      <c r="Y391" s="23"/>
      <c r="Z391" s="14"/>
      <c r="AA391" s="14"/>
      <c r="AB391" s="14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BA391" s="43" t="s">
        <v>447</v>
      </c>
      <c r="BB391" s="39">
        <v>13.91</v>
      </c>
    </row>
    <row r="392" spans="24:54" ht="15.6" x14ac:dyDescent="0.3">
      <c r="X392" s="80"/>
      <c r="Y392" s="45"/>
      <c r="Z392" s="44"/>
      <c r="AA392" s="44"/>
      <c r="AB392" s="44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BA392" s="43">
        <v>44985</v>
      </c>
      <c r="BB392" s="39">
        <v>14.39</v>
      </c>
    </row>
    <row r="393" spans="24:54" ht="15.6" x14ac:dyDescent="0.3">
      <c r="X393" s="80"/>
      <c r="Y393" s="45"/>
      <c r="Z393" s="44"/>
      <c r="AA393" s="44"/>
      <c r="AB393" s="44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BA393" s="43">
        <v>45016</v>
      </c>
      <c r="BB393" s="39">
        <v>13.31</v>
      </c>
    </row>
    <row r="394" spans="24:54" ht="15.6" x14ac:dyDescent="0.3">
      <c r="X394" s="80"/>
      <c r="Y394" s="23"/>
      <c r="Z394" s="14"/>
      <c r="AA394" s="14"/>
      <c r="AB394" s="14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BA394" s="43" t="s">
        <v>448</v>
      </c>
      <c r="BB394" s="39">
        <v>12.53</v>
      </c>
    </row>
    <row r="395" spans="24:54" ht="15.6" x14ac:dyDescent="0.3">
      <c r="X395" s="80"/>
      <c r="Y395" s="14"/>
      <c r="Z395" s="14"/>
      <c r="AA395" s="14"/>
      <c r="AB395" s="14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BA395" s="43" t="s">
        <v>449</v>
      </c>
      <c r="BB395" s="39">
        <v>12.57</v>
      </c>
    </row>
    <row r="396" spans="24:54" ht="15.6" x14ac:dyDescent="0.3">
      <c r="X396" s="80"/>
      <c r="Y396" s="23"/>
      <c r="Z396" s="14"/>
      <c r="AA396" s="14"/>
      <c r="AB396" s="14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BA396" s="43" t="s">
        <v>450</v>
      </c>
      <c r="BB396" s="39">
        <v>13.02</v>
      </c>
    </row>
    <row r="397" spans="24:54" ht="15.6" x14ac:dyDescent="0.3">
      <c r="X397" s="80"/>
      <c r="Y397" s="14"/>
      <c r="Z397" s="14"/>
      <c r="AA397" s="14"/>
      <c r="AB397" s="14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BA397" s="43" t="s">
        <v>451</v>
      </c>
      <c r="BB397" s="39">
        <v>13.58</v>
      </c>
    </row>
    <row r="398" spans="24:54" ht="15.6" x14ac:dyDescent="0.3">
      <c r="X398" s="80"/>
      <c r="Y398" s="14"/>
      <c r="Z398" s="14"/>
      <c r="AA398" s="14"/>
      <c r="AB398" s="14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BA398" s="43" t="s">
        <v>452</v>
      </c>
      <c r="BB398" s="39">
        <v>13.71</v>
      </c>
    </row>
    <row r="399" spans="24:54" ht="15.6" x14ac:dyDescent="0.3">
      <c r="X399" s="80"/>
      <c r="Y399" s="14"/>
      <c r="Z399" s="14"/>
      <c r="AA399" s="14"/>
      <c r="AB399" s="14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BA399" s="43" t="s">
        <v>453</v>
      </c>
      <c r="BB399" s="39">
        <v>13.07</v>
      </c>
    </row>
    <row r="400" spans="24:54" ht="15.6" x14ac:dyDescent="0.3">
      <c r="X400" s="80"/>
      <c r="Y400" s="14"/>
      <c r="Z400" s="14"/>
      <c r="AA400" s="14"/>
      <c r="AB400" s="14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BA400" s="43" t="s">
        <v>454</v>
      </c>
      <c r="BB400" s="39">
        <v>13.09</v>
      </c>
    </row>
    <row r="401" spans="1:54" ht="15.6" x14ac:dyDescent="0.3">
      <c r="A401" s="158" t="s">
        <v>1787</v>
      </c>
      <c r="I401" s="133"/>
      <c r="J401" s="134"/>
      <c r="X401" s="80"/>
      <c r="Y401" s="14"/>
      <c r="Z401" s="14"/>
      <c r="AA401" s="14"/>
      <c r="AB401" s="14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BA401" s="43" t="s">
        <v>455</v>
      </c>
      <c r="BB401" s="39">
        <v>12.76</v>
      </c>
    </row>
    <row r="402" spans="1:54" ht="15.6" x14ac:dyDescent="0.3">
      <c r="A402" s="158" t="s">
        <v>1787</v>
      </c>
      <c r="X402" s="80"/>
      <c r="Y402" s="23"/>
      <c r="Z402" s="14"/>
      <c r="AA402" s="14"/>
      <c r="AB402" s="14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BA402" s="43" t="s">
        <v>456</v>
      </c>
      <c r="BB402" s="39">
        <v>12.63</v>
      </c>
    </row>
    <row r="403" spans="1:54" ht="15.6" x14ac:dyDescent="0.3">
      <c r="A403" s="158" t="s">
        <v>1787</v>
      </c>
      <c r="X403" s="80"/>
      <c r="Y403" s="14"/>
      <c r="Z403" s="14"/>
      <c r="AA403" s="14"/>
      <c r="AB403" s="14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BA403" s="43" t="s">
        <v>457</v>
      </c>
      <c r="BB403" s="39">
        <v>11.62</v>
      </c>
    </row>
    <row r="404" spans="1:54" ht="15.6" x14ac:dyDescent="0.3">
      <c r="A404" s="158" t="s">
        <v>1787</v>
      </c>
      <c r="X404" s="80"/>
      <c r="Y404" s="14"/>
      <c r="Z404" s="14"/>
      <c r="AA404" s="14"/>
      <c r="AB404" s="14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BA404" s="43" t="s">
        <v>458</v>
      </c>
      <c r="BB404" s="39">
        <v>11.07</v>
      </c>
    </row>
    <row r="405" spans="1:54" ht="15.6" x14ac:dyDescent="0.3">
      <c r="A405" s="158" t="s">
        <v>1787</v>
      </c>
      <c r="X405" s="80"/>
      <c r="Y405" s="44"/>
      <c r="Z405" s="44"/>
      <c r="AA405" s="44"/>
      <c r="AB405" s="44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BA405" s="43">
        <v>45382</v>
      </c>
      <c r="BB405" s="39">
        <v>10.85</v>
      </c>
    </row>
    <row r="406" spans="1:54" ht="15.6" x14ac:dyDescent="0.3">
      <c r="A406" s="158" t="s">
        <v>1787</v>
      </c>
      <c r="X406" s="80"/>
      <c r="Y406" s="14"/>
      <c r="Z406" s="14"/>
      <c r="AA406" s="14"/>
      <c r="AB406" s="14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BA406" s="43" t="s">
        <v>459</v>
      </c>
      <c r="BB406" s="39">
        <v>10.56</v>
      </c>
    </row>
    <row r="407" spans="1:54" ht="15.6" x14ac:dyDescent="0.3">
      <c r="A407" s="158" t="s">
        <v>1787</v>
      </c>
      <c r="X407" s="80"/>
      <c r="Y407" s="14"/>
      <c r="Z407" s="14"/>
      <c r="AA407" s="14"/>
      <c r="AB407" s="14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BA407" s="43" t="s">
        <v>460</v>
      </c>
      <c r="BB407" s="39">
        <v>10.24</v>
      </c>
    </row>
    <row r="408" spans="1:54" ht="15.6" x14ac:dyDescent="0.3">
      <c r="A408" s="158" t="s">
        <v>1787</v>
      </c>
      <c r="X408" s="80"/>
      <c r="Y408" s="14"/>
      <c r="Z408" s="14"/>
      <c r="AA408" s="14"/>
      <c r="AB408" s="14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BA408" s="43" t="s">
        <v>461</v>
      </c>
      <c r="BB408" s="39">
        <v>10.14</v>
      </c>
    </row>
    <row r="409" spans="1:54" ht="15.6" x14ac:dyDescent="0.3">
      <c r="A409" s="158" t="s">
        <v>1787</v>
      </c>
      <c r="X409" s="80"/>
      <c r="Y409" s="14"/>
      <c r="Z409" s="14"/>
      <c r="AA409" s="14"/>
      <c r="AB409" s="14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BA409" s="43" t="s">
        <v>462</v>
      </c>
      <c r="BB409" s="39">
        <v>10.08</v>
      </c>
    </row>
    <row r="410" spans="1:54" ht="15.6" x14ac:dyDescent="0.3">
      <c r="A410" s="158" t="s">
        <v>1787</v>
      </c>
      <c r="X410" s="80"/>
      <c r="Y410" s="14"/>
      <c r="Z410" s="14"/>
      <c r="AA410" s="14"/>
      <c r="AB410" s="14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BA410" s="43" t="s">
        <v>463</v>
      </c>
      <c r="BB410" s="39">
        <v>9.9</v>
      </c>
    </row>
    <row r="411" spans="1:54" ht="15.6" x14ac:dyDescent="0.3">
      <c r="A411" s="158" t="s">
        <v>1787</v>
      </c>
      <c r="X411" s="80"/>
      <c r="Y411" s="14"/>
      <c r="Z411" s="14"/>
      <c r="AA411" s="14"/>
      <c r="AB411" s="14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BA411" s="43" t="s">
        <v>464</v>
      </c>
      <c r="BB411" s="39">
        <v>9.68</v>
      </c>
    </row>
    <row r="412" spans="1:54" ht="15.6" x14ac:dyDescent="0.3">
      <c r="A412" s="158" t="s">
        <v>1787</v>
      </c>
      <c r="X412" s="80"/>
      <c r="Y412" s="14"/>
      <c r="Z412" s="14"/>
      <c r="AA412" s="14"/>
      <c r="AB412" s="14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BA412" s="43" t="s">
        <v>465</v>
      </c>
      <c r="BB412" s="39">
        <v>9.44</v>
      </c>
    </row>
    <row r="413" spans="1:54" ht="15.6" x14ac:dyDescent="0.3">
      <c r="A413" s="158" t="s">
        <v>1787</v>
      </c>
      <c r="X413" s="80"/>
      <c r="Y413" s="23"/>
      <c r="Z413" s="14"/>
      <c r="AA413" s="14"/>
      <c r="AB413" s="14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BA413" s="43" t="s">
        <v>466</v>
      </c>
      <c r="BB413" s="39">
        <v>9.27</v>
      </c>
    </row>
    <row r="414" spans="1:54" ht="15.6" x14ac:dyDescent="0.3">
      <c r="A414" s="158" t="s">
        <v>1787</v>
      </c>
      <c r="X414" s="80"/>
      <c r="Y414" s="14"/>
      <c r="Z414" s="14"/>
      <c r="AA414" s="14"/>
      <c r="AB414" s="14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BA414" s="43" t="s">
        <v>1648</v>
      </c>
      <c r="BB414" s="39">
        <v>9.25</v>
      </c>
    </row>
    <row r="415" spans="1:54" ht="15.6" x14ac:dyDescent="0.3">
      <c r="A415" s="158" t="s">
        <v>1787</v>
      </c>
      <c r="X415" s="80"/>
      <c r="Y415" s="14"/>
      <c r="Z415" s="14"/>
      <c r="AA415" s="14"/>
      <c r="AB415" s="14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BA415" s="43" t="s">
        <v>1647</v>
      </c>
      <c r="BB415" s="39">
        <v>9.2200000000000006</v>
      </c>
    </row>
    <row r="416" spans="1:54" ht="15.6" x14ac:dyDescent="0.3">
      <c r="A416" s="158" t="s">
        <v>1787</v>
      </c>
      <c r="X416" s="80"/>
      <c r="Y416" s="14"/>
      <c r="Z416" s="14"/>
      <c r="AA416" s="14"/>
      <c r="AB416" s="14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BA416" s="43" t="s">
        <v>1646</v>
      </c>
      <c r="BB416" s="39">
        <v>9.27</v>
      </c>
    </row>
    <row r="417" spans="1:54" ht="15.6" x14ac:dyDescent="0.3">
      <c r="A417" s="158" t="s">
        <v>1787</v>
      </c>
      <c r="X417" s="80"/>
      <c r="Y417" s="14"/>
      <c r="Z417" s="14"/>
      <c r="AA417" s="14"/>
      <c r="AB417" s="14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BA417" s="43" t="s">
        <v>1776</v>
      </c>
      <c r="BB417" s="39">
        <v>9.16</v>
      </c>
    </row>
    <row r="418" spans="1:54" ht="15.6" x14ac:dyDescent="0.3">
      <c r="A418" s="158" t="s">
        <v>1787</v>
      </c>
      <c r="X418" s="80"/>
      <c r="Y418" s="14"/>
      <c r="Z418" s="14"/>
      <c r="AA418" s="14"/>
      <c r="AB418" s="14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BA418" s="43" t="s">
        <v>1777</v>
      </c>
      <c r="BB418" s="39">
        <v>8.6199999999999992</v>
      </c>
    </row>
    <row r="419" spans="1:54" ht="15.6" x14ac:dyDescent="0.3">
      <c r="A419" s="158" t="s">
        <v>1787</v>
      </c>
      <c r="X419" s="80"/>
      <c r="Y419" s="14"/>
      <c r="Z419" s="14"/>
      <c r="AA419" s="14"/>
      <c r="AB419" s="14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BA419" s="43" t="s">
        <v>1778</v>
      </c>
      <c r="BB419" s="39">
        <v>9.15</v>
      </c>
    </row>
    <row r="420" spans="1:54" ht="15.6" x14ac:dyDescent="0.3">
      <c r="A420" s="158" t="s">
        <v>1787</v>
      </c>
      <c r="X420" s="80"/>
      <c r="Y420" s="14"/>
      <c r="Z420" s="14"/>
      <c r="AA420" s="14"/>
      <c r="AB420" s="14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BA420" s="43" t="s">
        <v>1786</v>
      </c>
      <c r="BB420" s="39">
        <v>8.9</v>
      </c>
    </row>
    <row r="421" spans="1:54" ht="15.6" x14ac:dyDescent="0.3">
      <c r="A421" s="158" t="s">
        <v>1787</v>
      </c>
      <c r="X421" s="80"/>
      <c r="Y421" s="23"/>
      <c r="Z421" s="14"/>
      <c r="AA421" s="14"/>
      <c r="AB421" s="14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BB421" s="39"/>
    </row>
    <row r="422" spans="1:54" ht="15.6" x14ac:dyDescent="0.3">
      <c r="A422" s="158" t="s">
        <v>1787</v>
      </c>
      <c r="X422" s="80"/>
      <c r="Y422" s="14"/>
      <c r="Z422" s="14"/>
      <c r="AA422" s="14"/>
      <c r="AB422" s="14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BB422" s="39"/>
    </row>
    <row r="423" spans="1:54" ht="15.6" x14ac:dyDescent="0.3">
      <c r="A423" s="158" t="s">
        <v>1787</v>
      </c>
      <c r="X423" s="80"/>
      <c r="Y423" s="14"/>
      <c r="Z423" s="14"/>
      <c r="AA423" s="14"/>
      <c r="AB423" s="14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BB423" s="39"/>
    </row>
    <row r="424" spans="1:54" ht="15.6" x14ac:dyDescent="0.3">
      <c r="A424" s="158" t="s">
        <v>1787</v>
      </c>
      <c r="X424" s="80"/>
      <c r="Y424" s="14"/>
      <c r="Z424" s="14"/>
      <c r="AA424" s="14"/>
      <c r="AB424" s="14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BB424" s="39"/>
    </row>
    <row r="425" spans="1:54" ht="15.6" x14ac:dyDescent="0.3">
      <c r="A425" s="158" t="s">
        <v>1787</v>
      </c>
      <c r="X425" s="80"/>
      <c r="Y425" s="14"/>
      <c r="Z425" s="14"/>
      <c r="AA425" s="14"/>
      <c r="AB425" s="14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BB425" s="39"/>
    </row>
    <row r="426" spans="1:54" ht="15.6" x14ac:dyDescent="0.3">
      <c r="A426" s="158" t="s">
        <v>1787</v>
      </c>
      <c r="X426" s="80"/>
      <c r="Y426" s="23"/>
      <c r="Z426" s="14"/>
      <c r="AA426" s="14"/>
      <c r="AB426" s="14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BB426" s="39"/>
    </row>
    <row r="427" spans="1:54" ht="15.6" x14ac:dyDescent="0.3">
      <c r="A427" s="158" t="s">
        <v>1787</v>
      </c>
      <c r="X427" s="80"/>
      <c r="Y427" s="14"/>
      <c r="Z427" s="14"/>
      <c r="AA427" s="14"/>
      <c r="AB427" s="14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BB427" s="39"/>
    </row>
    <row r="428" spans="1:54" ht="15.6" x14ac:dyDescent="0.3">
      <c r="A428" s="158" t="s">
        <v>1787</v>
      </c>
      <c r="X428" s="80"/>
      <c r="Y428" s="14"/>
      <c r="Z428" s="14"/>
      <c r="AA428" s="14"/>
      <c r="AB428" s="14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BB428" s="39"/>
    </row>
    <row r="429" spans="1:54" ht="15.6" x14ac:dyDescent="0.3">
      <c r="A429" s="158" t="s">
        <v>1787</v>
      </c>
      <c r="X429" s="80"/>
      <c r="Y429" s="14"/>
      <c r="Z429" s="14"/>
      <c r="AA429" s="14"/>
      <c r="AB429" s="14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BB429" s="39"/>
    </row>
    <row r="430" spans="1:54" ht="15.6" x14ac:dyDescent="0.3">
      <c r="A430" s="158" t="s">
        <v>1787</v>
      </c>
      <c r="X430" s="80"/>
      <c r="Y430" s="14"/>
      <c r="Z430" s="14"/>
      <c r="AA430" s="14"/>
      <c r="AB430" s="14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BB430" s="39"/>
    </row>
    <row r="431" spans="1:54" ht="15.6" x14ac:dyDescent="0.3">
      <c r="A431" s="158" t="s">
        <v>1787</v>
      </c>
      <c r="X431" s="80"/>
      <c r="Y431" s="14"/>
      <c r="Z431" s="14"/>
      <c r="AA431" s="14"/>
      <c r="AB431" s="14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BB431" s="39"/>
    </row>
    <row r="432" spans="1:54" ht="15.6" x14ac:dyDescent="0.3">
      <c r="A432" s="158" t="s">
        <v>1787</v>
      </c>
      <c r="X432" s="80"/>
      <c r="Y432" s="14"/>
      <c r="Z432" s="14"/>
      <c r="AA432" s="14"/>
      <c r="AB432" s="14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BB432" s="39"/>
    </row>
    <row r="433" spans="1:54" ht="15.6" x14ac:dyDescent="0.3">
      <c r="A433" s="158" t="s">
        <v>1787</v>
      </c>
      <c r="X433" s="80"/>
      <c r="Y433" s="14"/>
      <c r="Z433" s="14"/>
      <c r="AA433" s="14"/>
      <c r="AB433" s="14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BB433" s="39"/>
    </row>
    <row r="434" spans="1:54" ht="15.6" x14ac:dyDescent="0.3">
      <c r="A434" s="158" t="s">
        <v>1787</v>
      </c>
      <c r="X434" s="80"/>
      <c r="Y434" s="14"/>
      <c r="Z434" s="14"/>
      <c r="AA434" s="14"/>
      <c r="AB434" s="14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BB434" s="39"/>
    </row>
    <row r="435" spans="1:54" ht="15.6" x14ac:dyDescent="0.3">
      <c r="A435" s="158" t="s">
        <v>1787</v>
      </c>
      <c r="X435" s="80"/>
      <c r="Y435" s="14"/>
      <c r="Z435" s="14"/>
      <c r="AA435" s="14"/>
      <c r="AB435" s="14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BB435" s="39"/>
    </row>
    <row r="436" spans="1:54" ht="15.6" x14ac:dyDescent="0.3">
      <c r="A436" s="158" t="s">
        <v>1787</v>
      </c>
      <c r="X436" s="80"/>
      <c r="Y436" s="14"/>
      <c r="Z436" s="14"/>
      <c r="AA436" s="14"/>
      <c r="AB436" s="14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BB436" s="39"/>
    </row>
    <row r="437" spans="1:54" ht="15.6" x14ac:dyDescent="0.3">
      <c r="A437" s="158" t="s">
        <v>1787</v>
      </c>
      <c r="X437" s="80"/>
      <c r="Y437" s="14"/>
      <c r="Z437" s="14"/>
      <c r="AA437" s="14"/>
      <c r="AB437" s="14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BB437" s="39"/>
    </row>
    <row r="438" spans="1:54" ht="15.6" x14ac:dyDescent="0.3">
      <c r="A438" s="158" t="s">
        <v>1787</v>
      </c>
      <c r="X438" s="80"/>
      <c r="Y438" s="14"/>
      <c r="Z438" s="14"/>
      <c r="AA438" s="14"/>
      <c r="AB438" s="14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BB438" s="39"/>
    </row>
    <row r="439" spans="1:54" ht="15.6" x14ac:dyDescent="0.3">
      <c r="A439" s="158" t="s">
        <v>1787</v>
      </c>
      <c r="X439" s="80"/>
      <c r="Y439" s="14"/>
      <c r="Z439" s="14"/>
      <c r="AA439" s="14"/>
      <c r="AB439" s="14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BB439" s="39"/>
    </row>
    <row r="440" spans="1:54" ht="15.6" x14ac:dyDescent="0.3">
      <c r="A440" s="158" t="s">
        <v>1787</v>
      </c>
      <c r="X440" s="80"/>
      <c r="Y440" s="14"/>
      <c r="Z440" s="14"/>
      <c r="AA440" s="14"/>
      <c r="AB440" s="14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BB440" s="39"/>
    </row>
    <row r="441" spans="1:54" ht="15.6" x14ac:dyDescent="0.3">
      <c r="A441" s="158" t="s">
        <v>1787</v>
      </c>
      <c r="X441" s="80"/>
      <c r="Y441" s="14"/>
      <c r="Z441" s="14"/>
      <c r="AA441" s="14"/>
      <c r="AB441" s="14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BB441" s="39"/>
    </row>
    <row r="442" spans="1:54" ht="15.6" x14ac:dyDescent="0.3">
      <c r="A442" s="158" t="s">
        <v>1787</v>
      </c>
      <c r="X442" s="80"/>
      <c r="Y442" s="14"/>
      <c r="Z442" s="14"/>
      <c r="AA442" s="14"/>
      <c r="AB442" s="14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BB442" s="39"/>
    </row>
    <row r="443" spans="1:54" ht="15.6" x14ac:dyDescent="0.3">
      <c r="A443" s="158" t="s">
        <v>1787</v>
      </c>
      <c r="X443" s="80"/>
      <c r="Y443" s="14"/>
      <c r="Z443" s="14"/>
      <c r="AA443" s="14"/>
      <c r="AB443" s="14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BB443" s="39"/>
    </row>
    <row r="444" spans="1:54" ht="15.6" x14ac:dyDescent="0.3">
      <c r="A444" s="158" t="s">
        <v>1787</v>
      </c>
      <c r="X444" s="80"/>
      <c r="Y444" s="14"/>
      <c r="Z444" s="14"/>
      <c r="AA444" s="14"/>
      <c r="AB444" s="14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BB444" s="39"/>
    </row>
    <row r="445" spans="1:54" ht="15.6" x14ac:dyDescent="0.3">
      <c r="A445" s="158" t="s">
        <v>1787</v>
      </c>
      <c r="X445" s="80"/>
      <c r="Y445" s="14"/>
      <c r="Z445" s="14"/>
      <c r="AA445" s="14"/>
      <c r="AB445" s="14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BB445" s="39"/>
    </row>
    <row r="446" spans="1:54" ht="15.6" x14ac:dyDescent="0.3">
      <c r="A446" s="158" t="s">
        <v>1787</v>
      </c>
      <c r="X446" s="80"/>
      <c r="Y446" s="14"/>
      <c r="Z446" s="14"/>
      <c r="AA446" s="14"/>
      <c r="AB446" s="14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BB446" s="39"/>
    </row>
    <row r="447" spans="1:54" ht="15.6" x14ac:dyDescent="0.3">
      <c r="A447" s="158" t="s">
        <v>1787</v>
      </c>
      <c r="X447" s="80"/>
      <c r="Y447" s="14"/>
      <c r="Z447" s="14"/>
      <c r="AA447" s="14"/>
      <c r="AB447" s="14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BB447" s="39"/>
    </row>
    <row r="448" spans="1:54" ht="15.6" x14ac:dyDescent="0.3">
      <c r="A448" s="158" t="s">
        <v>1787</v>
      </c>
      <c r="X448" s="80"/>
      <c r="Y448" s="14"/>
      <c r="Z448" s="14"/>
      <c r="AA448" s="14"/>
      <c r="AB448" s="14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BB448" s="39"/>
    </row>
    <row r="449" spans="1:54" ht="15.6" x14ac:dyDescent="0.3">
      <c r="A449" s="158" t="s">
        <v>1787</v>
      </c>
      <c r="X449" s="80"/>
      <c r="Y449" s="23"/>
      <c r="Z449" s="14"/>
      <c r="AA449" s="14"/>
      <c r="AB449" s="14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BB449" s="39"/>
    </row>
    <row r="450" spans="1:54" ht="15.6" x14ac:dyDescent="0.3">
      <c r="A450" s="158" t="s">
        <v>1787</v>
      </c>
      <c r="X450" s="80"/>
      <c r="Y450" s="14"/>
      <c r="Z450" s="14"/>
      <c r="AA450" s="14"/>
      <c r="AB450" s="14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BB450" s="39"/>
    </row>
    <row r="451" spans="1:54" ht="15.6" x14ac:dyDescent="0.3">
      <c r="A451" s="158" t="s">
        <v>1787</v>
      </c>
      <c r="X451" s="80"/>
      <c r="Y451" s="14"/>
      <c r="Z451" s="14"/>
      <c r="AA451" s="14"/>
      <c r="AB451" s="14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BB451" s="39"/>
    </row>
    <row r="452" spans="1:54" ht="15.6" x14ac:dyDescent="0.3">
      <c r="A452" s="158" t="s">
        <v>1787</v>
      </c>
      <c r="X452" s="80"/>
      <c r="Y452" s="23"/>
      <c r="Z452" s="14"/>
      <c r="AA452" s="14"/>
      <c r="AB452" s="14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BB452" s="39"/>
    </row>
    <row r="453" spans="1:54" ht="15.6" x14ac:dyDescent="0.3">
      <c r="A453" s="158" t="s">
        <v>1787</v>
      </c>
      <c r="X453" s="80"/>
      <c r="Y453" s="23"/>
      <c r="Z453" s="14"/>
      <c r="AA453" s="14"/>
      <c r="AB453" s="14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BB453" s="39"/>
    </row>
    <row r="454" spans="1:54" ht="15.6" x14ac:dyDescent="0.3">
      <c r="A454" s="158" t="s">
        <v>1787</v>
      </c>
      <c r="X454" s="80"/>
      <c r="Y454" s="14"/>
      <c r="Z454" s="14"/>
      <c r="AA454" s="14"/>
      <c r="AB454" s="14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BB454" s="39"/>
    </row>
    <row r="455" spans="1:54" ht="15.6" x14ac:dyDescent="0.3">
      <c r="A455" s="158" t="s">
        <v>1787</v>
      </c>
      <c r="B455" s="69"/>
      <c r="C455" s="69"/>
      <c r="D455" s="69"/>
      <c r="E455" s="70"/>
      <c r="F455" s="67"/>
      <c r="G455" s="71"/>
      <c r="H455" s="119"/>
      <c r="I455" s="133"/>
      <c r="J455" s="134"/>
      <c r="K455" s="127"/>
      <c r="L455" s="74"/>
      <c r="M455" s="75"/>
      <c r="N455" s="76"/>
      <c r="O455" s="76"/>
      <c r="P455" s="83"/>
      <c r="Q455" s="76"/>
      <c r="R455" s="67"/>
      <c r="S455" s="68"/>
      <c r="T455" s="77"/>
      <c r="U455" s="78"/>
      <c r="V455" s="81"/>
      <c r="W455" s="80"/>
      <c r="X455" s="80"/>
      <c r="Y455" s="14"/>
      <c r="Z455" s="14"/>
      <c r="AA455" s="14"/>
      <c r="AB455" s="14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BB455" s="39"/>
    </row>
    <row r="456" spans="1:54" ht="15.6" x14ac:dyDescent="0.3">
      <c r="A456" s="158" t="s">
        <v>1787</v>
      </c>
      <c r="B456" s="69"/>
      <c r="C456" s="69"/>
      <c r="D456" s="69"/>
      <c r="E456" s="70"/>
      <c r="F456" s="67"/>
      <c r="G456" s="71"/>
      <c r="H456" s="119"/>
      <c r="I456" s="133"/>
      <c r="J456" s="134"/>
      <c r="K456" s="125"/>
      <c r="L456" s="74"/>
      <c r="M456" s="75"/>
      <c r="N456" s="76"/>
      <c r="O456" s="76"/>
      <c r="P456" s="83"/>
      <c r="Q456" s="83"/>
      <c r="R456" s="67"/>
      <c r="S456" s="68"/>
      <c r="T456" s="77"/>
      <c r="U456" s="78"/>
      <c r="V456" s="81"/>
      <c r="W456" s="80"/>
      <c r="X456" s="80"/>
      <c r="Y456" s="14"/>
      <c r="Z456" s="14"/>
      <c r="AA456" s="14"/>
      <c r="AB456" s="14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BB456" s="39"/>
    </row>
    <row r="457" spans="1:54" ht="15.6" x14ac:dyDescent="0.3">
      <c r="A457" s="158" t="s">
        <v>1787</v>
      </c>
      <c r="B457" s="69"/>
      <c r="C457" s="69"/>
      <c r="D457" s="69"/>
      <c r="E457" s="70"/>
      <c r="F457" s="67"/>
      <c r="G457" s="71"/>
      <c r="H457" s="119"/>
      <c r="I457" s="135"/>
      <c r="J457" s="134"/>
      <c r="K457" s="125"/>
      <c r="L457" s="74"/>
      <c r="M457" s="75"/>
      <c r="N457" s="76"/>
      <c r="O457" s="76"/>
      <c r="P457" s="83"/>
      <c r="Q457" s="76"/>
      <c r="R457" s="67"/>
      <c r="S457" s="68"/>
      <c r="T457" s="77"/>
      <c r="U457" s="78"/>
      <c r="V457" s="81"/>
      <c r="W457" s="80"/>
      <c r="X457" s="80"/>
      <c r="Y457" s="14"/>
      <c r="Z457" s="14"/>
      <c r="AA457" s="14"/>
      <c r="AB457" s="14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BB457" s="39"/>
    </row>
    <row r="458" spans="1:54" ht="16.2" thickBot="1" x14ac:dyDescent="0.35">
      <c r="A458" s="158" t="s">
        <v>1787</v>
      </c>
      <c r="B458" s="147"/>
      <c r="C458" s="69"/>
      <c r="D458" s="69"/>
      <c r="E458" s="91"/>
      <c r="F458" s="67"/>
      <c r="G458" s="71"/>
      <c r="H458" s="120"/>
      <c r="I458" s="135"/>
      <c r="J458" s="134"/>
      <c r="K458" s="128"/>
      <c r="L458" s="74"/>
      <c r="M458" s="100"/>
      <c r="N458" s="76"/>
      <c r="O458" s="76"/>
      <c r="P458" s="83"/>
      <c r="Q458" s="83"/>
      <c r="R458" s="67"/>
      <c r="S458" s="68"/>
      <c r="T458" s="77"/>
      <c r="U458" s="78"/>
      <c r="V458" s="81"/>
      <c r="W458" s="80"/>
      <c r="X458" s="80"/>
      <c r="Y458" s="14"/>
      <c r="Z458" s="14"/>
      <c r="AA458" s="14"/>
      <c r="AB458" s="14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BB458" s="39"/>
    </row>
    <row r="459" spans="1:54" ht="16.2" thickBot="1" x14ac:dyDescent="0.35">
      <c r="A459" s="158" t="s">
        <v>1787</v>
      </c>
      <c r="B459" s="148"/>
      <c r="C459" s="69"/>
      <c r="D459" s="69"/>
      <c r="E459" s="95"/>
      <c r="F459" s="67"/>
      <c r="G459" s="71"/>
      <c r="H459" s="121"/>
      <c r="I459" s="133"/>
      <c r="J459" s="134"/>
      <c r="K459" s="132"/>
      <c r="L459" s="74"/>
      <c r="M459" s="96"/>
      <c r="N459" s="76"/>
      <c r="O459" s="76"/>
      <c r="P459" s="83"/>
      <c r="Q459" s="83"/>
      <c r="R459" s="67"/>
      <c r="S459" s="68"/>
      <c r="T459" s="77"/>
      <c r="U459" s="78"/>
      <c r="V459" s="81"/>
      <c r="W459" s="80"/>
      <c r="X459" s="80"/>
      <c r="Y459" s="23"/>
      <c r="Z459" s="14"/>
      <c r="AA459" s="14"/>
      <c r="AB459" s="14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BB459" s="39"/>
    </row>
    <row r="460" spans="1:54" ht="15.6" x14ac:dyDescent="0.3">
      <c r="A460" s="158" t="s">
        <v>1787</v>
      </c>
      <c r="B460" s="69"/>
      <c r="C460" s="69"/>
      <c r="D460" s="69"/>
      <c r="E460" s="70"/>
      <c r="F460" s="67"/>
      <c r="G460" s="71"/>
      <c r="H460" s="119"/>
      <c r="I460" s="133"/>
      <c r="J460" s="134"/>
      <c r="K460" s="127"/>
      <c r="L460" s="74"/>
      <c r="M460" s="75"/>
      <c r="N460" s="76"/>
      <c r="O460" s="76"/>
      <c r="P460" s="76"/>
      <c r="Q460" s="76"/>
      <c r="R460" s="67"/>
      <c r="S460" s="68"/>
      <c r="T460" s="77"/>
      <c r="U460" s="78"/>
      <c r="V460" s="81"/>
      <c r="W460" s="80"/>
      <c r="X460" s="80"/>
      <c r="Y460" s="14"/>
      <c r="Z460" s="14"/>
      <c r="AA460" s="14"/>
      <c r="AB460" s="14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BB460" s="39"/>
    </row>
    <row r="461" spans="1:54" ht="15.6" x14ac:dyDescent="0.3">
      <c r="A461" s="158" t="s">
        <v>1787</v>
      </c>
      <c r="B461" s="69"/>
      <c r="C461" s="69"/>
      <c r="D461" s="69"/>
      <c r="E461" s="70"/>
      <c r="F461" s="67"/>
      <c r="G461" s="71"/>
      <c r="H461" s="119"/>
      <c r="I461" s="133"/>
      <c r="J461" s="134"/>
      <c r="K461" s="125"/>
      <c r="L461" s="74"/>
      <c r="M461" s="75"/>
      <c r="N461" s="76"/>
      <c r="O461" s="76"/>
      <c r="P461" s="76"/>
      <c r="Q461" s="76"/>
      <c r="R461" s="67"/>
      <c r="S461" s="68"/>
      <c r="T461" s="77"/>
      <c r="U461" s="78"/>
      <c r="V461" s="81"/>
      <c r="W461" s="80"/>
      <c r="X461" s="80"/>
      <c r="Y461" s="14"/>
      <c r="Z461" s="14"/>
      <c r="AA461" s="14"/>
      <c r="AB461" s="14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BB461" s="39"/>
    </row>
    <row r="462" spans="1:54" ht="16.2" thickBot="1" x14ac:dyDescent="0.35">
      <c r="A462" s="158" t="s">
        <v>1787</v>
      </c>
      <c r="B462" s="147"/>
      <c r="C462" s="69"/>
      <c r="D462" s="69"/>
      <c r="E462" s="91"/>
      <c r="F462" s="67"/>
      <c r="G462" s="71"/>
      <c r="H462" s="120"/>
      <c r="I462" s="135"/>
      <c r="J462" s="134"/>
      <c r="K462" s="125"/>
      <c r="L462" s="74"/>
      <c r="M462" s="100"/>
      <c r="N462" s="76"/>
      <c r="O462" s="76"/>
      <c r="P462" s="76"/>
      <c r="Q462" s="76"/>
      <c r="R462" s="67"/>
      <c r="S462" s="68"/>
      <c r="T462" s="77"/>
      <c r="U462" s="78"/>
      <c r="V462" s="81"/>
      <c r="W462" s="80"/>
      <c r="X462" s="80"/>
      <c r="Y462" s="14"/>
      <c r="Z462" s="14"/>
      <c r="AA462" s="14"/>
      <c r="AB462" s="14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BB462" s="39"/>
    </row>
    <row r="463" spans="1:54" ht="16.2" thickBot="1" x14ac:dyDescent="0.35">
      <c r="A463" s="158" t="s">
        <v>1787</v>
      </c>
      <c r="B463" s="150"/>
      <c r="C463" s="69"/>
      <c r="D463" s="69"/>
      <c r="E463" s="116"/>
      <c r="F463" s="67"/>
      <c r="G463" s="71"/>
      <c r="H463" s="122"/>
      <c r="I463" s="133"/>
      <c r="J463" s="134"/>
      <c r="K463" s="125"/>
      <c r="L463" s="74"/>
      <c r="M463" s="117"/>
      <c r="N463" s="76"/>
      <c r="O463" s="76"/>
      <c r="P463" s="76"/>
      <c r="Q463" s="76"/>
      <c r="R463" s="67"/>
      <c r="S463" s="68"/>
      <c r="T463" s="77"/>
      <c r="U463" s="78"/>
      <c r="V463" s="81"/>
      <c r="W463" s="80"/>
      <c r="X463" s="80"/>
      <c r="Y463" s="14"/>
      <c r="Z463" s="14"/>
      <c r="AA463" s="14"/>
      <c r="AB463" s="14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BB463" s="39"/>
    </row>
    <row r="464" spans="1:54" ht="15.6" x14ac:dyDescent="0.3">
      <c r="A464" s="158" t="s">
        <v>1787</v>
      </c>
      <c r="B464" s="148"/>
      <c r="C464" s="69"/>
      <c r="D464" s="69"/>
      <c r="E464" s="95"/>
      <c r="F464" s="67"/>
      <c r="G464" s="71"/>
      <c r="H464" s="121"/>
      <c r="I464" s="135"/>
      <c r="J464" s="134"/>
      <c r="K464" s="125"/>
      <c r="L464" s="74"/>
      <c r="M464" s="96"/>
      <c r="N464" s="76"/>
      <c r="O464" s="76"/>
      <c r="P464" s="76"/>
      <c r="Q464" s="76"/>
      <c r="R464" s="67"/>
      <c r="S464" s="68"/>
      <c r="T464" s="77"/>
      <c r="U464" s="78"/>
      <c r="V464" s="81"/>
      <c r="W464" s="80"/>
      <c r="X464" s="80"/>
      <c r="Y464" s="14"/>
      <c r="Z464" s="14"/>
      <c r="AA464" s="14"/>
      <c r="AB464" s="14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BB464" s="39"/>
    </row>
    <row r="465" spans="1:54" ht="15.6" x14ac:dyDescent="0.3">
      <c r="A465" s="158" t="s">
        <v>1787</v>
      </c>
      <c r="B465" s="69"/>
      <c r="C465" s="69"/>
      <c r="D465" s="69"/>
      <c r="E465" s="70"/>
      <c r="F465" s="67"/>
      <c r="G465" s="71"/>
      <c r="H465" s="119"/>
      <c r="I465" s="133"/>
      <c r="J465" s="134"/>
      <c r="K465" s="125"/>
      <c r="L465" s="74"/>
      <c r="M465" s="85"/>
      <c r="N465" s="76"/>
      <c r="O465" s="76"/>
      <c r="P465" s="76"/>
      <c r="Q465" s="76"/>
      <c r="R465" s="67"/>
      <c r="S465" s="68"/>
      <c r="T465" s="77"/>
      <c r="U465" s="78"/>
      <c r="V465" s="81"/>
      <c r="W465" s="80"/>
      <c r="X465" s="80"/>
      <c r="Y465" s="14"/>
      <c r="Z465" s="14"/>
      <c r="AA465" s="14"/>
      <c r="AB465" s="14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BB465" s="39"/>
    </row>
    <row r="466" spans="1:54" ht="15.6" x14ac:dyDescent="0.3">
      <c r="A466" s="158" t="s">
        <v>1787</v>
      </c>
      <c r="B466" s="69"/>
      <c r="C466" s="69"/>
      <c r="D466" s="69"/>
      <c r="E466" s="70"/>
      <c r="F466" s="67"/>
      <c r="G466" s="71"/>
      <c r="H466" s="119"/>
      <c r="I466" s="133"/>
      <c r="J466" s="134"/>
      <c r="K466" s="125"/>
      <c r="L466" s="74"/>
      <c r="M466" s="75"/>
      <c r="N466" s="76"/>
      <c r="O466" s="76"/>
      <c r="P466" s="76"/>
      <c r="Q466" s="76"/>
      <c r="R466" s="67"/>
      <c r="S466" s="68"/>
      <c r="T466" s="77"/>
      <c r="U466" s="78"/>
      <c r="V466" s="81"/>
      <c r="W466" s="80"/>
      <c r="X466" s="80"/>
      <c r="Y466" s="14"/>
      <c r="Z466" s="14"/>
      <c r="AA466" s="14"/>
      <c r="AB466" s="14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BB466" s="39"/>
    </row>
    <row r="467" spans="1:54" ht="15.6" x14ac:dyDescent="0.3">
      <c r="A467" s="158" t="s">
        <v>1787</v>
      </c>
      <c r="B467" s="69"/>
      <c r="C467" s="69"/>
      <c r="D467" s="69"/>
      <c r="E467" s="70"/>
      <c r="F467" s="67"/>
      <c r="G467" s="71"/>
      <c r="H467" s="119"/>
      <c r="I467" s="133"/>
      <c r="J467" s="134"/>
      <c r="K467" s="125"/>
      <c r="L467" s="74"/>
      <c r="M467" s="75"/>
      <c r="N467" s="76"/>
      <c r="O467" s="76"/>
      <c r="P467" s="76"/>
      <c r="Q467" s="76"/>
      <c r="R467" s="67"/>
      <c r="S467" s="68"/>
      <c r="T467" s="77"/>
      <c r="U467" s="78"/>
      <c r="V467" s="81"/>
      <c r="W467" s="80"/>
      <c r="X467" s="80"/>
      <c r="Y467" s="14"/>
      <c r="Z467" s="14"/>
      <c r="AA467" s="14"/>
      <c r="AB467" s="14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BB467" s="39"/>
    </row>
    <row r="468" spans="1:54" ht="15.6" x14ac:dyDescent="0.3">
      <c r="A468" s="158" t="s">
        <v>1787</v>
      </c>
      <c r="B468" s="69"/>
      <c r="C468" s="69"/>
      <c r="D468" s="69"/>
      <c r="E468" s="70"/>
      <c r="F468" s="67"/>
      <c r="G468" s="71"/>
      <c r="H468" s="119"/>
      <c r="I468" s="135"/>
      <c r="J468" s="134"/>
      <c r="K468" s="125"/>
      <c r="L468" s="74"/>
      <c r="M468" s="75"/>
      <c r="N468" s="76"/>
      <c r="O468" s="76"/>
      <c r="P468" s="76"/>
      <c r="Q468" s="76"/>
      <c r="R468" s="67"/>
      <c r="S468" s="68"/>
      <c r="T468" s="77"/>
      <c r="U468" s="78"/>
      <c r="V468" s="81"/>
      <c r="W468" s="80"/>
      <c r="X468" s="80"/>
      <c r="Y468" s="14"/>
      <c r="Z468" s="14"/>
      <c r="AA468" s="14"/>
      <c r="AB468" s="14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BB468" s="39"/>
    </row>
    <row r="469" spans="1:54" ht="15.6" x14ac:dyDescent="0.3">
      <c r="A469" s="158" t="s">
        <v>1787</v>
      </c>
      <c r="B469" s="69"/>
      <c r="C469" s="69"/>
      <c r="D469" s="69"/>
      <c r="E469" s="70"/>
      <c r="F469" s="67"/>
      <c r="G469" s="71"/>
      <c r="H469" s="119"/>
      <c r="I469" s="133"/>
      <c r="J469" s="134"/>
      <c r="K469" s="125"/>
      <c r="L469" s="74"/>
      <c r="M469" s="75"/>
      <c r="N469" s="76"/>
      <c r="O469" s="76"/>
      <c r="P469" s="76"/>
      <c r="Q469" s="76"/>
      <c r="R469" s="67"/>
      <c r="S469" s="68"/>
      <c r="T469" s="77"/>
      <c r="U469" s="78"/>
      <c r="V469" s="81"/>
      <c r="W469" s="80"/>
      <c r="X469" s="80"/>
      <c r="Y469" s="14"/>
      <c r="Z469" s="14"/>
      <c r="AA469" s="14"/>
      <c r="AB469" s="14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BB469" s="39"/>
    </row>
    <row r="470" spans="1:54" ht="15.6" x14ac:dyDescent="0.3">
      <c r="A470" s="158" t="s">
        <v>1787</v>
      </c>
      <c r="B470" s="69"/>
      <c r="C470" s="69"/>
      <c r="D470" s="69"/>
      <c r="E470" s="70"/>
      <c r="F470" s="67"/>
      <c r="G470" s="71"/>
      <c r="H470" s="119"/>
      <c r="I470" s="135"/>
      <c r="J470" s="134"/>
      <c r="K470" s="125"/>
      <c r="L470" s="74"/>
      <c r="M470" s="75"/>
      <c r="N470" s="76"/>
      <c r="O470" s="76"/>
      <c r="P470" s="76"/>
      <c r="Q470" s="76"/>
      <c r="R470" s="67"/>
      <c r="S470" s="68"/>
      <c r="T470" s="77"/>
      <c r="U470" s="78"/>
      <c r="V470" s="81"/>
      <c r="W470" s="80"/>
      <c r="X470" s="80"/>
      <c r="Y470" s="14"/>
      <c r="Z470" s="14"/>
      <c r="AA470" s="14"/>
      <c r="AB470" s="14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BB470" s="39"/>
    </row>
    <row r="471" spans="1:54" ht="15.6" x14ac:dyDescent="0.3">
      <c r="A471" s="158" t="s">
        <v>1787</v>
      </c>
      <c r="B471" s="69"/>
      <c r="C471" s="69"/>
      <c r="D471" s="69"/>
      <c r="E471" s="70"/>
      <c r="F471" s="67"/>
      <c r="G471" s="71"/>
      <c r="H471" s="119"/>
      <c r="I471" s="133"/>
      <c r="J471" s="134"/>
      <c r="K471" s="125"/>
      <c r="L471" s="74"/>
      <c r="M471" s="75"/>
      <c r="N471" s="76"/>
      <c r="O471" s="76"/>
      <c r="P471" s="76"/>
      <c r="Q471" s="76"/>
      <c r="R471" s="67"/>
      <c r="S471" s="68"/>
      <c r="T471" s="77"/>
      <c r="U471" s="78"/>
      <c r="V471" s="81"/>
      <c r="W471" s="80"/>
      <c r="X471" s="80"/>
      <c r="Y471" s="14"/>
      <c r="Z471" s="14"/>
      <c r="AA471" s="14"/>
      <c r="AB471" s="14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BB471" s="39"/>
    </row>
    <row r="472" spans="1:54" ht="15.6" x14ac:dyDescent="0.3">
      <c r="A472" s="158" t="s">
        <v>1787</v>
      </c>
      <c r="B472" s="69"/>
      <c r="C472" s="69"/>
      <c r="D472" s="69"/>
      <c r="E472" s="70"/>
      <c r="F472" s="67"/>
      <c r="G472" s="71"/>
      <c r="H472" s="119"/>
      <c r="I472" s="135"/>
      <c r="J472" s="134"/>
      <c r="K472" s="125"/>
      <c r="L472" s="74"/>
      <c r="M472" s="75"/>
      <c r="N472" s="76"/>
      <c r="O472" s="76"/>
      <c r="P472" s="76"/>
      <c r="Q472" s="76"/>
      <c r="R472" s="67"/>
      <c r="S472" s="68"/>
      <c r="T472" s="77"/>
      <c r="U472" s="78"/>
      <c r="V472" s="81"/>
      <c r="W472" s="80"/>
      <c r="X472" s="80"/>
      <c r="Y472" s="14"/>
      <c r="Z472" s="14"/>
      <c r="AA472" s="14"/>
      <c r="AB472" s="14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BB472" s="39"/>
    </row>
    <row r="473" spans="1:54" ht="15.6" x14ac:dyDescent="0.3">
      <c r="A473" s="158" t="s">
        <v>1787</v>
      </c>
      <c r="B473" s="69"/>
      <c r="C473" s="69"/>
      <c r="D473" s="69"/>
      <c r="E473" s="70"/>
      <c r="F473" s="67"/>
      <c r="G473" s="71"/>
      <c r="H473" s="119"/>
      <c r="I473" s="133"/>
      <c r="J473" s="134"/>
      <c r="K473" s="125"/>
      <c r="L473" s="74"/>
      <c r="M473" s="75"/>
      <c r="N473" s="76"/>
      <c r="O473" s="76"/>
      <c r="P473" s="76"/>
      <c r="Q473" s="76"/>
      <c r="R473" s="67"/>
      <c r="S473" s="68"/>
      <c r="T473" s="77"/>
      <c r="U473" s="78"/>
      <c r="V473" s="81"/>
      <c r="W473" s="80"/>
      <c r="X473" s="80"/>
      <c r="Y473" s="14"/>
      <c r="Z473" s="14"/>
      <c r="AA473" s="14"/>
      <c r="AB473" s="14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BB473" s="39"/>
    </row>
    <row r="474" spans="1:54" ht="15.6" x14ac:dyDescent="0.3">
      <c r="A474" s="158" t="s">
        <v>1787</v>
      </c>
      <c r="B474" s="69"/>
      <c r="C474" s="69"/>
      <c r="D474" s="69"/>
      <c r="E474" s="70"/>
      <c r="F474" s="67"/>
      <c r="G474" s="71"/>
      <c r="H474" s="119"/>
      <c r="I474" s="133"/>
      <c r="J474" s="134"/>
      <c r="K474" s="125"/>
      <c r="L474" s="74"/>
      <c r="M474" s="75"/>
      <c r="N474" s="76"/>
      <c r="O474" s="76"/>
      <c r="P474" s="76"/>
      <c r="Q474" s="76"/>
      <c r="R474" s="67"/>
      <c r="S474" s="68"/>
      <c r="T474" s="77"/>
      <c r="U474" s="78"/>
      <c r="V474" s="81"/>
      <c r="W474" s="80"/>
      <c r="X474" s="80"/>
      <c r="Y474" s="14"/>
      <c r="Z474" s="14"/>
      <c r="AA474" s="14"/>
      <c r="AB474" s="14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BB474" s="39"/>
    </row>
    <row r="475" spans="1:54" ht="15.6" x14ac:dyDescent="0.3">
      <c r="A475" s="158" t="s">
        <v>1787</v>
      </c>
      <c r="B475" s="69"/>
      <c r="C475" s="69"/>
      <c r="D475" s="69"/>
      <c r="E475" s="70"/>
      <c r="F475" s="67"/>
      <c r="G475" s="71"/>
      <c r="H475" s="119"/>
      <c r="I475" s="135"/>
      <c r="J475" s="134"/>
      <c r="K475" s="125"/>
      <c r="L475" s="74"/>
      <c r="M475" s="75"/>
      <c r="N475" s="76"/>
      <c r="O475" s="76"/>
      <c r="P475" s="76"/>
      <c r="Q475" s="76"/>
      <c r="R475" s="67"/>
      <c r="S475" s="68"/>
      <c r="T475" s="77"/>
      <c r="U475" s="78"/>
      <c r="V475" s="81"/>
      <c r="W475" s="80"/>
      <c r="X475" s="80"/>
      <c r="Y475" s="14"/>
      <c r="Z475" s="14"/>
      <c r="AA475" s="14"/>
      <c r="AB475" s="14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BB475" s="39"/>
    </row>
    <row r="476" spans="1:54" ht="15.6" x14ac:dyDescent="0.3">
      <c r="A476" s="158" t="s">
        <v>1787</v>
      </c>
      <c r="B476" s="69"/>
      <c r="C476" s="69"/>
      <c r="D476" s="69"/>
      <c r="E476" s="70"/>
      <c r="F476" s="67"/>
      <c r="G476" s="71"/>
      <c r="H476" s="119"/>
      <c r="I476" s="135"/>
      <c r="J476" s="134"/>
      <c r="K476" s="125"/>
      <c r="L476" s="74"/>
      <c r="M476" s="75"/>
      <c r="N476" s="76"/>
      <c r="O476" s="76"/>
      <c r="P476" s="76"/>
      <c r="Q476" s="76"/>
      <c r="R476" s="67"/>
      <c r="S476" s="68"/>
      <c r="T476" s="77"/>
      <c r="U476" s="78"/>
      <c r="V476" s="81"/>
      <c r="W476" s="80"/>
      <c r="X476" s="80"/>
      <c r="Y476" s="14"/>
      <c r="Z476" s="14"/>
      <c r="AA476" s="14"/>
      <c r="AB476" s="14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BB476" s="39"/>
    </row>
    <row r="477" spans="1:54" ht="15.6" x14ac:dyDescent="0.3">
      <c r="A477" s="158" t="s">
        <v>1787</v>
      </c>
      <c r="B477" s="69"/>
      <c r="C477" s="69"/>
      <c r="D477" s="69"/>
      <c r="E477" s="70"/>
      <c r="F477" s="67"/>
      <c r="G477" s="71"/>
      <c r="H477" s="119"/>
      <c r="I477" s="133"/>
      <c r="J477" s="134"/>
      <c r="K477" s="125"/>
      <c r="L477" s="74"/>
      <c r="M477" s="75"/>
      <c r="N477" s="76"/>
      <c r="O477" s="76"/>
      <c r="P477" s="76"/>
      <c r="Q477" s="76"/>
      <c r="R477" s="67"/>
      <c r="S477" s="68"/>
      <c r="T477" s="77"/>
      <c r="U477" s="78"/>
      <c r="V477" s="81"/>
      <c r="W477" s="80"/>
      <c r="X477" s="80"/>
      <c r="Y477" s="14"/>
      <c r="Z477" s="14"/>
      <c r="AA477" s="14"/>
      <c r="AB477" s="14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BB477" s="39"/>
    </row>
    <row r="478" spans="1:54" ht="15.6" x14ac:dyDescent="0.3">
      <c r="A478" s="158" t="s">
        <v>1787</v>
      </c>
      <c r="B478" s="69"/>
      <c r="C478" s="69"/>
      <c r="D478" s="69"/>
      <c r="E478" s="70"/>
      <c r="F478" s="67"/>
      <c r="G478" s="71"/>
      <c r="H478" s="119"/>
      <c r="I478" s="133"/>
      <c r="J478" s="134"/>
      <c r="K478" s="125"/>
      <c r="L478" s="74"/>
      <c r="M478" s="75"/>
      <c r="N478" s="76"/>
      <c r="O478" s="76"/>
      <c r="P478" s="76"/>
      <c r="Q478" s="76"/>
      <c r="R478" s="67"/>
      <c r="S478" s="68"/>
      <c r="T478" s="77"/>
      <c r="U478" s="78"/>
      <c r="V478" s="81"/>
      <c r="W478" s="80"/>
      <c r="X478" s="80"/>
      <c r="Y478" s="14"/>
      <c r="Z478" s="14"/>
      <c r="AA478" s="14"/>
      <c r="AB478" s="14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BB478" s="39"/>
    </row>
    <row r="479" spans="1:54" ht="15.6" x14ac:dyDescent="0.3">
      <c r="A479" s="158" t="s">
        <v>1787</v>
      </c>
      <c r="B479" s="69"/>
      <c r="C479" s="69"/>
      <c r="D479" s="69"/>
      <c r="E479" s="70"/>
      <c r="F479" s="67"/>
      <c r="G479" s="71"/>
      <c r="H479" s="119"/>
      <c r="I479" s="133"/>
      <c r="J479" s="134"/>
      <c r="K479" s="125"/>
      <c r="L479" s="74"/>
      <c r="M479" s="75"/>
      <c r="N479" s="76"/>
      <c r="O479" s="76"/>
      <c r="P479" s="76"/>
      <c r="Q479" s="76"/>
      <c r="R479" s="67"/>
      <c r="S479" s="68"/>
      <c r="T479" s="77"/>
      <c r="U479" s="78"/>
      <c r="V479" s="81"/>
      <c r="W479" s="80"/>
      <c r="X479" s="80"/>
      <c r="Y479" s="14"/>
      <c r="Z479" s="14"/>
      <c r="AA479" s="14"/>
      <c r="AB479" s="14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BB479" s="39"/>
    </row>
    <row r="480" spans="1:54" ht="15.6" x14ac:dyDescent="0.3">
      <c r="A480" s="158" t="s">
        <v>1787</v>
      </c>
      <c r="B480" s="69"/>
      <c r="C480" s="69"/>
      <c r="D480" s="69"/>
      <c r="E480" s="70"/>
      <c r="F480" s="67"/>
      <c r="G480" s="71"/>
      <c r="H480" s="119"/>
      <c r="I480" s="133"/>
      <c r="J480" s="134"/>
      <c r="K480" s="125"/>
      <c r="L480" s="74"/>
      <c r="M480" s="75"/>
      <c r="N480" s="76"/>
      <c r="O480" s="76"/>
      <c r="P480" s="76"/>
      <c r="Q480" s="76"/>
      <c r="R480" s="67"/>
      <c r="S480" s="68"/>
      <c r="T480" s="77"/>
      <c r="U480" s="78"/>
      <c r="V480" s="81"/>
      <c r="W480" s="80"/>
      <c r="X480" s="80"/>
      <c r="Y480" s="14"/>
      <c r="Z480" s="14"/>
      <c r="AA480" s="14"/>
      <c r="AB480" s="14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BB480" s="39"/>
    </row>
    <row r="481" spans="1:54" ht="15.6" x14ac:dyDescent="0.3">
      <c r="A481" s="158" t="s">
        <v>1787</v>
      </c>
      <c r="B481" s="69"/>
      <c r="C481" s="69"/>
      <c r="D481" s="69"/>
      <c r="E481" s="70"/>
      <c r="F481" s="67"/>
      <c r="G481" s="71"/>
      <c r="H481" s="119"/>
      <c r="I481" s="133"/>
      <c r="J481" s="134"/>
      <c r="K481" s="125"/>
      <c r="L481" s="74"/>
      <c r="M481" s="75"/>
      <c r="N481" s="76"/>
      <c r="O481" s="76"/>
      <c r="P481" s="76"/>
      <c r="Q481" s="76"/>
      <c r="R481" s="67"/>
      <c r="S481" s="68"/>
      <c r="T481" s="77"/>
      <c r="U481" s="78"/>
      <c r="V481" s="81"/>
      <c r="W481" s="80"/>
      <c r="X481" s="80"/>
      <c r="Y481" s="14"/>
      <c r="Z481" s="14"/>
      <c r="AA481" s="14"/>
      <c r="AB481" s="14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BB481" s="39"/>
    </row>
    <row r="482" spans="1:54" ht="16.2" thickBot="1" x14ac:dyDescent="0.35">
      <c r="A482" s="158" t="s">
        <v>1787</v>
      </c>
      <c r="B482" s="69"/>
      <c r="C482" s="69"/>
      <c r="D482" s="69"/>
      <c r="E482" s="70"/>
      <c r="F482" s="67"/>
      <c r="G482" s="71"/>
      <c r="H482" s="119"/>
      <c r="I482" s="133"/>
      <c r="J482" s="134"/>
      <c r="K482" s="128"/>
      <c r="L482" s="74"/>
      <c r="M482" s="75"/>
      <c r="N482" s="76"/>
      <c r="O482" s="76"/>
      <c r="P482" s="76"/>
      <c r="Q482" s="76"/>
      <c r="R482" s="67"/>
      <c r="S482" s="68"/>
      <c r="T482" s="77"/>
      <c r="U482" s="78"/>
      <c r="V482" s="81"/>
      <c r="W482" s="80"/>
      <c r="X482" s="80"/>
      <c r="Y482" s="14"/>
      <c r="Z482" s="14"/>
      <c r="AA482" s="14"/>
      <c r="AB482" s="14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BB482" s="39"/>
    </row>
    <row r="483" spans="1:54" ht="15.6" x14ac:dyDescent="0.3">
      <c r="A483" s="158" t="s">
        <v>1787</v>
      </c>
      <c r="B483" s="69"/>
      <c r="C483" s="69"/>
      <c r="D483" s="69"/>
      <c r="E483" s="70"/>
      <c r="F483" s="67"/>
      <c r="G483" s="71"/>
      <c r="H483" s="119"/>
      <c r="I483" s="133"/>
      <c r="J483" s="134"/>
      <c r="K483" s="127"/>
      <c r="L483" s="74"/>
      <c r="M483" s="75"/>
      <c r="N483" s="76"/>
      <c r="O483" s="76"/>
      <c r="P483" s="76"/>
      <c r="Q483" s="76"/>
      <c r="R483" s="67"/>
      <c r="S483" s="68"/>
      <c r="T483" s="77"/>
      <c r="U483" s="78"/>
      <c r="V483" s="81"/>
      <c r="W483" s="80"/>
      <c r="X483" s="80"/>
      <c r="Y483" s="14"/>
      <c r="Z483" s="14"/>
      <c r="AA483" s="14"/>
      <c r="AB483" s="14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BB483" s="39"/>
    </row>
    <row r="484" spans="1:54" ht="15.6" x14ac:dyDescent="0.3">
      <c r="A484" s="158" t="s">
        <v>1787</v>
      </c>
      <c r="B484" s="69"/>
      <c r="C484" s="69"/>
      <c r="D484" s="69"/>
      <c r="E484" s="70"/>
      <c r="F484" s="67"/>
      <c r="G484" s="71"/>
      <c r="H484" s="119"/>
      <c r="I484" s="133"/>
      <c r="J484" s="134"/>
      <c r="K484" s="125"/>
      <c r="L484" s="74"/>
      <c r="M484" s="75"/>
      <c r="N484" s="76"/>
      <c r="O484" s="76"/>
      <c r="P484" s="76"/>
      <c r="Q484" s="76"/>
      <c r="R484" s="67"/>
      <c r="S484" s="68"/>
      <c r="T484" s="77"/>
      <c r="U484" s="78"/>
      <c r="V484" s="81"/>
      <c r="W484" s="80"/>
      <c r="X484" s="80"/>
      <c r="Y484" s="14"/>
      <c r="Z484" s="14"/>
      <c r="AA484" s="14"/>
      <c r="AB484" s="14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BB484" s="39"/>
    </row>
    <row r="485" spans="1:54" ht="15.6" x14ac:dyDescent="0.3">
      <c r="A485" s="158" t="s">
        <v>1787</v>
      </c>
      <c r="B485" s="69"/>
      <c r="C485" s="69"/>
      <c r="D485" s="69"/>
      <c r="E485" s="70"/>
      <c r="F485" s="67"/>
      <c r="G485" s="71"/>
      <c r="H485" s="119"/>
      <c r="I485" s="133"/>
      <c r="J485" s="134"/>
      <c r="K485" s="125"/>
      <c r="L485" s="74"/>
      <c r="M485" s="75"/>
      <c r="N485" s="76"/>
      <c r="O485" s="76"/>
      <c r="P485" s="76"/>
      <c r="Q485" s="76"/>
      <c r="R485" s="67"/>
      <c r="S485" s="68"/>
      <c r="T485" s="77"/>
      <c r="U485" s="78"/>
      <c r="V485" s="81"/>
      <c r="W485" s="80"/>
      <c r="X485" s="80"/>
      <c r="Y485" s="14"/>
      <c r="Z485" s="14"/>
      <c r="AA485" s="14"/>
      <c r="AB485" s="14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BB485" s="39"/>
    </row>
    <row r="486" spans="1:54" ht="16.2" thickBot="1" x14ac:dyDescent="0.35">
      <c r="A486" s="158" t="s">
        <v>1787</v>
      </c>
      <c r="B486" s="147"/>
      <c r="C486" s="69"/>
      <c r="D486" s="69"/>
      <c r="E486" s="91"/>
      <c r="F486" s="67"/>
      <c r="G486" s="71"/>
      <c r="H486" s="120"/>
      <c r="I486" s="135"/>
      <c r="J486" s="134"/>
      <c r="K486" s="125"/>
      <c r="L486" s="74"/>
      <c r="M486" s="100"/>
      <c r="N486" s="76"/>
      <c r="O486" s="76"/>
      <c r="P486" s="83"/>
      <c r="Q486" s="76"/>
      <c r="R486" s="67"/>
      <c r="S486" s="68"/>
      <c r="T486" s="77"/>
      <c r="U486" s="78"/>
      <c r="V486" s="81"/>
      <c r="W486" s="80"/>
      <c r="X486" s="80"/>
      <c r="Y486" s="14"/>
      <c r="Z486" s="14"/>
      <c r="AA486" s="14"/>
      <c r="AB486" s="14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BB486" s="39"/>
    </row>
    <row r="487" spans="1:54" ht="15.6" x14ac:dyDescent="0.3">
      <c r="A487" s="158" t="s">
        <v>1787</v>
      </c>
      <c r="B487" s="148"/>
      <c r="C487" s="69"/>
      <c r="D487" s="69"/>
      <c r="E487" s="95"/>
      <c r="F487" s="67"/>
      <c r="G487" s="71"/>
      <c r="H487" s="121"/>
      <c r="I487" s="135"/>
      <c r="J487" s="134"/>
      <c r="K487" s="125"/>
      <c r="L487" s="74"/>
      <c r="M487" s="96"/>
      <c r="N487" s="76"/>
      <c r="O487" s="76"/>
      <c r="P487" s="83"/>
      <c r="Q487" s="76"/>
      <c r="R487" s="67"/>
      <c r="S487" s="68"/>
      <c r="T487" s="77"/>
      <c r="U487" s="78"/>
      <c r="V487" s="81"/>
      <c r="W487" s="80"/>
      <c r="X487" s="80"/>
      <c r="Y487" s="14"/>
      <c r="Z487" s="14"/>
      <c r="AA487" s="14"/>
      <c r="AB487" s="14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BB487" s="39"/>
    </row>
    <row r="488" spans="1:54" ht="16.2" thickBot="1" x14ac:dyDescent="0.35">
      <c r="A488" s="158" t="s">
        <v>1787</v>
      </c>
      <c r="B488" s="69"/>
      <c r="C488" s="69"/>
      <c r="D488" s="69"/>
      <c r="E488" s="70"/>
      <c r="F488" s="67"/>
      <c r="G488" s="71"/>
      <c r="H488" s="119"/>
      <c r="I488" s="133"/>
      <c r="J488" s="134"/>
      <c r="K488" s="128"/>
      <c r="L488" s="74"/>
      <c r="M488" s="75"/>
      <c r="N488" s="76"/>
      <c r="O488" s="76"/>
      <c r="P488" s="83"/>
      <c r="Q488" s="83"/>
      <c r="R488" s="67"/>
      <c r="S488" s="68"/>
      <c r="T488" s="77"/>
      <c r="U488" s="78"/>
      <c r="V488" s="81"/>
      <c r="W488" s="80"/>
      <c r="X488" s="80"/>
      <c r="Y488" s="14"/>
      <c r="Z488" s="14"/>
      <c r="AA488" s="14"/>
      <c r="AB488" s="14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BB488" s="39"/>
    </row>
    <row r="489" spans="1:54" ht="15.6" x14ac:dyDescent="0.3">
      <c r="A489" s="158" t="s">
        <v>1787</v>
      </c>
      <c r="B489" s="69"/>
      <c r="C489" s="69"/>
      <c r="D489" s="69"/>
      <c r="E489" s="70"/>
      <c r="F489" s="67"/>
      <c r="G489" s="71"/>
      <c r="H489" s="119"/>
      <c r="I489" s="135"/>
      <c r="J489" s="134"/>
      <c r="K489" s="127"/>
      <c r="L489" s="74"/>
      <c r="M489" s="75"/>
      <c r="N489" s="76"/>
      <c r="O489" s="76"/>
      <c r="P489" s="76"/>
      <c r="Q489" s="76"/>
      <c r="R489" s="67"/>
      <c r="S489" s="68"/>
      <c r="T489" s="77"/>
      <c r="U489" s="78"/>
      <c r="V489" s="81"/>
      <c r="W489" s="80"/>
      <c r="X489" s="80"/>
      <c r="Y489" s="14"/>
      <c r="Z489" s="14"/>
      <c r="AA489" s="14"/>
      <c r="AB489" s="14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BB489" s="39"/>
    </row>
    <row r="490" spans="1:54" ht="15.6" x14ac:dyDescent="0.3">
      <c r="A490" s="158" t="s">
        <v>1787</v>
      </c>
      <c r="B490" s="69"/>
      <c r="C490" s="69"/>
      <c r="D490" s="69"/>
      <c r="E490" s="70"/>
      <c r="F490" s="67"/>
      <c r="G490" s="71"/>
      <c r="H490" s="119"/>
      <c r="I490" s="133"/>
      <c r="J490" s="134"/>
      <c r="K490" s="125"/>
      <c r="L490" s="74"/>
      <c r="M490" s="75"/>
      <c r="N490" s="76"/>
      <c r="O490" s="76"/>
      <c r="P490" s="83"/>
      <c r="Q490" s="76"/>
      <c r="R490" s="67"/>
      <c r="S490" s="68"/>
      <c r="T490" s="77"/>
      <c r="U490" s="78"/>
      <c r="V490" s="81"/>
      <c r="W490" s="80"/>
      <c r="X490" s="80"/>
      <c r="Y490" s="23"/>
      <c r="Z490" s="14"/>
      <c r="AA490" s="14"/>
      <c r="AB490" s="14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BB490" s="39"/>
    </row>
    <row r="491" spans="1:54" ht="15.6" x14ac:dyDescent="0.3">
      <c r="A491" s="158" t="s">
        <v>1787</v>
      </c>
      <c r="B491" s="69"/>
      <c r="C491" s="69"/>
      <c r="D491" s="69"/>
      <c r="E491" s="70"/>
      <c r="F491" s="67"/>
      <c r="G491" s="71"/>
      <c r="H491" s="119"/>
      <c r="I491" s="133"/>
      <c r="J491" s="134"/>
      <c r="K491" s="125"/>
      <c r="L491" s="74"/>
      <c r="M491" s="75"/>
      <c r="N491" s="76"/>
      <c r="O491" s="76"/>
      <c r="P491" s="83"/>
      <c r="Q491" s="83"/>
      <c r="R491" s="67"/>
      <c r="S491" s="68"/>
      <c r="T491" s="77"/>
      <c r="U491" s="78"/>
      <c r="V491" s="81"/>
      <c r="W491" s="80"/>
      <c r="X491" s="80"/>
      <c r="Y491" s="14"/>
      <c r="Z491" s="14"/>
      <c r="AA491" s="14"/>
      <c r="AB491" s="14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BB491" s="39"/>
    </row>
    <row r="492" spans="1:54" ht="16.2" thickBot="1" x14ac:dyDescent="0.35">
      <c r="A492" s="158" t="s">
        <v>1787</v>
      </c>
      <c r="B492" s="147"/>
      <c r="C492" s="69"/>
      <c r="D492" s="69"/>
      <c r="E492" s="91"/>
      <c r="F492" s="67"/>
      <c r="G492" s="71"/>
      <c r="H492" s="119"/>
      <c r="I492" s="135"/>
      <c r="J492" s="134"/>
      <c r="K492" s="125"/>
      <c r="L492" s="74"/>
      <c r="M492" s="100"/>
      <c r="N492" s="76"/>
      <c r="O492" s="76"/>
      <c r="P492" s="83"/>
      <c r="Q492" s="76"/>
      <c r="R492" s="67"/>
      <c r="S492" s="68"/>
      <c r="T492" s="77"/>
      <c r="U492" s="78"/>
      <c r="V492" s="81"/>
      <c r="W492" s="80"/>
      <c r="X492" s="80"/>
      <c r="Y492" s="14"/>
      <c r="Z492" s="14"/>
      <c r="AA492" s="14"/>
      <c r="AB492" s="14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BB492" s="39"/>
    </row>
    <row r="493" spans="1:54" ht="15.6" x14ac:dyDescent="0.3">
      <c r="A493" s="158" t="s">
        <v>1787</v>
      </c>
      <c r="B493" s="148"/>
      <c r="C493" s="69"/>
      <c r="D493" s="69"/>
      <c r="E493" s="95"/>
      <c r="F493" s="67"/>
      <c r="G493" s="71"/>
      <c r="H493" s="121"/>
      <c r="I493" s="133"/>
      <c r="J493" s="134"/>
      <c r="K493" s="125"/>
      <c r="L493" s="74"/>
      <c r="M493" s="96"/>
      <c r="N493" s="76"/>
      <c r="O493" s="76"/>
      <c r="P493" s="83"/>
      <c r="Q493" s="76"/>
      <c r="R493" s="67"/>
      <c r="S493" s="68"/>
      <c r="T493" s="77"/>
      <c r="U493" s="78"/>
      <c r="V493" s="81"/>
      <c r="W493" s="80"/>
      <c r="X493" s="80"/>
      <c r="Y493" s="14"/>
      <c r="Z493" s="14"/>
      <c r="AA493" s="14"/>
      <c r="AB493" s="14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BB493" s="39"/>
    </row>
    <row r="494" spans="1:54" ht="15.6" x14ac:dyDescent="0.3">
      <c r="A494" s="158" t="s">
        <v>1787</v>
      </c>
      <c r="B494" s="69"/>
      <c r="C494" s="69"/>
      <c r="D494" s="69"/>
      <c r="E494" s="70"/>
      <c r="F494" s="67"/>
      <c r="G494" s="71"/>
      <c r="H494" s="119"/>
      <c r="I494" s="133"/>
      <c r="J494" s="134"/>
      <c r="K494" s="125"/>
      <c r="L494" s="74"/>
      <c r="M494" s="75"/>
      <c r="N494" s="76"/>
      <c r="O494" s="76"/>
      <c r="P494" s="83"/>
      <c r="Q494" s="76"/>
      <c r="R494" s="67"/>
      <c r="S494" s="68"/>
      <c r="T494" s="77"/>
      <c r="U494" s="78"/>
      <c r="V494" s="81"/>
      <c r="W494" s="80"/>
      <c r="X494" s="80"/>
      <c r="Y494" s="14"/>
      <c r="Z494" s="14"/>
      <c r="AA494" s="14"/>
      <c r="AB494" s="14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BB494" s="39"/>
    </row>
    <row r="495" spans="1:54" ht="15.6" x14ac:dyDescent="0.3">
      <c r="A495" s="158" t="s">
        <v>1787</v>
      </c>
      <c r="B495" s="69"/>
      <c r="C495" s="69"/>
      <c r="D495" s="69"/>
      <c r="E495" s="70"/>
      <c r="F495" s="67"/>
      <c r="G495" s="71"/>
      <c r="H495" s="119"/>
      <c r="I495" s="135"/>
      <c r="J495" s="134"/>
      <c r="K495" s="125"/>
      <c r="L495" s="74"/>
      <c r="M495" s="75"/>
      <c r="N495" s="76"/>
      <c r="O495" s="76"/>
      <c r="P495" s="83"/>
      <c r="Q495" s="76"/>
      <c r="R495" s="67"/>
      <c r="S495" s="68"/>
      <c r="T495" s="77"/>
      <c r="U495" s="78"/>
      <c r="V495" s="63"/>
      <c r="W495" s="80"/>
      <c r="X495" s="80"/>
      <c r="Y495" s="14"/>
      <c r="Z495" s="14"/>
      <c r="AA495" s="14"/>
      <c r="AB495" s="14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BB495" s="39"/>
    </row>
    <row r="496" spans="1:54" ht="15.6" x14ac:dyDescent="0.3">
      <c r="A496" s="158" t="s">
        <v>1787</v>
      </c>
      <c r="B496" s="69"/>
      <c r="C496" s="69"/>
      <c r="D496" s="69"/>
      <c r="E496" s="70"/>
      <c r="F496" s="67"/>
      <c r="G496" s="71"/>
      <c r="H496" s="119"/>
      <c r="I496" s="133"/>
      <c r="J496" s="134"/>
      <c r="K496" s="125"/>
      <c r="L496" s="74"/>
      <c r="M496" s="75"/>
      <c r="N496" s="76"/>
      <c r="O496" s="76"/>
      <c r="P496" s="83"/>
      <c r="Q496" s="76"/>
      <c r="R496" s="67"/>
      <c r="S496" s="68"/>
      <c r="T496" s="77"/>
      <c r="U496" s="78"/>
      <c r="V496" s="81"/>
      <c r="W496" s="80"/>
      <c r="X496" s="80"/>
      <c r="Y496" s="23"/>
      <c r="Z496" s="14"/>
      <c r="AA496" s="14"/>
      <c r="AB496" s="14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BB496" s="39"/>
    </row>
    <row r="497" spans="1:54" ht="15.6" x14ac:dyDescent="0.3">
      <c r="A497" s="158" t="s">
        <v>1787</v>
      </c>
      <c r="B497" s="69"/>
      <c r="C497" s="69"/>
      <c r="D497" s="69"/>
      <c r="E497" s="70"/>
      <c r="F497" s="67"/>
      <c r="G497" s="71"/>
      <c r="H497" s="119"/>
      <c r="I497" s="133"/>
      <c r="J497" s="134"/>
      <c r="K497" s="125"/>
      <c r="L497" s="74"/>
      <c r="M497" s="75"/>
      <c r="N497" s="76"/>
      <c r="O497" s="76"/>
      <c r="P497" s="83"/>
      <c r="Q497" s="76"/>
      <c r="R497" s="67"/>
      <c r="S497" s="68"/>
      <c r="T497" s="77"/>
      <c r="U497" s="78"/>
      <c r="V497" s="81"/>
      <c r="W497" s="80"/>
      <c r="X497" s="80"/>
      <c r="Y497" s="14"/>
      <c r="Z497" s="14"/>
      <c r="AA497" s="14"/>
      <c r="AB497" s="14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BB497" s="39"/>
    </row>
    <row r="498" spans="1:54" ht="15.6" x14ac:dyDescent="0.3">
      <c r="A498" s="158" t="s">
        <v>1787</v>
      </c>
      <c r="B498" s="69"/>
      <c r="C498" s="69"/>
      <c r="D498" s="69"/>
      <c r="E498" s="70"/>
      <c r="F498" s="67"/>
      <c r="G498" s="71"/>
      <c r="H498" s="119"/>
      <c r="I498" s="135"/>
      <c r="J498" s="134"/>
      <c r="K498" s="125"/>
      <c r="L498" s="74"/>
      <c r="M498" s="75"/>
      <c r="N498" s="76"/>
      <c r="O498" s="76"/>
      <c r="P498" s="83"/>
      <c r="Q498" s="76"/>
      <c r="R498" s="67"/>
      <c r="S498" s="68"/>
      <c r="T498" s="77"/>
      <c r="U498" s="78"/>
      <c r="V498" s="81"/>
      <c r="W498" s="80"/>
      <c r="X498" s="80"/>
      <c r="Y498" s="14"/>
      <c r="Z498" s="14"/>
      <c r="AA498" s="14"/>
      <c r="AB498" s="14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BB498" s="39"/>
    </row>
    <row r="499" spans="1:54" ht="16.2" thickBot="1" x14ac:dyDescent="0.35">
      <c r="A499" s="158" t="s">
        <v>1787</v>
      </c>
      <c r="B499" s="69"/>
      <c r="C499" s="69"/>
      <c r="D499" s="69"/>
      <c r="E499" s="70"/>
      <c r="F499" s="67"/>
      <c r="G499" s="71"/>
      <c r="H499" s="119"/>
      <c r="I499" s="135"/>
      <c r="J499" s="134"/>
      <c r="K499" s="128"/>
      <c r="L499" s="74"/>
      <c r="M499" s="75"/>
      <c r="N499" s="76"/>
      <c r="O499" s="76"/>
      <c r="P499" s="83"/>
      <c r="Q499" s="83"/>
      <c r="R499" s="67"/>
      <c r="S499" s="68"/>
      <c r="T499" s="77"/>
      <c r="U499" s="78"/>
      <c r="V499" s="81"/>
      <c r="W499" s="80"/>
      <c r="X499" s="80"/>
      <c r="Y499" s="23"/>
      <c r="Z499" s="14"/>
      <c r="AA499" s="14"/>
      <c r="AB499" s="14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BB499" s="39"/>
    </row>
    <row r="500" spans="1:54" ht="15.6" x14ac:dyDescent="0.3">
      <c r="A500" s="158" t="s">
        <v>1787</v>
      </c>
      <c r="B500" s="69"/>
      <c r="C500" s="69"/>
      <c r="D500" s="69"/>
      <c r="E500" s="70"/>
      <c r="F500" s="67"/>
      <c r="G500" s="71"/>
      <c r="H500" s="119"/>
      <c r="I500" s="133"/>
      <c r="J500" s="134"/>
      <c r="K500" s="127"/>
      <c r="L500" s="74"/>
      <c r="M500" s="75"/>
      <c r="N500" s="76"/>
      <c r="O500" s="76"/>
      <c r="P500" s="83"/>
      <c r="Q500" s="76"/>
      <c r="R500" s="67"/>
      <c r="S500" s="68"/>
      <c r="T500" s="77"/>
      <c r="U500" s="78"/>
      <c r="V500" s="81"/>
      <c r="W500" s="80"/>
      <c r="X500" s="80"/>
      <c r="Y500" s="14"/>
      <c r="Z500" s="14"/>
      <c r="AA500" s="14"/>
      <c r="AB500" s="14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BB500" s="39"/>
    </row>
    <row r="501" spans="1:54" ht="15.6" x14ac:dyDescent="0.3">
      <c r="A501" s="158" t="s">
        <v>1787</v>
      </c>
      <c r="B501" s="69"/>
      <c r="C501" s="69"/>
      <c r="D501" s="69"/>
      <c r="E501" s="70"/>
      <c r="F501" s="67"/>
      <c r="G501" s="71"/>
      <c r="H501" s="119"/>
      <c r="I501" s="133"/>
      <c r="J501" s="134"/>
      <c r="K501" s="125"/>
      <c r="L501" s="74"/>
      <c r="M501" s="75"/>
      <c r="N501" s="76"/>
      <c r="O501" s="76"/>
      <c r="P501" s="83"/>
      <c r="Q501" s="76"/>
      <c r="R501" s="67"/>
      <c r="S501" s="68"/>
      <c r="T501" s="77"/>
      <c r="U501" s="78"/>
      <c r="V501" s="81"/>
      <c r="W501" s="80"/>
      <c r="X501" s="80"/>
      <c r="Y501" s="14"/>
      <c r="Z501" s="14"/>
      <c r="AA501" s="14"/>
      <c r="AB501" s="14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BB501" s="39"/>
    </row>
    <row r="502" spans="1:54" ht="15.6" x14ac:dyDescent="0.3">
      <c r="A502" s="158" t="s">
        <v>1787</v>
      </c>
      <c r="B502" s="69"/>
      <c r="C502" s="69"/>
      <c r="D502" s="69"/>
      <c r="E502" s="70"/>
      <c r="F502" s="67"/>
      <c r="G502" s="71"/>
      <c r="H502" s="119"/>
      <c r="I502" s="133"/>
      <c r="J502" s="134"/>
      <c r="K502" s="125"/>
      <c r="L502" s="74"/>
      <c r="M502" s="85"/>
      <c r="N502" s="76"/>
      <c r="O502" s="76"/>
      <c r="P502" s="76"/>
      <c r="Q502" s="76"/>
      <c r="R502" s="67"/>
      <c r="S502" s="68"/>
      <c r="T502" s="77"/>
      <c r="U502" s="78"/>
      <c r="V502" s="81"/>
      <c r="W502" s="80"/>
      <c r="X502" s="80"/>
      <c r="Y502" s="14"/>
      <c r="Z502" s="14"/>
      <c r="AA502" s="14"/>
      <c r="AB502" s="14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BB502" s="39"/>
    </row>
    <row r="503" spans="1:54" ht="16.2" thickBot="1" x14ac:dyDescent="0.35">
      <c r="A503" s="158" t="s">
        <v>1787</v>
      </c>
      <c r="B503" s="147"/>
      <c r="C503" s="69"/>
      <c r="D503" s="69"/>
      <c r="E503" s="91"/>
      <c r="F503" s="67"/>
      <c r="G503" s="71"/>
      <c r="H503" s="120"/>
      <c r="I503" s="133"/>
      <c r="J503" s="134"/>
      <c r="K503" s="125"/>
      <c r="L503" s="74"/>
      <c r="M503" s="100"/>
      <c r="N503" s="76"/>
      <c r="O503" s="76"/>
      <c r="P503" s="83"/>
      <c r="Q503" s="76"/>
      <c r="R503" s="67"/>
      <c r="S503" s="68"/>
      <c r="T503" s="77"/>
      <c r="U503" s="78"/>
      <c r="V503" s="81"/>
      <c r="W503" s="80"/>
      <c r="X503" s="80"/>
      <c r="Y503" s="14"/>
      <c r="Z503" s="14"/>
      <c r="AA503" s="14"/>
      <c r="AB503" s="14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BB503" s="39"/>
    </row>
    <row r="504" spans="1:54" ht="15.6" x14ac:dyDescent="0.3">
      <c r="A504" s="158" t="s">
        <v>1787</v>
      </c>
      <c r="B504" s="148"/>
      <c r="C504" s="69"/>
      <c r="D504" s="69"/>
      <c r="E504" s="95"/>
      <c r="F504" s="67"/>
      <c r="G504" s="71"/>
      <c r="H504" s="121"/>
      <c r="I504" s="133"/>
      <c r="J504" s="134"/>
      <c r="K504" s="125"/>
      <c r="L504" s="74"/>
      <c r="M504" s="96"/>
      <c r="N504" s="76"/>
      <c r="O504" s="76"/>
      <c r="P504" s="76"/>
      <c r="Q504" s="76"/>
      <c r="R504" s="67"/>
      <c r="S504" s="68"/>
      <c r="T504" s="77"/>
      <c r="U504" s="78"/>
      <c r="V504" s="81"/>
      <c r="W504" s="80"/>
      <c r="X504" s="80"/>
      <c r="Y504" s="14"/>
      <c r="Z504" s="14"/>
      <c r="AA504" s="14"/>
      <c r="AB504" s="14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BB504" s="39"/>
    </row>
    <row r="505" spans="1:54" ht="15.6" x14ac:dyDescent="0.3">
      <c r="A505" s="158" t="s">
        <v>1787</v>
      </c>
      <c r="B505" s="69"/>
      <c r="C505" s="69"/>
      <c r="D505" s="69"/>
      <c r="E505" s="70"/>
      <c r="F505" s="67"/>
      <c r="G505" s="71"/>
      <c r="H505" s="119"/>
      <c r="I505" s="135"/>
      <c r="J505" s="134"/>
      <c r="K505" s="125"/>
      <c r="L505" s="74"/>
      <c r="M505" s="85"/>
      <c r="N505" s="76"/>
      <c r="O505" s="76"/>
      <c r="P505" s="76"/>
      <c r="Q505" s="76"/>
      <c r="R505" s="67"/>
      <c r="S505" s="68"/>
      <c r="T505" s="77"/>
      <c r="U505" s="78"/>
      <c r="V505" s="81"/>
      <c r="W505" s="80"/>
      <c r="X505" s="80"/>
      <c r="Y505" s="14"/>
      <c r="Z505" s="14"/>
      <c r="AA505" s="14"/>
      <c r="AB505" s="14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BB505" s="39"/>
    </row>
    <row r="506" spans="1:54" ht="15.6" x14ac:dyDescent="0.3">
      <c r="A506" s="158" t="s">
        <v>1787</v>
      </c>
      <c r="B506" s="69"/>
      <c r="C506" s="69"/>
      <c r="D506" s="69"/>
      <c r="E506" s="70"/>
      <c r="F506" s="67"/>
      <c r="G506" s="71"/>
      <c r="H506" s="119"/>
      <c r="I506" s="135"/>
      <c r="J506" s="134"/>
      <c r="K506" s="125"/>
      <c r="L506" s="74"/>
      <c r="M506" s="75"/>
      <c r="N506" s="76"/>
      <c r="O506" s="76"/>
      <c r="P506" s="76"/>
      <c r="Q506" s="76"/>
      <c r="R506" s="67"/>
      <c r="S506" s="68"/>
      <c r="T506" s="77"/>
      <c r="U506" s="78"/>
      <c r="V506" s="81"/>
      <c r="W506" s="80"/>
      <c r="X506" s="80"/>
      <c r="Y506" s="14"/>
      <c r="Z506" s="14"/>
      <c r="AA506" s="14"/>
      <c r="AB506" s="14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BB506" s="39"/>
    </row>
    <row r="507" spans="1:54" ht="15.6" x14ac:dyDescent="0.3">
      <c r="A507" s="158" t="s">
        <v>1787</v>
      </c>
      <c r="B507" s="69"/>
      <c r="C507" s="69"/>
      <c r="D507" s="69"/>
      <c r="E507" s="70"/>
      <c r="F507" s="67"/>
      <c r="G507" s="71"/>
      <c r="H507" s="119"/>
      <c r="I507" s="135"/>
      <c r="J507" s="134"/>
      <c r="K507" s="125"/>
      <c r="L507" s="74"/>
      <c r="M507" s="85"/>
      <c r="N507" s="76"/>
      <c r="O507" s="76"/>
      <c r="P507" s="76"/>
      <c r="Q507" s="76"/>
      <c r="R507" s="67"/>
      <c r="S507" s="68"/>
      <c r="T507" s="77"/>
      <c r="U507" s="78"/>
      <c r="V507" s="81"/>
      <c r="W507" s="80"/>
      <c r="X507" s="80"/>
      <c r="Y507" s="23"/>
      <c r="Z507" s="14"/>
      <c r="AA507" s="14"/>
      <c r="AB507" s="14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BB507" s="39"/>
    </row>
    <row r="508" spans="1:54" ht="15.6" x14ac:dyDescent="0.3">
      <c r="A508" s="158" t="s">
        <v>1787</v>
      </c>
      <c r="B508" s="69"/>
      <c r="C508" s="69"/>
      <c r="D508" s="69"/>
      <c r="E508" s="70"/>
      <c r="F508" s="67"/>
      <c r="G508" s="71"/>
      <c r="H508" s="119"/>
      <c r="I508" s="135"/>
      <c r="J508" s="134"/>
      <c r="K508" s="125"/>
      <c r="L508" s="74"/>
      <c r="M508" s="75"/>
      <c r="N508" s="76"/>
      <c r="O508" s="76"/>
      <c r="P508" s="76"/>
      <c r="Q508" s="76"/>
      <c r="R508" s="67"/>
      <c r="S508" s="68"/>
      <c r="T508" s="77"/>
      <c r="U508" s="78"/>
      <c r="V508" s="81"/>
      <c r="W508" s="80"/>
      <c r="X508" s="80"/>
      <c r="Y508" s="14"/>
      <c r="Z508" s="14"/>
      <c r="AA508" s="14"/>
      <c r="AB508" s="14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BB508" s="39"/>
    </row>
    <row r="509" spans="1:54" ht="15.6" x14ac:dyDescent="0.3">
      <c r="A509" s="158" t="s">
        <v>1787</v>
      </c>
      <c r="B509" s="69"/>
      <c r="C509" s="69"/>
      <c r="D509" s="69"/>
      <c r="E509" s="70"/>
      <c r="F509" s="67"/>
      <c r="G509" s="71"/>
      <c r="H509" s="119"/>
      <c r="I509" s="133"/>
      <c r="J509" s="134"/>
      <c r="K509" s="125"/>
      <c r="L509" s="74"/>
      <c r="M509" s="75"/>
      <c r="N509" s="76"/>
      <c r="O509" s="76"/>
      <c r="P509" s="76"/>
      <c r="Q509" s="76"/>
      <c r="R509" s="67"/>
      <c r="S509" s="68"/>
      <c r="T509" s="77"/>
      <c r="U509" s="78"/>
      <c r="V509" s="81"/>
      <c r="W509" s="80"/>
      <c r="X509" s="80"/>
      <c r="Y509" s="14"/>
      <c r="Z509" s="14"/>
      <c r="AA509" s="14"/>
      <c r="AB509" s="14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BB509" s="39"/>
    </row>
    <row r="510" spans="1:54" ht="15.6" x14ac:dyDescent="0.3">
      <c r="A510" s="158" t="s">
        <v>1787</v>
      </c>
      <c r="B510" s="69"/>
      <c r="C510" s="69"/>
      <c r="D510" s="69"/>
      <c r="E510" s="70"/>
      <c r="F510" s="67"/>
      <c r="G510" s="71"/>
      <c r="H510" s="119"/>
      <c r="I510" s="133"/>
      <c r="J510" s="134"/>
      <c r="K510" s="125"/>
      <c r="L510" s="74"/>
      <c r="M510" s="75"/>
      <c r="N510" s="76"/>
      <c r="O510" s="76"/>
      <c r="P510" s="76"/>
      <c r="Q510" s="76"/>
      <c r="R510" s="67"/>
      <c r="S510" s="68"/>
      <c r="T510" s="77"/>
      <c r="U510" s="78"/>
      <c r="V510" s="63"/>
      <c r="W510" s="80"/>
      <c r="X510" s="80"/>
      <c r="Y510" s="14"/>
      <c r="Z510" s="14"/>
      <c r="AA510" s="14"/>
      <c r="AB510" s="14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BB510" s="39"/>
    </row>
    <row r="511" spans="1:54" ht="15.6" x14ac:dyDescent="0.3">
      <c r="A511" s="158" t="s">
        <v>1787</v>
      </c>
      <c r="B511" s="69"/>
      <c r="C511" s="69"/>
      <c r="D511" s="69"/>
      <c r="E511" s="70"/>
      <c r="F511" s="67"/>
      <c r="G511" s="71"/>
      <c r="H511" s="119"/>
      <c r="I511" s="133"/>
      <c r="J511" s="134"/>
      <c r="K511" s="125"/>
      <c r="L511" s="74"/>
      <c r="M511" s="75"/>
      <c r="N511" s="76"/>
      <c r="O511" s="76"/>
      <c r="P511" s="76"/>
      <c r="Q511" s="76"/>
      <c r="R511" s="67"/>
      <c r="S511" s="68"/>
      <c r="T511" s="77"/>
      <c r="U511" s="78"/>
      <c r="V511" s="81"/>
      <c r="W511" s="80"/>
      <c r="X511" s="80"/>
      <c r="Y511" s="23"/>
      <c r="Z511" s="14"/>
      <c r="AA511" s="14"/>
      <c r="AB511" s="14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BB511" s="39"/>
    </row>
    <row r="512" spans="1:54" ht="15.6" x14ac:dyDescent="0.3">
      <c r="A512" s="158" t="s">
        <v>1787</v>
      </c>
      <c r="B512" s="69"/>
      <c r="C512" s="69"/>
      <c r="D512" s="69"/>
      <c r="E512" s="70"/>
      <c r="F512" s="67"/>
      <c r="G512" s="71"/>
      <c r="H512" s="119"/>
      <c r="I512" s="135"/>
      <c r="J512" s="134"/>
      <c r="K512" s="125"/>
      <c r="L512" s="74"/>
      <c r="M512" s="75"/>
      <c r="N512" s="76"/>
      <c r="O512" s="76"/>
      <c r="P512" s="76"/>
      <c r="Q512" s="76"/>
      <c r="R512" s="67"/>
      <c r="S512" s="68"/>
      <c r="T512" s="77"/>
      <c r="U512" s="78"/>
      <c r="V512" s="81"/>
      <c r="W512" s="80"/>
      <c r="X512" s="80"/>
      <c r="Y512" s="14"/>
      <c r="Z512" s="14"/>
      <c r="AA512" s="14"/>
      <c r="AB512" s="14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BB512" s="39"/>
    </row>
    <row r="513" spans="1:54" ht="15.6" x14ac:dyDescent="0.3">
      <c r="A513" s="158" t="s">
        <v>1787</v>
      </c>
      <c r="B513" s="69"/>
      <c r="C513" s="69"/>
      <c r="D513" s="69"/>
      <c r="E513" s="70"/>
      <c r="F513" s="67"/>
      <c r="G513" s="71"/>
      <c r="H513" s="119"/>
      <c r="I513" s="135"/>
      <c r="J513" s="134"/>
      <c r="K513" s="125"/>
      <c r="L513" s="74"/>
      <c r="M513" s="75"/>
      <c r="N513" s="76"/>
      <c r="O513" s="76"/>
      <c r="P513" s="76"/>
      <c r="Q513" s="76"/>
      <c r="R513" s="67"/>
      <c r="S513" s="68"/>
      <c r="T513" s="77"/>
      <c r="U513" s="78"/>
      <c r="V513" s="81"/>
      <c r="W513" s="80"/>
      <c r="X513" s="80"/>
      <c r="Y513" s="14"/>
      <c r="Z513" s="14"/>
      <c r="AA513" s="14"/>
      <c r="AB513" s="14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BB513" s="39"/>
    </row>
    <row r="514" spans="1:54" ht="15.6" x14ac:dyDescent="0.3">
      <c r="A514" s="158" t="s">
        <v>1787</v>
      </c>
      <c r="B514" s="69"/>
      <c r="C514" s="69"/>
      <c r="D514" s="69"/>
      <c r="E514" s="70"/>
      <c r="F514" s="67"/>
      <c r="G514" s="71"/>
      <c r="H514" s="119"/>
      <c r="I514" s="133"/>
      <c r="J514" s="134"/>
      <c r="K514" s="125"/>
      <c r="L514" s="74"/>
      <c r="M514" s="75"/>
      <c r="N514" s="76"/>
      <c r="O514" s="76"/>
      <c r="P514" s="76"/>
      <c r="Q514" s="76"/>
      <c r="R514" s="67"/>
      <c r="S514" s="68"/>
      <c r="T514" s="77"/>
      <c r="U514" s="78"/>
      <c r="V514" s="81"/>
      <c r="W514" s="80"/>
      <c r="X514" s="80"/>
      <c r="Y514" s="23"/>
      <c r="Z514" s="14"/>
      <c r="AA514" s="14"/>
      <c r="AB514" s="14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BB514" s="39"/>
    </row>
    <row r="515" spans="1:54" ht="15.6" x14ac:dyDescent="0.3">
      <c r="A515" s="158" t="s">
        <v>1787</v>
      </c>
      <c r="B515" s="69"/>
      <c r="C515" s="69"/>
      <c r="D515" s="69"/>
      <c r="E515" s="70"/>
      <c r="F515" s="67"/>
      <c r="G515" s="71"/>
      <c r="H515" s="119"/>
      <c r="I515" s="133"/>
      <c r="J515" s="134"/>
      <c r="K515" s="125"/>
      <c r="L515" s="74"/>
      <c r="M515" s="75"/>
      <c r="N515" s="76"/>
      <c r="O515" s="76"/>
      <c r="P515" s="76"/>
      <c r="Q515" s="76"/>
      <c r="R515" s="67"/>
      <c r="S515" s="68"/>
      <c r="T515" s="77"/>
      <c r="U515" s="78"/>
      <c r="V515" s="81"/>
      <c r="W515" s="80"/>
      <c r="X515" s="80"/>
      <c r="Y515" s="14"/>
      <c r="Z515" s="14"/>
      <c r="AA515" s="14"/>
      <c r="AB515" s="14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BB515" s="39"/>
    </row>
    <row r="516" spans="1:54" ht="15.6" x14ac:dyDescent="0.3">
      <c r="A516" s="158" t="s">
        <v>1787</v>
      </c>
      <c r="B516" s="69"/>
      <c r="C516" s="69"/>
      <c r="D516" s="69"/>
      <c r="E516" s="70"/>
      <c r="F516" s="67"/>
      <c r="G516" s="71"/>
      <c r="H516" s="119"/>
      <c r="I516" s="133"/>
      <c r="J516" s="134"/>
      <c r="K516" s="125"/>
      <c r="L516" s="74"/>
      <c r="M516" s="75"/>
      <c r="N516" s="76"/>
      <c r="O516" s="76"/>
      <c r="P516" s="76"/>
      <c r="Q516" s="76"/>
      <c r="R516" s="67"/>
      <c r="S516" s="68"/>
      <c r="T516" s="77"/>
      <c r="U516" s="78"/>
      <c r="V516" s="81"/>
      <c r="W516" s="80"/>
      <c r="X516" s="80"/>
      <c r="Y516" s="14"/>
      <c r="Z516" s="14"/>
      <c r="AA516" s="14"/>
      <c r="AB516" s="14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BB516" s="39"/>
    </row>
    <row r="517" spans="1:54" ht="15.6" x14ac:dyDescent="0.3">
      <c r="A517" s="158" t="s">
        <v>1787</v>
      </c>
      <c r="B517" s="69"/>
      <c r="C517" s="69"/>
      <c r="D517" s="69"/>
      <c r="E517" s="70"/>
      <c r="F517" s="67"/>
      <c r="G517" s="71"/>
      <c r="H517" s="119"/>
      <c r="I517" s="133"/>
      <c r="J517" s="134"/>
      <c r="K517" s="125"/>
      <c r="L517" s="74"/>
      <c r="M517" s="75"/>
      <c r="N517" s="76"/>
      <c r="O517" s="76"/>
      <c r="P517" s="76"/>
      <c r="Q517" s="76"/>
      <c r="R517" s="67"/>
      <c r="S517" s="68"/>
      <c r="T517" s="77"/>
      <c r="U517" s="78"/>
      <c r="V517" s="81"/>
      <c r="W517" s="80"/>
      <c r="X517" s="80"/>
      <c r="Y517" s="14"/>
      <c r="Z517" s="14"/>
      <c r="AA517" s="14"/>
      <c r="AB517" s="14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BB517" s="39"/>
    </row>
    <row r="518" spans="1:54" ht="15.6" x14ac:dyDescent="0.3">
      <c r="A518" s="158" t="s">
        <v>1787</v>
      </c>
      <c r="B518" s="69"/>
      <c r="C518" s="69"/>
      <c r="D518" s="69"/>
      <c r="E518" s="70"/>
      <c r="F518" s="67"/>
      <c r="G518" s="71"/>
      <c r="H518" s="119"/>
      <c r="I518" s="133"/>
      <c r="J518" s="134"/>
      <c r="K518" s="125"/>
      <c r="L518" s="74"/>
      <c r="M518" s="75"/>
      <c r="N518" s="76"/>
      <c r="O518" s="76"/>
      <c r="P518" s="76"/>
      <c r="Q518" s="76"/>
      <c r="R518" s="67"/>
      <c r="S518" s="68"/>
      <c r="T518" s="77"/>
      <c r="U518" s="78"/>
      <c r="V518" s="81"/>
      <c r="W518" s="80"/>
      <c r="X518" s="80"/>
      <c r="Y518" s="14"/>
      <c r="Z518" s="14"/>
      <c r="AA518" s="14"/>
      <c r="AB518" s="14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BB518" s="39"/>
    </row>
    <row r="519" spans="1:54" ht="15.6" x14ac:dyDescent="0.3">
      <c r="A519" s="158" t="s">
        <v>1787</v>
      </c>
      <c r="B519" s="69"/>
      <c r="C519" s="69"/>
      <c r="D519" s="69"/>
      <c r="E519" s="70"/>
      <c r="F519" s="67"/>
      <c r="G519" s="71"/>
      <c r="H519" s="119"/>
      <c r="I519" s="135"/>
      <c r="J519" s="134"/>
      <c r="K519" s="125"/>
      <c r="L519" s="74"/>
      <c r="M519" s="75"/>
      <c r="N519" s="76"/>
      <c r="O519" s="76"/>
      <c r="P519" s="76"/>
      <c r="Q519" s="76"/>
      <c r="R519" s="67"/>
      <c r="S519" s="68"/>
      <c r="T519" s="77"/>
      <c r="U519" s="78"/>
      <c r="V519" s="81"/>
      <c r="W519" s="80"/>
      <c r="X519" s="80"/>
      <c r="Y519" s="14"/>
      <c r="Z519" s="14"/>
      <c r="AA519" s="14"/>
      <c r="AB519" s="14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BB519" s="39"/>
    </row>
    <row r="520" spans="1:54" ht="15.6" x14ac:dyDescent="0.3">
      <c r="A520" s="158" t="s">
        <v>1787</v>
      </c>
      <c r="B520" s="69"/>
      <c r="C520" s="69"/>
      <c r="D520" s="69"/>
      <c r="E520" s="70"/>
      <c r="F520" s="67"/>
      <c r="G520" s="71"/>
      <c r="H520" s="119"/>
      <c r="I520" s="133"/>
      <c r="J520" s="134"/>
      <c r="K520" s="125"/>
      <c r="L520" s="74"/>
      <c r="M520" s="75"/>
      <c r="N520" s="76"/>
      <c r="O520" s="76"/>
      <c r="P520" s="76"/>
      <c r="Q520" s="76"/>
      <c r="R520" s="67"/>
      <c r="S520" s="68"/>
      <c r="T520" s="77"/>
      <c r="U520" s="78"/>
      <c r="V520" s="81"/>
      <c r="W520" s="80"/>
      <c r="X520" s="80"/>
      <c r="Y520" s="14"/>
      <c r="Z520" s="14"/>
      <c r="AA520" s="14"/>
      <c r="AB520" s="14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BB520" s="39"/>
    </row>
    <row r="521" spans="1:54" ht="15.6" x14ac:dyDescent="0.3">
      <c r="A521" s="158" t="s">
        <v>1787</v>
      </c>
      <c r="B521" s="69"/>
      <c r="C521" s="69"/>
      <c r="D521" s="69"/>
      <c r="E521" s="70"/>
      <c r="F521" s="67"/>
      <c r="G521" s="71"/>
      <c r="H521" s="119"/>
      <c r="I521" s="133"/>
      <c r="J521" s="134"/>
      <c r="K521" s="125"/>
      <c r="L521" s="74"/>
      <c r="M521" s="75"/>
      <c r="N521" s="76"/>
      <c r="O521" s="76"/>
      <c r="P521" s="76"/>
      <c r="Q521" s="76"/>
      <c r="R521" s="67"/>
      <c r="S521" s="68"/>
      <c r="T521" s="77"/>
      <c r="U521" s="78"/>
      <c r="V521" s="81"/>
      <c r="W521" s="80"/>
      <c r="X521" s="80"/>
      <c r="Y521" s="23"/>
      <c r="Z521" s="14"/>
      <c r="AA521" s="14"/>
      <c r="AB521" s="14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BB521" s="39"/>
    </row>
    <row r="522" spans="1:54" ht="15.6" x14ac:dyDescent="0.3">
      <c r="A522" s="158" t="s">
        <v>1787</v>
      </c>
      <c r="B522" s="69"/>
      <c r="C522" s="69"/>
      <c r="D522" s="69"/>
      <c r="E522" s="70"/>
      <c r="F522" s="67"/>
      <c r="G522" s="71"/>
      <c r="H522" s="119"/>
      <c r="I522" s="133"/>
      <c r="J522" s="134"/>
      <c r="K522" s="125"/>
      <c r="L522" s="74"/>
      <c r="M522" s="75"/>
      <c r="N522" s="76"/>
      <c r="O522" s="76"/>
      <c r="P522" s="76"/>
      <c r="Q522" s="76"/>
      <c r="R522" s="67"/>
      <c r="S522" s="68"/>
      <c r="T522" s="77"/>
      <c r="U522" s="78"/>
      <c r="V522" s="81"/>
      <c r="W522" s="80"/>
      <c r="X522" s="80"/>
      <c r="Y522" s="14"/>
      <c r="Z522" s="14"/>
      <c r="AA522" s="14"/>
      <c r="AB522" s="14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BB522" s="39"/>
    </row>
    <row r="523" spans="1:54" ht="15.6" x14ac:dyDescent="0.3">
      <c r="A523" s="158" t="s">
        <v>1787</v>
      </c>
      <c r="B523" s="69"/>
      <c r="C523" s="69"/>
      <c r="D523" s="69"/>
      <c r="E523" s="70"/>
      <c r="F523" s="67"/>
      <c r="G523" s="71"/>
      <c r="H523" s="119"/>
      <c r="I523" s="133"/>
      <c r="J523" s="134"/>
      <c r="K523" s="125"/>
      <c r="L523" s="74"/>
      <c r="M523" s="75"/>
      <c r="N523" s="76"/>
      <c r="O523" s="76"/>
      <c r="P523" s="76"/>
      <c r="Q523" s="76"/>
      <c r="R523" s="67"/>
      <c r="S523" s="68"/>
      <c r="T523" s="77"/>
      <c r="U523" s="78"/>
      <c r="V523" s="81"/>
      <c r="W523" s="80"/>
      <c r="X523" s="80"/>
      <c r="Y523" s="14"/>
      <c r="Z523" s="14"/>
      <c r="AA523" s="14"/>
      <c r="AB523" s="14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BB523" s="39"/>
    </row>
    <row r="524" spans="1:54" ht="15.6" x14ac:dyDescent="0.3">
      <c r="A524" s="158" t="s">
        <v>1787</v>
      </c>
      <c r="B524" s="69"/>
      <c r="C524" s="69"/>
      <c r="D524" s="69"/>
      <c r="E524" s="70"/>
      <c r="F524" s="67"/>
      <c r="G524" s="71"/>
      <c r="H524" s="119"/>
      <c r="I524" s="133"/>
      <c r="J524" s="134"/>
      <c r="K524" s="125"/>
      <c r="L524" s="74"/>
      <c r="M524" s="75"/>
      <c r="N524" s="76"/>
      <c r="O524" s="76"/>
      <c r="P524" s="76"/>
      <c r="Q524" s="76"/>
      <c r="R524" s="67"/>
      <c r="S524" s="68"/>
      <c r="T524" s="77"/>
      <c r="U524" s="78"/>
      <c r="V524" s="81"/>
      <c r="W524" s="80"/>
      <c r="X524" s="80"/>
      <c r="Y524" s="14"/>
      <c r="Z524" s="14"/>
      <c r="AA524" s="14"/>
      <c r="AB524" s="14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BB524" s="39"/>
    </row>
    <row r="525" spans="1:54" ht="15.6" x14ac:dyDescent="0.3">
      <c r="A525" s="158" t="s">
        <v>1787</v>
      </c>
      <c r="B525" s="69"/>
      <c r="C525" s="69"/>
      <c r="D525" s="69"/>
      <c r="E525" s="70"/>
      <c r="F525" s="67"/>
      <c r="G525" s="71"/>
      <c r="H525" s="119"/>
      <c r="I525" s="135"/>
      <c r="J525" s="134"/>
      <c r="K525" s="125"/>
      <c r="L525" s="74"/>
      <c r="M525" s="75"/>
      <c r="N525" s="76"/>
      <c r="O525" s="76"/>
      <c r="P525" s="76"/>
      <c r="Q525" s="76"/>
      <c r="R525" s="67"/>
      <c r="S525" s="68"/>
      <c r="T525" s="77"/>
      <c r="U525" s="78"/>
      <c r="V525" s="81"/>
      <c r="W525" s="80"/>
      <c r="X525" s="80"/>
      <c r="Y525" s="14"/>
      <c r="Z525" s="14"/>
      <c r="AA525" s="14"/>
      <c r="AB525" s="14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BB525" s="39"/>
    </row>
    <row r="526" spans="1:54" ht="15.6" x14ac:dyDescent="0.3">
      <c r="A526" s="158" t="s">
        <v>1787</v>
      </c>
      <c r="B526" s="69"/>
      <c r="C526" s="69"/>
      <c r="D526" s="69"/>
      <c r="E526" s="70"/>
      <c r="F526" s="67"/>
      <c r="G526" s="71"/>
      <c r="H526" s="119"/>
      <c r="I526" s="133"/>
      <c r="J526" s="134"/>
      <c r="K526" s="127"/>
      <c r="L526" s="74"/>
      <c r="M526" s="75"/>
      <c r="N526" s="76"/>
      <c r="O526" s="76"/>
      <c r="P526" s="76"/>
      <c r="Q526" s="76"/>
      <c r="R526" s="67"/>
      <c r="S526" s="68"/>
      <c r="T526" s="77"/>
      <c r="U526" s="78"/>
      <c r="V526" s="81"/>
      <c r="W526" s="80"/>
      <c r="X526" s="80"/>
      <c r="Y526" s="14"/>
      <c r="Z526" s="14"/>
      <c r="AA526" s="14"/>
      <c r="AB526" s="14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BB526" s="39"/>
    </row>
    <row r="527" spans="1:54" ht="15.6" x14ac:dyDescent="0.3">
      <c r="A527" s="158" t="s">
        <v>1787</v>
      </c>
      <c r="B527" s="69"/>
      <c r="C527" s="69"/>
      <c r="D527" s="69"/>
      <c r="E527" s="70"/>
      <c r="F527" s="67"/>
      <c r="G527" s="71"/>
      <c r="H527" s="119"/>
      <c r="I527" s="135"/>
      <c r="J527" s="134"/>
      <c r="K527" s="125"/>
      <c r="L527" s="74"/>
      <c r="M527" s="75"/>
      <c r="N527" s="76"/>
      <c r="O527" s="76"/>
      <c r="P527" s="76"/>
      <c r="Q527" s="76"/>
      <c r="R527" s="67"/>
      <c r="S527" s="68"/>
      <c r="T527" s="77"/>
      <c r="U527" s="78"/>
      <c r="V527" s="63"/>
      <c r="W527" s="80"/>
      <c r="X527" s="80"/>
      <c r="Y527" s="14"/>
      <c r="Z527" s="14"/>
      <c r="AA527" s="14"/>
      <c r="AB527" s="14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BB527" s="39"/>
    </row>
    <row r="528" spans="1:54" ht="15.6" x14ac:dyDescent="0.3">
      <c r="A528" s="158" t="s">
        <v>1787</v>
      </c>
      <c r="B528" s="69"/>
      <c r="C528" s="69"/>
      <c r="D528" s="69"/>
      <c r="E528" s="70"/>
      <c r="F528" s="67"/>
      <c r="G528" s="71"/>
      <c r="H528" s="119"/>
      <c r="I528" s="133"/>
      <c r="J528" s="134"/>
      <c r="K528" s="125"/>
      <c r="L528" s="74"/>
      <c r="M528" s="75"/>
      <c r="N528" s="76"/>
      <c r="O528" s="76"/>
      <c r="P528" s="76"/>
      <c r="Q528" s="76"/>
      <c r="R528" s="67"/>
      <c r="S528" s="68"/>
      <c r="T528" s="77"/>
      <c r="U528" s="78"/>
      <c r="V528" s="81"/>
      <c r="W528" s="80"/>
      <c r="X528" s="80"/>
      <c r="Y528" s="23"/>
      <c r="Z528" s="14"/>
      <c r="AA528" s="14"/>
      <c r="AB528" s="14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BB528" s="39"/>
    </row>
    <row r="529" spans="1:54" ht="15.6" x14ac:dyDescent="0.3">
      <c r="A529" s="158" t="s">
        <v>1787</v>
      </c>
      <c r="B529" s="69"/>
      <c r="C529" s="69"/>
      <c r="D529" s="69"/>
      <c r="E529" s="70"/>
      <c r="F529" s="67"/>
      <c r="G529" s="71"/>
      <c r="H529" s="119"/>
      <c r="I529" s="133"/>
      <c r="J529" s="134"/>
      <c r="K529" s="125"/>
      <c r="L529" s="74"/>
      <c r="M529" s="85"/>
      <c r="N529" s="76"/>
      <c r="O529" s="76"/>
      <c r="P529" s="76"/>
      <c r="Q529" s="76"/>
      <c r="R529" s="67"/>
      <c r="S529" s="68"/>
      <c r="T529" s="77"/>
      <c r="U529" s="78"/>
      <c r="V529" s="81"/>
      <c r="W529" s="80"/>
      <c r="X529" s="80"/>
      <c r="Y529" s="14"/>
      <c r="Z529" s="14"/>
      <c r="AA529" s="14"/>
      <c r="AB529" s="14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BB529" s="39"/>
    </row>
    <row r="530" spans="1:54" ht="15.6" x14ac:dyDescent="0.3">
      <c r="A530" s="158" t="s">
        <v>1787</v>
      </c>
      <c r="B530" s="148"/>
      <c r="C530" s="69"/>
      <c r="D530" s="69"/>
      <c r="E530" s="95"/>
      <c r="F530" s="67"/>
      <c r="G530" s="71"/>
      <c r="H530" s="121"/>
      <c r="I530" s="133"/>
      <c r="J530" s="134"/>
      <c r="K530" s="125"/>
      <c r="L530" s="74"/>
      <c r="M530" s="96"/>
      <c r="N530" s="76"/>
      <c r="O530" s="76"/>
      <c r="P530" s="83"/>
      <c r="Q530" s="83"/>
      <c r="R530" s="67"/>
      <c r="S530" s="68"/>
      <c r="T530" s="77"/>
      <c r="U530" s="78"/>
      <c r="V530" s="81"/>
      <c r="W530" s="80"/>
      <c r="X530" s="80"/>
      <c r="Y530" s="14"/>
      <c r="Z530" s="14"/>
      <c r="AA530" s="14"/>
      <c r="AB530" s="14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BB530" s="39"/>
    </row>
    <row r="531" spans="1:54" ht="15.6" x14ac:dyDescent="0.3">
      <c r="A531" s="158" t="s">
        <v>1787</v>
      </c>
      <c r="B531" s="69"/>
      <c r="C531" s="69"/>
      <c r="D531" s="69"/>
      <c r="E531" s="70"/>
      <c r="F531" s="67"/>
      <c r="G531" s="71"/>
      <c r="H531" s="121"/>
      <c r="I531" s="133"/>
      <c r="J531" s="134"/>
      <c r="K531" s="125"/>
      <c r="L531" s="74"/>
      <c r="M531" s="75"/>
      <c r="N531" s="76"/>
      <c r="O531" s="76"/>
      <c r="P531" s="83"/>
      <c r="Q531" s="83"/>
      <c r="R531" s="67"/>
      <c r="S531" s="68"/>
      <c r="T531" s="77"/>
      <c r="U531" s="78"/>
      <c r="V531" s="81"/>
      <c r="W531" s="80"/>
      <c r="X531" s="80"/>
      <c r="Y531" s="14"/>
      <c r="Z531" s="14"/>
      <c r="AA531" s="14"/>
      <c r="AB531" s="14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BB531" s="39"/>
    </row>
    <row r="532" spans="1:54" ht="15.6" x14ac:dyDescent="0.3">
      <c r="A532" s="158" t="s">
        <v>1787</v>
      </c>
      <c r="B532" s="69"/>
      <c r="C532" s="69"/>
      <c r="D532" s="69"/>
      <c r="E532" s="70"/>
      <c r="F532" s="67"/>
      <c r="G532" s="71"/>
      <c r="H532" s="121"/>
      <c r="I532" s="133"/>
      <c r="J532" s="134"/>
      <c r="K532" s="125"/>
      <c r="L532" s="74"/>
      <c r="M532" s="75"/>
      <c r="N532" s="76"/>
      <c r="O532" s="76"/>
      <c r="P532" s="83"/>
      <c r="Q532" s="83"/>
      <c r="R532" s="67"/>
      <c r="S532" s="68"/>
      <c r="T532" s="77"/>
      <c r="U532" s="78"/>
      <c r="V532" s="81"/>
      <c r="W532" s="80"/>
      <c r="X532" s="80"/>
      <c r="Y532" s="14"/>
      <c r="Z532" s="14"/>
      <c r="AA532" s="14"/>
      <c r="AB532" s="14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BB532" s="39"/>
    </row>
    <row r="533" spans="1:54" ht="15.6" x14ac:dyDescent="0.3">
      <c r="A533" s="158" t="s">
        <v>1787</v>
      </c>
      <c r="B533" s="69"/>
      <c r="C533" s="69"/>
      <c r="D533" s="69"/>
      <c r="E533" s="70"/>
      <c r="F533" s="67"/>
      <c r="G533" s="71"/>
      <c r="H533" s="119"/>
      <c r="I533" s="135"/>
      <c r="J533" s="134"/>
      <c r="K533" s="125"/>
      <c r="L533" s="74"/>
      <c r="M533" s="75"/>
      <c r="N533" s="76"/>
      <c r="O533" s="76"/>
      <c r="P533" s="76"/>
      <c r="Q533" s="76"/>
      <c r="R533" s="67"/>
      <c r="S533" s="68"/>
      <c r="T533" s="77"/>
      <c r="U533" s="78"/>
      <c r="V533" s="81"/>
      <c r="W533" s="80"/>
      <c r="X533" s="80"/>
      <c r="Y533" s="14"/>
      <c r="Z533" s="14"/>
      <c r="AA533" s="14"/>
      <c r="AB533" s="14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BB533" s="39"/>
    </row>
    <row r="534" spans="1:54" ht="15.6" x14ac:dyDescent="0.3">
      <c r="A534" s="158" t="s">
        <v>1787</v>
      </c>
      <c r="B534" s="69"/>
      <c r="C534" s="69"/>
      <c r="D534" s="69"/>
      <c r="E534" s="70"/>
      <c r="F534" s="67"/>
      <c r="G534" s="71"/>
      <c r="H534" s="121"/>
      <c r="I534" s="133"/>
      <c r="J534" s="134"/>
      <c r="K534" s="125"/>
      <c r="L534" s="74"/>
      <c r="M534" s="75"/>
      <c r="N534" s="76"/>
      <c r="O534" s="76"/>
      <c r="P534" s="83"/>
      <c r="Q534" s="76"/>
      <c r="R534" s="67"/>
      <c r="S534" s="68"/>
      <c r="T534" s="77"/>
      <c r="U534" s="78"/>
      <c r="V534" s="81"/>
      <c r="W534" s="80"/>
      <c r="X534" s="80"/>
      <c r="Y534" s="23"/>
      <c r="Z534" s="14"/>
      <c r="AA534" s="14"/>
      <c r="AB534" s="14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BB534" s="39"/>
    </row>
    <row r="535" spans="1:54" ht="15.6" x14ac:dyDescent="0.3">
      <c r="A535" s="158" t="s">
        <v>1787</v>
      </c>
      <c r="B535" s="69"/>
      <c r="C535" s="69"/>
      <c r="D535" s="69"/>
      <c r="E535" s="70"/>
      <c r="F535" s="67"/>
      <c r="G535" s="71"/>
      <c r="H535" s="119"/>
      <c r="I535" s="135"/>
      <c r="J535" s="134"/>
      <c r="K535" s="125"/>
      <c r="L535" s="74"/>
      <c r="M535" s="75"/>
      <c r="N535" s="76"/>
      <c r="O535" s="76"/>
      <c r="P535" s="76"/>
      <c r="Q535" s="76"/>
      <c r="R535" s="67"/>
      <c r="S535" s="68"/>
      <c r="T535" s="77"/>
      <c r="U535" s="78"/>
      <c r="V535" s="81"/>
      <c r="W535" s="80"/>
      <c r="X535" s="80"/>
      <c r="Y535" s="14"/>
      <c r="Z535" s="14"/>
      <c r="AA535" s="14"/>
      <c r="AB535" s="14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BB535" s="39"/>
    </row>
    <row r="536" spans="1:54" ht="15.6" x14ac:dyDescent="0.3">
      <c r="A536" s="158" t="s">
        <v>1787</v>
      </c>
      <c r="B536" s="69"/>
      <c r="C536" s="69"/>
      <c r="D536" s="69"/>
      <c r="E536" s="70"/>
      <c r="F536" s="67"/>
      <c r="G536" s="71"/>
      <c r="H536" s="119"/>
      <c r="I536" s="133"/>
      <c r="J536" s="134"/>
      <c r="K536" s="125"/>
      <c r="L536" s="74"/>
      <c r="M536" s="75"/>
      <c r="N536" s="76"/>
      <c r="O536" s="76"/>
      <c r="P536" s="76"/>
      <c r="Q536" s="76"/>
      <c r="R536" s="67"/>
      <c r="S536" s="68"/>
      <c r="T536" s="77"/>
      <c r="U536" s="78"/>
      <c r="V536" s="81"/>
      <c r="W536" s="80"/>
      <c r="X536" s="80"/>
      <c r="Y536" s="23"/>
      <c r="Z536" s="14"/>
      <c r="AA536" s="14"/>
      <c r="AB536" s="14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BB536" s="39"/>
    </row>
    <row r="537" spans="1:54" ht="15.6" x14ac:dyDescent="0.3">
      <c r="A537" s="158" t="s">
        <v>1787</v>
      </c>
      <c r="B537" s="69"/>
      <c r="C537" s="69"/>
      <c r="D537" s="69"/>
      <c r="E537" s="70"/>
      <c r="F537" s="67"/>
      <c r="G537" s="71"/>
      <c r="H537" s="121"/>
      <c r="I537" s="135"/>
      <c r="J537" s="134"/>
      <c r="K537" s="125"/>
      <c r="L537" s="74"/>
      <c r="M537" s="75"/>
      <c r="N537" s="76"/>
      <c r="O537" s="76"/>
      <c r="P537" s="83"/>
      <c r="Q537" s="76"/>
      <c r="R537" s="67"/>
      <c r="S537" s="68"/>
      <c r="T537" s="77"/>
      <c r="U537" s="78"/>
      <c r="V537" s="81"/>
      <c r="W537" s="80"/>
      <c r="X537" s="80"/>
      <c r="Y537" s="14"/>
      <c r="Z537" s="14"/>
      <c r="AA537" s="14"/>
      <c r="AB537" s="14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BB537" s="39"/>
    </row>
    <row r="538" spans="1:54" ht="15.6" x14ac:dyDescent="0.3">
      <c r="A538" s="158" t="s">
        <v>1787</v>
      </c>
      <c r="B538" s="69"/>
      <c r="C538" s="69"/>
      <c r="D538" s="69"/>
      <c r="E538" s="70"/>
      <c r="F538" s="67"/>
      <c r="G538" s="71"/>
      <c r="H538" s="121"/>
      <c r="I538" s="135"/>
      <c r="J538" s="134"/>
      <c r="K538" s="125"/>
      <c r="L538" s="74"/>
      <c r="M538" s="75"/>
      <c r="N538" s="76"/>
      <c r="O538" s="76"/>
      <c r="P538" s="83"/>
      <c r="Q538" s="76"/>
      <c r="R538" s="67"/>
      <c r="S538" s="68"/>
      <c r="T538" s="77"/>
      <c r="U538" s="78"/>
      <c r="V538" s="81"/>
      <c r="W538" s="80"/>
      <c r="X538" s="80"/>
      <c r="Y538" s="14"/>
      <c r="Z538" s="14"/>
      <c r="AA538" s="14"/>
      <c r="AB538" s="14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BB538" s="39"/>
    </row>
    <row r="539" spans="1:54" ht="15.6" x14ac:dyDescent="0.3">
      <c r="A539" s="158" t="s">
        <v>1787</v>
      </c>
      <c r="B539" s="69"/>
      <c r="C539" s="69"/>
      <c r="D539" s="69"/>
      <c r="E539" s="70"/>
      <c r="F539" s="67"/>
      <c r="G539" s="71"/>
      <c r="H539" s="121"/>
      <c r="I539" s="133"/>
      <c r="J539" s="134"/>
      <c r="K539" s="125"/>
      <c r="L539" s="74"/>
      <c r="M539" s="75"/>
      <c r="N539" s="76"/>
      <c r="O539" s="76"/>
      <c r="P539" s="83"/>
      <c r="Q539" s="76"/>
      <c r="R539" s="67"/>
      <c r="S539" s="68"/>
      <c r="T539" s="77"/>
      <c r="U539" s="78"/>
      <c r="V539" s="81"/>
      <c r="W539" s="80"/>
      <c r="X539" s="80"/>
      <c r="Y539" s="14"/>
      <c r="Z539" s="14"/>
      <c r="AA539" s="14"/>
      <c r="AB539" s="14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BB539" s="39"/>
    </row>
    <row r="540" spans="1:54" ht="15.6" x14ac:dyDescent="0.3">
      <c r="A540" s="158" t="s">
        <v>1787</v>
      </c>
      <c r="B540" s="69"/>
      <c r="C540" s="69"/>
      <c r="D540" s="69"/>
      <c r="E540" s="70"/>
      <c r="F540" s="67"/>
      <c r="G540" s="71"/>
      <c r="H540" s="119"/>
      <c r="I540" s="133"/>
      <c r="J540" s="134"/>
      <c r="K540" s="125"/>
      <c r="L540" s="74"/>
      <c r="M540" s="75"/>
      <c r="N540" s="76"/>
      <c r="O540" s="76"/>
      <c r="P540" s="76"/>
      <c r="Q540" s="76"/>
      <c r="R540" s="67"/>
      <c r="S540" s="68"/>
      <c r="T540" s="77"/>
      <c r="U540" s="78"/>
      <c r="V540" s="81"/>
      <c r="W540" s="80"/>
      <c r="X540" s="80"/>
      <c r="Y540" s="14"/>
      <c r="Z540" s="14"/>
      <c r="AA540" s="14"/>
      <c r="AB540" s="14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BB540" s="39"/>
    </row>
    <row r="541" spans="1:54" ht="15.6" x14ac:dyDescent="0.3">
      <c r="A541" s="158" t="s">
        <v>1787</v>
      </c>
      <c r="B541" s="69"/>
      <c r="C541" s="69"/>
      <c r="D541" s="69"/>
      <c r="E541" s="70"/>
      <c r="F541" s="67"/>
      <c r="G541" s="71"/>
      <c r="H541" s="119"/>
      <c r="I541" s="133"/>
      <c r="J541" s="134"/>
      <c r="K541" s="125"/>
      <c r="L541" s="74"/>
      <c r="M541" s="75"/>
      <c r="N541" s="76"/>
      <c r="O541" s="76"/>
      <c r="P541" s="76"/>
      <c r="Q541" s="76"/>
      <c r="R541" s="67"/>
      <c r="S541" s="68"/>
      <c r="T541" s="77"/>
      <c r="U541" s="78"/>
      <c r="V541" s="81"/>
      <c r="W541" s="80"/>
      <c r="X541" s="80"/>
      <c r="Y541" s="14"/>
      <c r="Z541" s="14"/>
      <c r="AA541" s="14"/>
      <c r="AB541" s="14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BB541" s="39"/>
    </row>
    <row r="542" spans="1:54" ht="15.6" x14ac:dyDescent="0.3">
      <c r="A542" s="158" t="s">
        <v>1787</v>
      </c>
      <c r="B542" s="69"/>
      <c r="C542" s="69"/>
      <c r="D542" s="69"/>
      <c r="E542" s="70"/>
      <c r="F542" s="67"/>
      <c r="G542" s="71"/>
      <c r="H542" s="119"/>
      <c r="I542" s="133"/>
      <c r="J542" s="134"/>
      <c r="K542" s="125"/>
      <c r="L542" s="74"/>
      <c r="M542" s="75"/>
      <c r="N542" s="76"/>
      <c r="O542" s="76"/>
      <c r="P542" s="83"/>
      <c r="Q542" s="76"/>
      <c r="R542" s="67"/>
      <c r="S542" s="68"/>
      <c r="T542" s="77"/>
      <c r="U542" s="78"/>
      <c r="V542" s="81"/>
      <c r="W542" s="80"/>
      <c r="X542" s="80"/>
      <c r="Y542" s="14"/>
      <c r="Z542" s="14"/>
      <c r="AA542" s="14"/>
      <c r="AB542" s="14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BB542" s="39"/>
    </row>
    <row r="543" spans="1:54" ht="15.6" x14ac:dyDescent="0.3">
      <c r="A543" s="158" t="s">
        <v>1787</v>
      </c>
      <c r="B543" s="69"/>
      <c r="C543" s="69"/>
      <c r="D543" s="69"/>
      <c r="E543" s="70"/>
      <c r="F543" s="67"/>
      <c r="G543" s="71"/>
      <c r="H543" s="119"/>
      <c r="I543" s="133"/>
      <c r="J543" s="134"/>
      <c r="K543" s="125"/>
      <c r="L543" s="74"/>
      <c r="M543" s="75"/>
      <c r="N543" s="76"/>
      <c r="O543" s="76"/>
      <c r="P543" s="83"/>
      <c r="Q543" s="83"/>
      <c r="R543" s="67"/>
      <c r="S543" s="68"/>
      <c r="T543" s="77"/>
      <c r="U543" s="78"/>
      <c r="V543" s="81"/>
      <c r="W543" s="80"/>
      <c r="X543" s="80"/>
      <c r="Y543" s="14"/>
      <c r="Z543" s="14"/>
      <c r="AA543" s="14"/>
      <c r="AB543" s="14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BB543" s="39"/>
    </row>
    <row r="544" spans="1:54" ht="15.6" x14ac:dyDescent="0.3">
      <c r="A544" s="158" t="s">
        <v>1787</v>
      </c>
      <c r="B544" s="69"/>
      <c r="C544" s="69"/>
      <c r="D544" s="69"/>
      <c r="E544" s="70"/>
      <c r="F544" s="67"/>
      <c r="G544" s="71"/>
      <c r="H544" s="119"/>
      <c r="I544" s="133"/>
      <c r="J544" s="134"/>
      <c r="K544" s="125"/>
      <c r="L544" s="74"/>
      <c r="M544" s="75"/>
      <c r="N544" s="76"/>
      <c r="O544" s="76"/>
      <c r="P544" s="83"/>
      <c r="Q544" s="83"/>
      <c r="R544" s="67"/>
      <c r="S544" s="68"/>
      <c r="T544" s="77"/>
      <c r="U544" s="78"/>
      <c r="V544" s="81"/>
      <c r="W544" s="80"/>
      <c r="X544" s="80"/>
      <c r="Y544" s="14"/>
      <c r="Z544" s="14"/>
      <c r="AA544" s="14"/>
      <c r="AB544" s="14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BB544" s="39"/>
    </row>
    <row r="545" spans="1:54" ht="15.6" x14ac:dyDescent="0.3">
      <c r="A545" s="158" t="s">
        <v>1787</v>
      </c>
      <c r="B545" s="69"/>
      <c r="C545" s="69"/>
      <c r="D545" s="69"/>
      <c r="E545" s="70"/>
      <c r="F545" s="67"/>
      <c r="G545" s="71"/>
      <c r="H545" s="119"/>
      <c r="I545" s="135"/>
      <c r="J545" s="134"/>
      <c r="K545" s="125"/>
      <c r="L545" s="74"/>
      <c r="M545" s="75"/>
      <c r="N545" s="76"/>
      <c r="O545" s="76"/>
      <c r="P545" s="83"/>
      <c r="Q545" s="83"/>
      <c r="R545" s="67"/>
      <c r="S545" s="68"/>
      <c r="T545" s="77"/>
      <c r="U545" s="78"/>
      <c r="V545" s="81"/>
      <c r="W545" s="80"/>
      <c r="X545" s="80"/>
      <c r="Y545" s="14"/>
      <c r="Z545" s="14"/>
      <c r="AA545" s="14"/>
      <c r="AB545" s="14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BB545" s="39"/>
    </row>
    <row r="546" spans="1:54" ht="15.6" x14ac:dyDescent="0.3">
      <c r="A546" s="158" t="s">
        <v>1787</v>
      </c>
      <c r="B546" s="69"/>
      <c r="C546" s="69"/>
      <c r="D546" s="69"/>
      <c r="E546" s="70"/>
      <c r="F546" s="67"/>
      <c r="G546" s="71"/>
      <c r="H546" s="119"/>
      <c r="I546" s="133"/>
      <c r="J546" s="134"/>
      <c r="K546" s="125"/>
      <c r="L546" s="74"/>
      <c r="M546" s="75"/>
      <c r="N546" s="76"/>
      <c r="O546" s="76"/>
      <c r="P546" s="83"/>
      <c r="Q546" s="83"/>
      <c r="R546" s="67"/>
      <c r="S546" s="68"/>
      <c r="T546" s="77"/>
      <c r="U546" s="78"/>
      <c r="V546" s="81"/>
      <c r="W546" s="80"/>
      <c r="X546" s="80"/>
      <c r="Y546" s="14"/>
      <c r="Z546" s="14"/>
      <c r="AA546" s="14"/>
      <c r="AB546" s="14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BB546" s="39"/>
    </row>
    <row r="547" spans="1:54" ht="15.6" x14ac:dyDescent="0.3">
      <c r="A547" s="158" t="s">
        <v>1787</v>
      </c>
      <c r="B547" s="69"/>
      <c r="C547" s="69"/>
      <c r="D547" s="69"/>
      <c r="E547" s="70"/>
      <c r="F547" s="67"/>
      <c r="G547" s="71"/>
      <c r="H547" s="119"/>
      <c r="I547" s="133"/>
      <c r="J547" s="134"/>
      <c r="K547" s="125"/>
      <c r="L547" s="74"/>
      <c r="M547" s="75"/>
      <c r="N547" s="76"/>
      <c r="O547" s="76"/>
      <c r="P547" s="76"/>
      <c r="Q547" s="76"/>
      <c r="R547" s="67"/>
      <c r="S547" s="68"/>
      <c r="T547" s="77"/>
      <c r="U547" s="78"/>
      <c r="V547" s="81"/>
      <c r="W547" s="80"/>
      <c r="X547" s="80"/>
      <c r="Y547" s="14"/>
      <c r="Z547" s="14"/>
      <c r="AA547" s="14"/>
      <c r="AB547" s="14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BB547" s="39"/>
    </row>
    <row r="548" spans="1:54" ht="15.6" x14ac:dyDescent="0.3">
      <c r="A548" s="158" t="s">
        <v>1787</v>
      </c>
      <c r="B548" s="69"/>
      <c r="C548" s="69"/>
      <c r="D548" s="69"/>
      <c r="E548" s="70"/>
      <c r="F548" s="67"/>
      <c r="G548" s="71"/>
      <c r="H548" s="119"/>
      <c r="I548" s="133"/>
      <c r="J548" s="134"/>
      <c r="K548" s="127"/>
      <c r="L548" s="74"/>
      <c r="M548" s="75"/>
      <c r="N548" s="76"/>
      <c r="O548" s="76"/>
      <c r="P548" s="76"/>
      <c r="Q548" s="76"/>
      <c r="R548" s="67"/>
      <c r="S548" s="68"/>
      <c r="T548" s="77"/>
      <c r="U548" s="78"/>
      <c r="V548" s="81"/>
      <c r="W548" s="80"/>
      <c r="X548" s="80"/>
      <c r="Y548" s="14"/>
      <c r="Z548" s="14"/>
      <c r="AA548" s="14"/>
      <c r="AB548" s="14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BB548" s="39"/>
    </row>
    <row r="549" spans="1:54" ht="15.6" x14ac:dyDescent="0.3">
      <c r="A549" s="158" t="s">
        <v>1787</v>
      </c>
      <c r="B549" s="69"/>
      <c r="C549" s="69"/>
      <c r="D549" s="69"/>
      <c r="E549" s="70"/>
      <c r="F549" s="67"/>
      <c r="G549" s="71"/>
      <c r="H549" s="119"/>
      <c r="I549" s="133"/>
      <c r="J549" s="134"/>
      <c r="K549" s="125"/>
      <c r="L549" s="74"/>
      <c r="M549" s="75"/>
      <c r="N549" s="76"/>
      <c r="O549" s="76"/>
      <c r="P549" s="83"/>
      <c r="Q549" s="83"/>
      <c r="R549" s="67"/>
      <c r="S549" s="68"/>
      <c r="T549" s="77"/>
      <c r="U549" s="78"/>
      <c r="V549" s="81"/>
      <c r="W549" s="80"/>
      <c r="X549" s="80"/>
      <c r="Y549" s="14"/>
      <c r="Z549" s="14"/>
      <c r="AA549" s="14"/>
      <c r="AB549" s="14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BB549" s="39"/>
    </row>
    <row r="550" spans="1:54" ht="15.6" x14ac:dyDescent="0.3">
      <c r="A550" s="158" t="s">
        <v>1787</v>
      </c>
      <c r="B550" s="69"/>
      <c r="C550" s="69"/>
      <c r="D550" s="69"/>
      <c r="E550" s="70"/>
      <c r="F550" s="67"/>
      <c r="G550" s="71"/>
      <c r="H550" s="119"/>
      <c r="I550" s="133"/>
      <c r="J550" s="134"/>
      <c r="K550" s="125"/>
      <c r="L550" s="74"/>
      <c r="M550" s="75"/>
      <c r="N550" s="76"/>
      <c r="O550" s="76"/>
      <c r="P550" s="83"/>
      <c r="Q550" s="83"/>
      <c r="R550" s="67"/>
      <c r="S550" s="68"/>
      <c r="T550" s="77"/>
      <c r="U550" s="78"/>
      <c r="V550" s="81"/>
      <c r="W550" s="80"/>
      <c r="X550" s="80"/>
      <c r="Y550" s="14"/>
      <c r="Z550" s="14"/>
      <c r="AA550" s="14"/>
      <c r="AB550" s="14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BB550" s="39"/>
    </row>
    <row r="551" spans="1:54" ht="15.6" x14ac:dyDescent="0.3">
      <c r="A551" s="158" t="s">
        <v>1787</v>
      </c>
      <c r="B551" s="69"/>
      <c r="C551" s="69"/>
      <c r="D551" s="69"/>
      <c r="E551" s="70"/>
      <c r="F551" s="67"/>
      <c r="G551" s="71"/>
      <c r="H551" s="119"/>
      <c r="I551" s="135"/>
      <c r="J551" s="134"/>
      <c r="K551" s="125"/>
      <c r="L551" s="74"/>
      <c r="M551" s="75"/>
      <c r="N551" s="76"/>
      <c r="O551" s="76"/>
      <c r="P551" s="83"/>
      <c r="Q551" s="83"/>
      <c r="R551" s="67"/>
      <c r="S551" s="68"/>
      <c r="T551" s="77"/>
      <c r="U551" s="78"/>
      <c r="V551" s="81"/>
      <c r="W551" s="80"/>
      <c r="X551" s="80"/>
      <c r="Y551" s="14"/>
      <c r="Z551" s="14"/>
      <c r="AA551" s="14"/>
      <c r="AB551" s="14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BB551" s="39"/>
    </row>
    <row r="552" spans="1:54" ht="15.6" x14ac:dyDescent="0.3">
      <c r="A552" s="158" t="s">
        <v>1787</v>
      </c>
      <c r="B552" s="148"/>
      <c r="C552" s="69"/>
      <c r="D552" s="69"/>
      <c r="E552" s="95"/>
      <c r="F552" s="67"/>
      <c r="G552" s="71"/>
      <c r="H552" s="119"/>
      <c r="I552" s="133"/>
      <c r="J552" s="134"/>
      <c r="K552" s="125"/>
      <c r="L552" s="74"/>
      <c r="M552" s="96"/>
      <c r="N552" s="76"/>
      <c r="O552" s="76"/>
      <c r="P552" s="83"/>
      <c r="Q552" s="83"/>
      <c r="R552" s="67"/>
      <c r="S552" s="68"/>
      <c r="T552" s="77"/>
      <c r="U552" s="78"/>
      <c r="V552" s="81"/>
      <c r="W552" s="80"/>
      <c r="X552" s="80"/>
      <c r="Y552" s="23"/>
      <c r="Z552" s="14"/>
      <c r="AA552" s="14"/>
      <c r="AB552" s="14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BB552" s="39"/>
    </row>
    <row r="553" spans="1:54" ht="15.6" x14ac:dyDescent="0.3">
      <c r="A553" s="158" t="s">
        <v>1787</v>
      </c>
      <c r="B553" s="69"/>
      <c r="C553" s="69"/>
      <c r="D553" s="69"/>
      <c r="E553" s="70"/>
      <c r="F553" s="67"/>
      <c r="G553" s="71"/>
      <c r="H553" s="119"/>
      <c r="I553" s="133"/>
      <c r="J553" s="134"/>
      <c r="K553" s="125"/>
      <c r="L553" s="74"/>
      <c r="M553" s="75"/>
      <c r="N553" s="76"/>
      <c r="O553" s="76"/>
      <c r="P553" s="83"/>
      <c r="Q553" s="83"/>
      <c r="R553" s="67"/>
      <c r="S553" s="68"/>
      <c r="T553" s="77"/>
      <c r="U553" s="78"/>
      <c r="V553" s="81"/>
      <c r="W553" s="80"/>
      <c r="X553" s="80"/>
      <c r="Y553" s="14"/>
      <c r="Z553" s="14"/>
      <c r="AA553" s="14"/>
      <c r="AB553" s="14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BB553" s="39"/>
    </row>
    <row r="554" spans="1:54" ht="15.6" x14ac:dyDescent="0.3">
      <c r="A554" s="158" t="s">
        <v>1787</v>
      </c>
      <c r="B554" s="69"/>
      <c r="C554" s="69"/>
      <c r="D554" s="69"/>
      <c r="E554" s="70"/>
      <c r="F554" s="67"/>
      <c r="G554" s="71"/>
      <c r="H554" s="119"/>
      <c r="I554" s="133"/>
      <c r="J554" s="134"/>
      <c r="K554" s="125"/>
      <c r="L554" s="74"/>
      <c r="M554" s="75"/>
      <c r="N554" s="76"/>
      <c r="O554" s="76"/>
      <c r="P554" s="83"/>
      <c r="Q554" s="83"/>
      <c r="R554" s="67"/>
      <c r="S554" s="68"/>
      <c r="T554" s="77"/>
      <c r="U554" s="78"/>
      <c r="V554" s="81"/>
      <c r="W554" s="80"/>
      <c r="X554" s="80"/>
      <c r="Y554" s="14"/>
      <c r="Z554" s="14"/>
      <c r="AA554" s="14"/>
      <c r="AB554" s="14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BB554" s="39"/>
    </row>
    <row r="555" spans="1:54" ht="15.6" x14ac:dyDescent="0.3">
      <c r="A555" s="158" t="s">
        <v>1787</v>
      </c>
      <c r="B555" s="69"/>
      <c r="C555" s="69"/>
      <c r="D555" s="69"/>
      <c r="E555" s="70"/>
      <c r="F555" s="67"/>
      <c r="G555" s="71"/>
      <c r="H555" s="119"/>
      <c r="I555" s="135"/>
      <c r="J555" s="134"/>
      <c r="K555" s="125"/>
      <c r="L555" s="74"/>
      <c r="M555" s="75"/>
      <c r="N555" s="76"/>
      <c r="O555" s="76"/>
      <c r="P555" s="83"/>
      <c r="Q555" s="83"/>
      <c r="R555" s="67"/>
      <c r="S555" s="68"/>
      <c r="T555" s="77"/>
      <c r="U555" s="78"/>
      <c r="V555" s="81"/>
      <c r="W555" s="80"/>
      <c r="X555" s="80"/>
      <c r="Y555" s="14"/>
      <c r="Z555" s="14"/>
      <c r="AA555" s="14"/>
      <c r="AB555" s="14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BB555" s="39"/>
    </row>
    <row r="556" spans="1:54" ht="15.6" x14ac:dyDescent="0.3">
      <c r="A556" s="158" t="s">
        <v>1787</v>
      </c>
      <c r="B556" s="69"/>
      <c r="C556" s="69"/>
      <c r="D556" s="69"/>
      <c r="E556" s="70"/>
      <c r="F556" s="67"/>
      <c r="G556" s="71"/>
      <c r="H556" s="119"/>
      <c r="I556" s="133"/>
      <c r="J556" s="134"/>
      <c r="K556" s="125"/>
      <c r="L556" s="74"/>
      <c r="M556" s="75"/>
      <c r="N556" s="76"/>
      <c r="O556" s="76"/>
      <c r="P556" s="76"/>
      <c r="Q556" s="76"/>
      <c r="R556" s="67"/>
      <c r="S556" s="68"/>
      <c r="T556" s="77"/>
      <c r="U556" s="78"/>
      <c r="V556" s="81"/>
      <c r="W556" s="80"/>
      <c r="X556" s="80"/>
      <c r="Y556" s="14"/>
      <c r="Z556" s="14"/>
      <c r="AA556" s="14"/>
      <c r="AB556" s="14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BB556" s="39"/>
    </row>
    <row r="557" spans="1:54" ht="15.6" x14ac:dyDescent="0.3">
      <c r="A557" s="158" t="s">
        <v>1787</v>
      </c>
      <c r="B557" s="69"/>
      <c r="C557" s="69"/>
      <c r="D557" s="69"/>
      <c r="E557" s="70"/>
      <c r="F557" s="67"/>
      <c r="G557" s="71"/>
      <c r="H557" s="119"/>
      <c r="I557" s="133"/>
      <c r="J557" s="134"/>
      <c r="K557" s="125"/>
      <c r="L557" s="74"/>
      <c r="M557" s="75"/>
      <c r="N557" s="76"/>
      <c r="O557" s="76"/>
      <c r="P557" s="83"/>
      <c r="Q557" s="83"/>
      <c r="R557" s="67"/>
      <c r="S557" s="68"/>
      <c r="T557" s="77"/>
      <c r="U557" s="78"/>
      <c r="V557" s="81"/>
      <c r="W557" s="80"/>
      <c r="X557" s="80"/>
      <c r="Y557" s="14"/>
      <c r="Z557" s="14"/>
      <c r="AA557" s="14"/>
      <c r="AB557" s="14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BB557" s="39"/>
    </row>
    <row r="558" spans="1:54" ht="15.6" x14ac:dyDescent="0.3">
      <c r="A558" s="158" t="s">
        <v>1787</v>
      </c>
      <c r="B558" s="69"/>
      <c r="C558" s="69"/>
      <c r="D558" s="69"/>
      <c r="E558" s="70"/>
      <c r="F558" s="67"/>
      <c r="G558" s="71"/>
      <c r="H558" s="119"/>
      <c r="I558" s="133"/>
      <c r="J558" s="134"/>
      <c r="K558" s="125"/>
      <c r="L558" s="74"/>
      <c r="M558" s="75"/>
      <c r="N558" s="76"/>
      <c r="O558" s="76"/>
      <c r="P558" s="83"/>
      <c r="Q558" s="83"/>
      <c r="R558" s="67"/>
      <c r="S558" s="68"/>
      <c r="T558" s="77"/>
      <c r="U558" s="78"/>
      <c r="V558" s="81"/>
      <c r="W558" s="80"/>
      <c r="X558" s="80"/>
      <c r="Y558" s="14"/>
      <c r="Z558" s="14"/>
      <c r="AA558" s="14"/>
      <c r="AB558" s="14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BB558" s="39"/>
    </row>
    <row r="559" spans="1:54" ht="15.6" x14ac:dyDescent="0.3">
      <c r="A559" s="158" t="s">
        <v>1787</v>
      </c>
      <c r="B559" s="69"/>
      <c r="C559" s="69"/>
      <c r="D559" s="69"/>
      <c r="E559" s="70"/>
      <c r="F559" s="67"/>
      <c r="G559" s="71"/>
      <c r="H559" s="119"/>
      <c r="I559" s="133"/>
      <c r="J559" s="134"/>
      <c r="K559" s="125"/>
      <c r="L559" s="74"/>
      <c r="M559" s="75"/>
      <c r="N559" s="76"/>
      <c r="O559" s="76"/>
      <c r="P559" s="83"/>
      <c r="Q559" s="83"/>
      <c r="R559" s="67"/>
      <c r="S559" s="68"/>
      <c r="T559" s="77"/>
      <c r="U559" s="78"/>
      <c r="V559" s="81"/>
      <c r="W559" s="80"/>
      <c r="X559" s="80"/>
      <c r="Y559" s="14"/>
      <c r="Z559" s="14"/>
      <c r="AA559" s="14"/>
      <c r="AB559" s="14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BB559" s="39"/>
    </row>
    <row r="560" spans="1:54" ht="15.6" x14ac:dyDescent="0.3">
      <c r="A560" s="158" t="s">
        <v>1787</v>
      </c>
      <c r="B560" s="69"/>
      <c r="C560" s="69"/>
      <c r="D560" s="69"/>
      <c r="E560" s="70"/>
      <c r="F560" s="67"/>
      <c r="G560" s="71"/>
      <c r="H560" s="119"/>
      <c r="I560" s="135"/>
      <c r="J560" s="134"/>
      <c r="K560" s="125"/>
      <c r="L560" s="74"/>
      <c r="M560" s="75"/>
      <c r="N560" s="76"/>
      <c r="O560" s="76"/>
      <c r="P560" s="83"/>
      <c r="Q560" s="83"/>
      <c r="R560" s="67"/>
      <c r="S560" s="68"/>
      <c r="T560" s="77"/>
      <c r="U560" s="78"/>
      <c r="V560" s="81"/>
      <c r="W560" s="80"/>
      <c r="X560" s="80"/>
      <c r="Y560" s="14"/>
      <c r="Z560" s="14"/>
      <c r="AA560" s="14"/>
      <c r="AB560" s="14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BB560" s="39"/>
    </row>
    <row r="561" spans="1:54" ht="15.6" x14ac:dyDescent="0.3">
      <c r="A561" s="158" t="s">
        <v>1787</v>
      </c>
      <c r="B561" s="69"/>
      <c r="C561" s="69"/>
      <c r="D561" s="69"/>
      <c r="E561" s="70"/>
      <c r="F561" s="67"/>
      <c r="G561" s="71"/>
      <c r="H561" s="119"/>
      <c r="I561" s="133"/>
      <c r="J561" s="134"/>
      <c r="K561" s="125"/>
      <c r="L561" s="74"/>
      <c r="M561" s="75"/>
      <c r="N561" s="76"/>
      <c r="O561" s="76"/>
      <c r="P561" s="83"/>
      <c r="Q561" s="83"/>
      <c r="R561" s="67"/>
      <c r="S561" s="68"/>
      <c r="T561" s="77"/>
      <c r="U561" s="78"/>
      <c r="V561" s="81"/>
      <c r="W561" s="80"/>
      <c r="X561" s="80"/>
      <c r="Y561" s="14"/>
      <c r="Z561" s="14"/>
      <c r="AA561" s="14"/>
      <c r="AB561" s="14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BB561" s="39"/>
    </row>
    <row r="562" spans="1:54" ht="15.6" x14ac:dyDescent="0.3">
      <c r="A562" s="158" t="s">
        <v>1787</v>
      </c>
      <c r="B562" s="69"/>
      <c r="C562" s="69"/>
      <c r="D562" s="69"/>
      <c r="E562" s="70"/>
      <c r="F562" s="67"/>
      <c r="G562" s="71"/>
      <c r="H562" s="119"/>
      <c r="I562" s="133"/>
      <c r="J562" s="134"/>
      <c r="K562" s="125"/>
      <c r="L562" s="74"/>
      <c r="M562" s="75"/>
      <c r="N562" s="76"/>
      <c r="O562" s="76"/>
      <c r="P562" s="76"/>
      <c r="Q562" s="76"/>
      <c r="R562" s="67"/>
      <c r="S562" s="68"/>
      <c r="T562" s="77"/>
      <c r="U562" s="78"/>
      <c r="V562" s="81"/>
      <c r="W562" s="80"/>
      <c r="X562" s="80"/>
      <c r="Y562" s="14"/>
      <c r="Z562" s="14"/>
      <c r="AA562" s="14"/>
      <c r="AB562" s="14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BB562" s="39"/>
    </row>
    <row r="563" spans="1:54" ht="15.6" x14ac:dyDescent="0.3">
      <c r="A563" s="158" t="s">
        <v>1787</v>
      </c>
      <c r="B563" s="69"/>
      <c r="C563" s="69"/>
      <c r="D563" s="69"/>
      <c r="E563" s="70"/>
      <c r="F563" s="67"/>
      <c r="G563" s="71"/>
      <c r="H563" s="119"/>
      <c r="I563" s="135"/>
      <c r="J563" s="134"/>
      <c r="K563" s="125"/>
      <c r="L563" s="74"/>
      <c r="M563" s="75"/>
      <c r="N563" s="76"/>
      <c r="O563" s="76"/>
      <c r="P563" s="76"/>
      <c r="Q563" s="76"/>
      <c r="R563" s="67"/>
      <c r="S563" s="68"/>
      <c r="T563" s="77"/>
      <c r="U563" s="78"/>
      <c r="V563" s="81"/>
      <c r="W563" s="80"/>
      <c r="X563" s="80"/>
      <c r="Y563" s="14"/>
      <c r="Z563" s="14"/>
      <c r="AA563" s="14"/>
      <c r="AB563" s="14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BB563" s="39"/>
    </row>
    <row r="564" spans="1:54" ht="15.6" x14ac:dyDescent="0.3">
      <c r="A564" s="158" t="s">
        <v>1787</v>
      </c>
      <c r="B564" s="69"/>
      <c r="C564" s="69"/>
      <c r="D564" s="69"/>
      <c r="E564" s="70"/>
      <c r="F564" s="67"/>
      <c r="G564" s="71"/>
      <c r="H564" s="119"/>
      <c r="I564" s="135"/>
      <c r="J564" s="134"/>
      <c r="K564" s="125"/>
      <c r="L564" s="74"/>
      <c r="M564" s="75"/>
      <c r="N564" s="76"/>
      <c r="O564" s="76"/>
      <c r="P564" s="76"/>
      <c r="Q564" s="76"/>
      <c r="R564" s="67"/>
      <c r="S564" s="68"/>
      <c r="T564" s="77"/>
      <c r="U564" s="78"/>
      <c r="V564" s="81"/>
      <c r="W564" s="80"/>
      <c r="X564" s="80"/>
      <c r="Y564" s="14"/>
      <c r="Z564" s="14"/>
      <c r="AA564" s="14"/>
      <c r="AB564" s="14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BB564" s="39"/>
    </row>
    <row r="565" spans="1:54" ht="15.6" x14ac:dyDescent="0.3">
      <c r="A565" s="158" t="s">
        <v>1787</v>
      </c>
      <c r="B565" s="69"/>
      <c r="C565" s="69"/>
      <c r="D565" s="69"/>
      <c r="E565" s="70"/>
      <c r="F565" s="67"/>
      <c r="G565" s="71"/>
      <c r="H565" s="119"/>
      <c r="I565" s="133"/>
      <c r="J565" s="134"/>
      <c r="K565" s="125"/>
      <c r="L565" s="74"/>
      <c r="M565" s="75"/>
      <c r="N565" s="76"/>
      <c r="O565" s="76"/>
      <c r="P565" s="83"/>
      <c r="Q565" s="83"/>
      <c r="R565" s="67"/>
      <c r="S565" s="68"/>
      <c r="T565" s="77"/>
      <c r="U565" s="78"/>
      <c r="V565" s="81"/>
      <c r="W565" s="80"/>
      <c r="X565" s="80"/>
      <c r="Y565" s="14"/>
      <c r="Z565" s="14"/>
      <c r="AA565" s="14"/>
      <c r="AB565" s="14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BB565" s="39"/>
    </row>
    <row r="566" spans="1:54" ht="15.6" x14ac:dyDescent="0.3">
      <c r="A566" s="158" t="s">
        <v>1787</v>
      </c>
      <c r="B566" s="69"/>
      <c r="C566" s="69"/>
      <c r="D566" s="69"/>
      <c r="E566" s="70"/>
      <c r="F566" s="67"/>
      <c r="G566" s="71"/>
      <c r="H566" s="119"/>
      <c r="I566" s="133"/>
      <c r="J566" s="134"/>
      <c r="K566" s="125"/>
      <c r="L566" s="74"/>
      <c r="M566" s="75"/>
      <c r="N566" s="76"/>
      <c r="O566" s="76"/>
      <c r="P566" s="83"/>
      <c r="Q566" s="83"/>
      <c r="R566" s="67"/>
      <c r="S566" s="68"/>
      <c r="T566" s="77"/>
      <c r="U566" s="78"/>
      <c r="V566" s="81"/>
      <c r="W566" s="80"/>
      <c r="X566" s="80"/>
      <c r="Y566" s="14"/>
      <c r="Z566" s="14"/>
      <c r="AA566" s="14"/>
      <c r="AB566" s="14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BB566" s="39"/>
    </row>
    <row r="567" spans="1:54" ht="15.6" x14ac:dyDescent="0.3">
      <c r="A567" s="158" t="s">
        <v>1787</v>
      </c>
      <c r="B567" s="69"/>
      <c r="C567" s="69"/>
      <c r="D567" s="69"/>
      <c r="E567" s="70"/>
      <c r="F567" s="67"/>
      <c r="G567" s="71"/>
      <c r="H567" s="119"/>
      <c r="I567" s="135"/>
      <c r="J567" s="134"/>
      <c r="K567" s="131"/>
      <c r="L567" s="74"/>
      <c r="M567" s="75"/>
      <c r="N567" s="76"/>
      <c r="O567" s="76"/>
      <c r="P567" s="83"/>
      <c r="Q567" s="83"/>
      <c r="R567" s="67"/>
      <c r="S567" s="68"/>
      <c r="T567" s="77"/>
      <c r="U567" s="78"/>
      <c r="V567" s="63"/>
      <c r="W567" s="80"/>
      <c r="X567" s="80"/>
      <c r="Y567" s="14"/>
      <c r="Z567" s="14"/>
      <c r="AA567" s="14"/>
      <c r="AB567" s="14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BB567" s="39"/>
    </row>
    <row r="568" spans="1:54" ht="15.6" x14ac:dyDescent="0.3">
      <c r="A568" s="158" t="s">
        <v>1787</v>
      </c>
      <c r="B568" s="69"/>
      <c r="C568" s="69"/>
      <c r="D568" s="69"/>
      <c r="E568" s="70"/>
      <c r="F568" s="67"/>
      <c r="G568" s="71"/>
      <c r="H568" s="119"/>
      <c r="I568" s="133"/>
      <c r="J568" s="134"/>
      <c r="K568" s="125"/>
      <c r="L568" s="74"/>
      <c r="M568" s="75"/>
      <c r="N568" s="76"/>
      <c r="O568" s="76"/>
      <c r="P568" s="83"/>
      <c r="Q568" s="83"/>
      <c r="R568" s="67"/>
      <c r="S568" s="68"/>
      <c r="T568" s="77"/>
      <c r="U568" s="78"/>
      <c r="V568" s="81"/>
      <c r="W568" s="80"/>
      <c r="X568" s="80"/>
      <c r="Y568" s="14"/>
      <c r="Z568" s="14"/>
      <c r="AA568" s="14"/>
      <c r="AB568" s="14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BB568" s="39"/>
    </row>
    <row r="569" spans="1:54" ht="15.6" x14ac:dyDescent="0.3">
      <c r="A569" s="158" t="s">
        <v>1787</v>
      </c>
      <c r="B569" s="69"/>
      <c r="C569" s="69"/>
      <c r="D569" s="69"/>
      <c r="E569" s="70"/>
      <c r="F569" s="67"/>
      <c r="G569" s="71"/>
      <c r="H569" s="119"/>
      <c r="I569" s="133"/>
      <c r="J569" s="134"/>
      <c r="K569" s="125"/>
      <c r="L569" s="74"/>
      <c r="M569" s="75"/>
      <c r="N569" s="76"/>
      <c r="O569" s="76"/>
      <c r="P569" s="83"/>
      <c r="Q569" s="83"/>
      <c r="R569" s="67"/>
      <c r="S569" s="68"/>
      <c r="T569" s="77"/>
      <c r="U569" s="78"/>
      <c r="V569" s="81"/>
      <c r="W569" s="80"/>
      <c r="X569" s="80"/>
      <c r="Y569" s="14"/>
      <c r="Z569" s="14"/>
      <c r="AA569" s="14"/>
      <c r="AB569" s="14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BB569" s="39"/>
    </row>
    <row r="570" spans="1:54" ht="15.6" x14ac:dyDescent="0.3">
      <c r="A570" s="158" t="s">
        <v>1787</v>
      </c>
      <c r="B570" s="69"/>
      <c r="C570" s="69"/>
      <c r="D570" s="69"/>
      <c r="E570" s="70"/>
      <c r="F570" s="67"/>
      <c r="G570" s="71"/>
      <c r="H570" s="119"/>
      <c r="I570" s="133"/>
      <c r="J570" s="134"/>
      <c r="K570" s="125"/>
      <c r="L570" s="74"/>
      <c r="M570" s="75"/>
      <c r="N570" s="76"/>
      <c r="O570" s="76"/>
      <c r="P570" s="83"/>
      <c r="Q570" s="83"/>
      <c r="R570" s="67"/>
      <c r="S570" s="68"/>
      <c r="T570" s="77"/>
      <c r="U570" s="78"/>
      <c r="V570" s="81"/>
      <c r="W570" s="80"/>
      <c r="X570" s="80"/>
      <c r="Y570" s="14"/>
      <c r="Z570" s="14"/>
      <c r="AA570" s="14"/>
      <c r="AB570" s="14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BB570" s="39"/>
    </row>
    <row r="571" spans="1:54" ht="15.6" x14ac:dyDescent="0.3">
      <c r="A571" s="158" t="s">
        <v>1787</v>
      </c>
      <c r="B571" s="69"/>
      <c r="C571" s="69"/>
      <c r="D571" s="69"/>
      <c r="E571" s="70"/>
      <c r="F571" s="67"/>
      <c r="G571" s="71"/>
      <c r="H571" s="119"/>
      <c r="I571" s="133"/>
      <c r="J571" s="134"/>
      <c r="K571" s="125"/>
      <c r="L571" s="74"/>
      <c r="M571" s="75"/>
      <c r="N571" s="76"/>
      <c r="O571" s="76"/>
      <c r="P571" s="83"/>
      <c r="Q571" s="83"/>
      <c r="R571" s="67"/>
      <c r="S571" s="68"/>
      <c r="T571" s="77"/>
      <c r="U571" s="78"/>
      <c r="V571" s="81"/>
      <c r="W571" s="80"/>
      <c r="X571" s="80"/>
      <c r="Y571" s="14"/>
      <c r="Z571" s="14"/>
      <c r="AA571" s="14"/>
      <c r="AB571" s="14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BB571" s="39"/>
    </row>
    <row r="572" spans="1:54" ht="15.6" x14ac:dyDescent="0.3">
      <c r="A572" s="158" t="s">
        <v>1787</v>
      </c>
      <c r="B572" s="69"/>
      <c r="C572" s="69"/>
      <c r="D572" s="69"/>
      <c r="E572" s="70"/>
      <c r="F572" s="67"/>
      <c r="G572" s="71"/>
      <c r="H572" s="119"/>
      <c r="I572" s="135"/>
      <c r="J572" s="134"/>
      <c r="K572" s="125"/>
      <c r="L572" s="74"/>
      <c r="M572" s="75"/>
      <c r="N572" s="76"/>
      <c r="O572" s="76"/>
      <c r="P572" s="83"/>
      <c r="Q572" s="83"/>
      <c r="R572" s="67"/>
      <c r="S572" s="68"/>
      <c r="T572" s="77"/>
      <c r="U572" s="78"/>
      <c r="V572" s="81"/>
      <c r="W572" s="80"/>
      <c r="X572" s="80"/>
      <c r="Y572" s="14"/>
      <c r="Z572" s="14"/>
      <c r="AA572" s="14"/>
      <c r="AB572" s="14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BB572" s="39"/>
    </row>
    <row r="573" spans="1:54" ht="15.6" x14ac:dyDescent="0.3">
      <c r="A573" s="158" t="s">
        <v>1787</v>
      </c>
      <c r="B573" s="69"/>
      <c r="C573" s="69"/>
      <c r="D573" s="69"/>
      <c r="E573" s="70"/>
      <c r="F573" s="67"/>
      <c r="G573" s="71"/>
      <c r="H573" s="119"/>
      <c r="I573" s="133"/>
      <c r="J573" s="134"/>
      <c r="K573" s="125"/>
      <c r="L573" s="74"/>
      <c r="M573" s="75"/>
      <c r="N573" s="76"/>
      <c r="O573" s="76"/>
      <c r="P573" s="83"/>
      <c r="Q573" s="76"/>
      <c r="R573" s="67"/>
      <c r="S573" s="68"/>
      <c r="T573" s="77"/>
      <c r="U573" s="78"/>
      <c r="V573" s="81"/>
      <c r="W573" s="80"/>
      <c r="X573" s="80"/>
      <c r="Y573" s="14"/>
      <c r="Z573" s="14"/>
      <c r="AA573" s="14"/>
      <c r="AB573" s="14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BB573" s="39"/>
    </row>
    <row r="574" spans="1:54" ht="15.6" x14ac:dyDescent="0.3">
      <c r="A574" s="158" t="s">
        <v>1787</v>
      </c>
      <c r="B574" s="69"/>
      <c r="C574" s="69"/>
      <c r="D574" s="69"/>
      <c r="E574" s="70"/>
      <c r="F574" s="67"/>
      <c r="G574" s="71"/>
      <c r="H574" s="119"/>
      <c r="I574" s="133"/>
      <c r="J574" s="134"/>
      <c r="K574" s="125"/>
      <c r="L574" s="74"/>
      <c r="M574" s="75"/>
      <c r="N574" s="76"/>
      <c r="O574" s="76"/>
      <c r="P574" s="83"/>
      <c r="Q574" s="83"/>
      <c r="R574" s="67"/>
      <c r="S574" s="68"/>
      <c r="T574" s="77"/>
      <c r="U574" s="78"/>
      <c r="V574" s="81"/>
      <c r="W574" s="80"/>
      <c r="X574" s="80"/>
      <c r="Y574" s="14"/>
      <c r="Z574" s="14"/>
      <c r="AA574" s="14"/>
      <c r="AB574" s="14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BB574" s="39"/>
    </row>
    <row r="575" spans="1:54" ht="15.6" x14ac:dyDescent="0.3">
      <c r="A575" s="158" t="s">
        <v>1787</v>
      </c>
      <c r="B575" s="69"/>
      <c r="C575" s="69"/>
      <c r="D575" s="69"/>
      <c r="E575" s="70"/>
      <c r="F575" s="67"/>
      <c r="G575" s="71"/>
      <c r="H575" s="119"/>
      <c r="I575" s="133"/>
      <c r="J575" s="134"/>
      <c r="K575" s="125"/>
      <c r="L575" s="74"/>
      <c r="M575" s="75"/>
      <c r="N575" s="76"/>
      <c r="O575" s="76"/>
      <c r="P575" s="83"/>
      <c r="Q575" s="83"/>
      <c r="R575" s="67"/>
      <c r="S575" s="68"/>
      <c r="T575" s="77"/>
      <c r="U575" s="78"/>
      <c r="V575" s="81"/>
      <c r="W575" s="80"/>
      <c r="X575" s="80"/>
      <c r="Y575" s="14"/>
      <c r="Z575" s="14"/>
      <c r="AA575" s="14"/>
      <c r="AB575" s="14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BB575" s="39"/>
    </row>
    <row r="576" spans="1:54" ht="15.6" x14ac:dyDescent="0.3">
      <c r="A576" s="158" t="s">
        <v>1787</v>
      </c>
      <c r="B576" s="69"/>
      <c r="C576" s="69"/>
      <c r="D576" s="69"/>
      <c r="E576" s="70"/>
      <c r="F576" s="67"/>
      <c r="G576" s="71"/>
      <c r="H576" s="119"/>
      <c r="I576" s="133"/>
      <c r="J576" s="134"/>
      <c r="K576" s="125"/>
      <c r="L576" s="74"/>
      <c r="M576" s="75"/>
      <c r="N576" s="76"/>
      <c r="O576" s="76"/>
      <c r="P576" s="83"/>
      <c r="Q576" s="83"/>
      <c r="R576" s="67"/>
      <c r="S576" s="68"/>
      <c r="T576" s="77"/>
      <c r="U576" s="78"/>
      <c r="V576" s="81"/>
      <c r="W576" s="80"/>
      <c r="X576" s="80"/>
      <c r="Y576" s="14"/>
      <c r="Z576" s="14"/>
      <c r="AA576" s="14"/>
      <c r="AB576" s="14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BB576" s="39"/>
    </row>
    <row r="577" spans="1:54" ht="15.6" x14ac:dyDescent="0.3">
      <c r="A577" s="158" t="s">
        <v>1787</v>
      </c>
      <c r="B577" s="69"/>
      <c r="C577" s="69"/>
      <c r="D577" s="69"/>
      <c r="E577" s="70"/>
      <c r="F577" s="67"/>
      <c r="G577" s="71"/>
      <c r="H577" s="119"/>
      <c r="I577" s="133"/>
      <c r="J577" s="134"/>
      <c r="K577" s="125"/>
      <c r="L577" s="74"/>
      <c r="M577" s="75"/>
      <c r="N577" s="76"/>
      <c r="O577" s="76"/>
      <c r="P577" s="83"/>
      <c r="Q577" s="83"/>
      <c r="R577" s="67"/>
      <c r="S577" s="68"/>
      <c r="T577" s="77"/>
      <c r="U577" s="78"/>
      <c r="V577" s="81"/>
      <c r="W577" s="80"/>
      <c r="X577" s="80"/>
      <c r="Y577" s="14"/>
      <c r="Z577" s="14"/>
      <c r="AA577" s="14"/>
      <c r="AB577" s="14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BB577" s="39"/>
    </row>
    <row r="578" spans="1:54" ht="15.6" x14ac:dyDescent="0.3">
      <c r="A578" s="158" t="s">
        <v>1787</v>
      </c>
      <c r="B578" s="69"/>
      <c r="C578" s="69"/>
      <c r="D578" s="69"/>
      <c r="E578" s="70"/>
      <c r="F578" s="67"/>
      <c r="G578" s="71"/>
      <c r="H578" s="119"/>
      <c r="I578" s="133"/>
      <c r="J578" s="134"/>
      <c r="K578" s="125"/>
      <c r="L578" s="74"/>
      <c r="M578" s="75"/>
      <c r="N578" s="76"/>
      <c r="O578" s="76"/>
      <c r="P578" s="83"/>
      <c r="Q578" s="83"/>
      <c r="R578" s="67"/>
      <c r="S578" s="68"/>
      <c r="T578" s="77"/>
      <c r="U578" s="78"/>
      <c r="V578" s="81"/>
      <c r="W578" s="80"/>
      <c r="X578" s="80"/>
      <c r="Y578" s="14"/>
      <c r="Z578" s="14"/>
      <c r="AA578" s="14"/>
      <c r="AB578" s="14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BB578" s="39"/>
    </row>
    <row r="579" spans="1:54" ht="15.6" x14ac:dyDescent="0.3">
      <c r="A579" s="158" t="s">
        <v>1787</v>
      </c>
      <c r="B579" s="69"/>
      <c r="C579" s="69"/>
      <c r="D579" s="69"/>
      <c r="E579" s="70"/>
      <c r="F579" s="67"/>
      <c r="G579" s="71"/>
      <c r="H579" s="119"/>
      <c r="I579" s="133"/>
      <c r="J579" s="134"/>
      <c r="K579" s="125"/>
      <c r="L579" s="74"/>
      <c r="M579" s="75"/>
      <c r="N579" s="76"/>
      <c r="O579" s="76"/>
      <c r="P579" s="83"/>
      <c r="Q579" s="83"/>
      <c r="R579" s="67"/>
      <c r="S579" s="68"/>
      <c r="T579" s="77"/>
      <c r="U579" s="78"/>
      <c r="V579" s="81"/>
      <c r="W579" s="80"/>
      <c r="X579" s="80"/>
      <c r="Y579" s="14"/>
      <c r="Z579" s="14"/>
      <c r="AA579" s="14"/>
      <c r="AB579" s="14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BB579" s="39"/>
    </row>
    <row r="580" spans="1:54" ht="15.6" x14ac:dyDescent="0.3">
      <c r="A580" s="158" t="s">
        <v>1787</v>
      </c>
      <c r="B580" s="69"/>
      <c r="C580" s="69"/>
      <c r="D580" s="69"/>
      <c r="E580" s="70"/>
      <c r="F580" s="67"/>
      <c r="G580" s="71"/>
      <c r="H580" s="119"/>
      <c r="I580" s="133"/>
      <c r="J580" s="134"/>
      <c r="K580" s="125"/>
      <c r="L580" s="74"/>
      <c r="M580" s="75"/>
      <c r="N580" s="76"/>
      <c r="O580" s="76"/>
      <c r="P580" s="76"/>
      <c r="Q580" s="76"/>
      <c r="R580" s="67"/>
      <c r="S580" s="68"/>
      <c r="T580" s="77"/>
      <c r="U580" s="78"/>
      <c r="V580" s="81"/>
      <c r="W580" s="80"/>
      <c r="X580" s="80"/>
      <c r="Y580" s="14"/>
      <c r="Z580" s="14"/>
      <c r="AA580" s="14"/>
      <c r="AB580" s="14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BB580" s="39"/>
    </row>
    <row r="581" spans="1:54" ht="15.6" x14ac:dyDescent="0.3">
      <c r="A581" s="158" t="s">
        <v>1787</v>
      </c>
      <c r="B581" s="69"/>
      <c r="C581" s="69"/>
      <c r="D581" s="69"/>
      <c r="E581" s="70"/>
      <c r="F581" s="67"/>
      <c r="G581" s="71"/>
      <c r="H581" s="119"/>
      <c r="I581" s="135"/>
      <c r="J581" s="134"/>
      <c r="K581" s="125"/>
      <c r="L581" s="74"/>
      <c r="M581" s="75"/>
      <c r="N581" s="76"/>
      <c r="O581" s="76"/>
      <c r="P581" s="83"/>
      <c r="Q581" s="83"/>
      <c r="R581" s="67"/>
      <c r="S581" s="68"/>
      <c r="T581" s="77"/>
      <c r="U581" s="78"/>
      <c r="V581" s="81"/>
      <c r="W581" s="80"/>
      <c r="X581" s="80"/>
      <c r="Y581" s="14"/>
      <c r="Z581" s="14"/>
      <c r="AA581" s="14"/>
      <c r="AB581" s="14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BB581" s="39"/>
    </row>
    <row r="582" spans="1:54" ht="15.6" x14ac:dyDescent="0.3">
      <c r="A582" s="158" t="s">
        <v>1787</v>
      </c>
      <c r="B582" s="69"/>
      <c r="C582" s="69"/>
      <c r="D582" s="69"/>
      <c r="E582" s="70"/>
      <c r="F582" s="67"/>
      <c r="G582" s="71"/>
      <c r="H582" s="119"/>
      <c r="I582" s="133"/>
      <c r="J582" s="134"/>
      <c r="K582" s="125"/>
      <c r="L582" s="74"/>
      <c r="M582" s="75"/>
      <c r="N582" s="76"/>
      <c r="O582" s="76"/>
      <c r="P582" s="76"/>
      <c r="Q582" s="76"/>
      <c r="R582" s="67"/>
      <c r="S582" s="68"/>
      <c r="T582" s="77"/>
      <c r="U582" s="78"/>
      <c r="V582" s="81"/>
      <c r="W582" s="80"/>
      <c r="X582" s="80"/>
      <c r="Y582" s="23"/>
      <c r="Z582" s="14"/>
      <c r="AA582" s="14"/>
      <c r="AB582" s="14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BB582" s="39"/>
    </row>
    <row r="583" spans="1:54" ht="15.6" x14ac:dyDescent="0.3">
      <c r="A583" s="158" t="s">
        <v>1787</v>
      </c>
      <c r="B583" s="69"/>
      <c r="C583" s="69"/>
      <c r="D583" s="69"/>
      <c r="E583" s="70"/>
      <c r="F583" s="67"/>
      <c r="G583" s="71"/>
      <c r="H583" s="119"/>
      <c r="I583" s="133"/>
      <c r="J583" s="134"/>
      <c r="K583" s="125"/>
      <c r="L583" s="74"/>
      <c r="M583" s="75"/>
      <c r="N583" s="76"/>
      <c r="O583" s="76"/>
      <c r="P583" s="83"/>
      <c r="Q583" s="83"/>
      <c r="R583" s="67"/>
      <c r="S583" s="68"/>
      <c r="T583" s="77"/>
      <c r="U583" s="78"/>
      <c r="V583" s="81"/>
      <c r="W583" s="80"/>
      <c r="X583" s="80"/>
      <c r="Y583" s="14"/>
      <c r="Z583" s="14"/>
      <c r="AA583" s="14"/>
      <c r="AB583" s="14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BB583" s="39"/>
    </row>
    <row r="584" spans="1:54" ht="15.6" x14ac:dyDescent="0.3">
      <c r="A584" s="158" t="s">
        <v>1787</v>
      </c>
      <c r="B584" s="69"/>
      <c r="C584" s="69"/>
      <c r="D584" s="69"/>
      <c r="E584" s="70"/>
      <c r="F584" s="67"/>
      <c r="G584" s="71"/>
      <c r="H584" s="119"/>
      <c r="I584" s="133"/>
      <c r="J584" s="134"/>
      <c r="K584" s="125"/>
      <c r="L584" s="74"/>
      <c r="M584" s="75"/>
      <c r="N584" s="76"/>
      <c r="O584" s="76"/>
      <c r="P584" s="83"/>
      <c r="Q584" s="83"/>
      <c r="R584" s="67"/>
      <c r="S584" s="68"/>
      <c r="T584" s="77"/>
      <c r="U584" s="78"/>
      <c r="V584" s="81"/>
      <c r="W584" s="80"/>
      <c r="X584" s="80"/>
      <c r="Y584" s="14"/>
      <c r="Z584" s="14"/>
      <c r="AA584" s="14"/>
      <c r="AB584" s="14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BB584" s="39"/>
    </row>
    <row r="585" spans="1:54" ht="15.6" x14ac:dyDescent="0.3">
      <c r="A585" s="158" t="s">
        <v>1787</v>
      </c>
      <c r="B585" s="69"/>
      <c r="C585" s="69"/>
      <c r="D585" s="69"/>
      <c r="E585" s="70"/>
      <c r="F585" s="67"/>
      <c r="G585" s="71"/>
      <c r="H585" s="119"/>
      <c r="I585" s="133"/>
      <c r="J585" s="134"/>
      <c r="K585" s="125"/>
      <c r="L585" s="74"/>
      <c r="M585" s="75"/>
      <c r="N585" s="76"/>
      <c r="O585" s="76"/>
      <c r="P585" s="83"/>
      <c r="Q585" s="83"/>
      <c r="R585" s="67"/>
      <c r="S585" s="68"/>
      <c r="T585" s="77"/>
      <c r="U585" s="78"/>
      <c r="V585" s="81"/>
      <c r="W585" s="80"/>
      <c r="X585" s="80"/>
      <c r="Y585" s="14"/>
      <c r="Z585" s="14"/>
      <c r="AA585" s="14"/>
      <c r="AB585" s="14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BB585" s="39"/>
    </row>
    <row r="586" spans="1:54" ht="15.6" x14ac:dyDescent="0.3">
      <c r="A586" s="158" t="s">
        <v>1787</v>
      </c>
      <c r="B586" s="69"/>
      <c r="C586" s="69"/>
      <c r="D586" s="69"/>
      <c r="E586" s="70"/>
      <c r="F586" s="67"/>
      <c r="G586" s="71"/>
      <c r="H586" s="119"/>
      <c r="I586" s="133"/>
      <c r="J586" s="134"/>
      <c r="K586" s="125"/>
      <c r="L586" s="74"/>
      <c r="M586" s="75"/>
      <c r="N586" s="76"/>
      <c r="O586" s="76"/>
      <c r="P586" s="83"/>
      <c r="Q586" s="83"/>
      <c r="R586" s="67"/>
      <c r="S586" s="68"/>
      <c r="T586" s="77"/>
      <c r="U586" s="78"/>
      <c r="V586" s="81"/>
      <c r="W586" s="80"/>
      <c r="X586" s="80"/>
      <c r="Y586" s="14"/>
      <c r="Z586" s="14"/>
      <c r="AA586" s="14"/>
      <c r="AB586" s="14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BB586" s="39"/>
    </row>
    <row r="587" spans="1:54" ht="15.6" x14ac:dyDescent="0.3">
      <c r="A587" s="158" t="s">
        <v>1787</v>
      </c>
      <c r="B587" s="69"/>
      <c r="C587" s="69"/>
      <c r="D587" s="69"/>
      <c r="E587" s="70"/>
      <c r="F587" s="67"/>
      <c r="G587" s="71"/>
      <c r="H587" s="119"/>
      <c r="I587" s="133"/>
      <c r="J587" s="134"/>
      <c r="K587" s="125"/>
      <c r="L587" s="74"/>
      <c r="M587" s="75"/>
      <c r="N587" s="76"/>
      <c r="O587" s="76"/>
      <c r="P587" s="83"/>
      <c r="Q587" s="83"/>
      <c r="R587" s="67"/>
      <c r="S587" s="68"/>
      <c r="T587" s="77"/>
      <c r="U587" s="78"/>
      <c r="V587" s="81"/>
      <c r="W587" s="80"/>
      <c r="X587" s="80"/>
      <c r="Y587" s="14"/>
      <c r="Z587" s="14"/>
      <c r="AA587" s="14"/>
      <c r="AB587" s="14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BB587" s="39"/>
    </row>
    <row r="588" spans="1:54" ht="15.6" x14ac:dyDescent="0.3">
      <c r="A588" s="158" t="s">
        <v>1787</v>
      </c>
      <c r="B588" s="69"/>
      <c r="C588" s="69"/>
      <c r="D588" s="69"/>
      <c r="E588" s="70"/>
      <c r="F588" s="67"/>
      <c r="G588" s="71"/>
      <c r="H588" s="119"/>
      <c r="I588" s="133"/>
      <c r="J588" s="134"/>
      <c r="K588" s="125"/>
      <c r="L588" s="74"/>
      <c r="M588" s="75"/>
      <c r="N588" s="76"/>
      <c r="O588" s="76"/>
      <c r="P588" s="83"/>
      <c r="Q588" s="83"/>
      <c r="R588" s="67"/>
      <c r="S588" s="68"/>
      <c r="T588" s="77"/>
      <c r="U588" s="78"/>
      <c r="V588" s="81"/>
      <c r="W588" s="80"/>
      <c r="X588" s="80"/>
      <c r="Y588" s="14"/>
      <c r="Z588" s="14"/>
      <c r="AA588" s="14"/>
      <c r="AB588" s="14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BB588" s="39"/>
    </row>
    <row r="589" spans="1:54" ht="15.6" x14ac:dyDescent="0.3">
      <c r="A589" s="158" t="s">
        <v>1787</v>
      </c>
      <c r="B589" s="69"/>
      <c r="C589" s="69"/>
      <c r="D589" s="69"/>
      <c r="E589" s="70"/>
      <c r="F589" s="67"/>
      <c r="G589" s="71"/>
      <c r="H589" s="119"/>
      <c r="I589" s="133"/>
      <c r="J589" s="134"/>
      <c r="K589" s="125"/>
      <c r="L589" s="74"/>
      <c r="M589" s="75"/>
      <c r="N589" s="76"/>
      <c r="O589" s="76"/>
      <c r="P589" s="83"/>
      <c r="Q589" s="83"/>
      <c r="R589" s="67"/>
      <c r="S589" s="68"/>
      <c r="T589" s="77"/>
      <c r="U589" s="78"/>
      <c r="V589" s="81"/>
      <c r="W589" s="80"/>
      <c r="X589" s="80"/>
      <c r="Y589" s="14"/>
      <c r="Z589" s="14"/>
      <c r="AA589" s="14"/>
      <c r="AB589" s="14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BB589" s="39"/>
    </row>
    <row r="590" spans="1:54" ht="15.6" x14ac:dyDescent="0.3">
      <c r="A590" s="158" t="s">
        <v>1787</v>
      </c>
      <c r="B590" s="69"/>
      <c r="C590" s="69"/>
      <c r="D590" s="69"/>
      <c r="E590" s="70"/>
      <c r="F590" s="67"/>
      <c r="G590" s="71"/>
      <c r="H590" s="119"/>
      <c r="I590" s="135"/>
      <c r="J590" s="134"/>
      <c r="K590" s="125"/>
      <c r="L590" s="74"/>
      <c r="M590" s="75"/>
      <c r="N590" s="76"/>
      <c r="O590" s="76"/>
      <c r="P590" s="83"/>
      <c r="Q590" s="83"/>
      <c r="R590" s="67"/>
      <c r="S590" s="68"/>
      <c r="T590" s="77"/>
      <c r="U590" s="78"/>
      <c r="V590" s="63"/>
      <c r="W590" s="80"/>
      <c r="X590" s="80"/>
      <c r="Y590" s="14"/>
      <c r="Z590" s="14"/>
      <c r="AA590" s="14"/>
      <c r="AB590" s="14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BB590" s="39"/>
    </row>
    <row r="591" spans="1:54" ht="15.6" x14ac:dyDescent="0.3">
      <c r="A591" s="158" t="s">
        <v>1787</v>
      </c>
      <c r="B591" s="69"/>
      <c r="C591" s="69"/>
      <c r="D591" s="69"/>
      <c r="E591" s="70"/>
      <c r="F591" s="67"/>
      <c r="G591" s="71"/>
      <c r="H591" s="119"/>
      <c r="I591" s="133"/>
      <c r="J591" s="134"/>
      <c r="K591" s="125"/>
      <c r="L591" s="74"/>
      <c r="M591" s="75"/>
      <c r="N591" s="76"/>
      <c r="O591" s="76"/>
      <c r="P591" s="83"/>
      <c r="Q591" s="83"/>
      <c r="R591" s="67"/>
      <c r="S591" s="68"/>
      <c r="T591" s="77"/>
      <c r="U591" s="78"/>
      <c r="V591" s="81"/>
      <c r="W591" s="80"/>
      <c r="X591" s="80"/>
      <c r="Y591" s="14"/>
      <c r="Z591" s="14"/>
      <c r="AA591" s="14"/>
      <c r="AB591" s="14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BB591" s="39"/>
    </row>
    <row r="592" spans="1:54" ht="15.6" x14ac:dyDescent="0.3">
      <c r="A592" s="158" t="s">
        <v>1787</v>
      </c>
      <c r="B592" s="69"/>
      <c r="C592" s="69"/>
      <c r="D592" s="69"/>
      <c r="E592" s="70"/>
      <c r="F592" s="67"/>
      <c r="G592" s="71"/>
      <c r="H592" s="119"/>
      <c r="I592" s="133"/>
      <c r="J592" s="134"/>
      <c r="K592" s="125"/>
      <c r="L592" s="74"/>
      <c r="M592" s="85"/>
      <c r="N592" s="76"/>
      <c r="O592" s="76"/>
      <c r="P592" s="76"/>
      <c r="Q592" s="76"/>
      <c r="R592" s="67"/>
      <c r="S592" s="68"/>
      <c r="T592" s="77"/>
      <c r="U592" s="78"/>
      <c r="V592" s="81"/>
      <c r="W592" s="80"/>
      <c r="X592" s="80"/>
      <c r="Y592" s="14"/>
      <c r="Z592" s="14"/>
      <c r="AA592" s="14"/>
      <c r="AB592" s="14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BB592" s="39"/>
    </row>
    <row r="593" spans="1:54" ht="15.6" x14ac:dyDescent="0.3">
      <c r="A593" s="158" t="s">
        <v>1787</v>
      </c>
      <c r="B593" s="69"/>
      <c r="C593" s="69"/>
      <c r="D593" s="69"/>
      <c r="E593" s="70"/>
      <c r="F593" s="67"/>
      <c r="G593" s="71"/>
      <c r="H593" s="119"/>
      <c r="I593" s="135"/>
      <c r="J593" s="134"/>
      <c r="K593" s="125"/>
      <c r="L593" s="74"/>
      <c r="M593" s="75"/>
      <c r="N593" s="76"/>
      <c r="O593" s="76"/>
      <c r="P593" s="76"/>
      <c r="Q593" s="76"/>
      <c r="R593" s="67"/>
      <c r="S593" s="68"/>
      <c r="T593" s="77"/>
      <c r="U593" s="78"/>
      <c r="V593" s="81"/>
      <c r="W593" s="80"/>
      <c r="X593" s="80"/>
      <c r="Y593" s="14"/>
      <c r="Z593" s="14"/>
      <c r="AA593" s="14"/>
      <c r="AB593" s="14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BB593" s="39"/>
    </row>
    <row r="594" spans="1:54" ht="15.6" x14ac:dyDescent="0.3">
      <c r="A594" s="158" t="s">
        <v>1787</v>
      </c>
      <c r="X594" s="80"/>
      <c r="Y594" s="14"/>
      <c r="Z594" s="14"/>
      <c r="AA594" s="14"/>
      <c r="AB594" s="14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BB594" s="39"/>
    </row>
    <row r="595" spans="1:54" ht="15.6" x14ac:dyDescent="0.3">
      <c r="A595" s="158" t="s">
        <v>1787</v>
      </c>
      <c r="B595" s="69"/>
      <c r="C595" s="69"/>
      <c r="D595" s="69"/>
      <c r="E595" s="70"/>
      <c r="F595" s="67"/>
      <c r="G595" s="71"/>
      <c r="H595" s="119"/>
      <c r="I595" s="135"/>
      <c r="J595" s="134"/>
      <c r="K595" s="125"/>
      <c r="L595" s="74"/>
      <c r="M595" s="75"/>
      <c r="N595" s="76"/>
      <c r="O595" s="76"/>
      <c r="P595" s="76"/>
      <c r="Q595" s="76"/>
      <c r="R595" s="67"/>
      <c r="S595" s="68"/>
      <c r="T595" s="77"/>
      <c r="U595" s="78"/>
      <c r="V595" s="81"/>
      <c r="W595" s="80"/>
      <c r="X595" s="80"/>
      <c r="Y595" s="14"/>
      <c r="Z595" s="14"/>
      <c r="AA595" s="14"/>
      <c r="AB595" s="14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BB595" s="39"/>
    </row>
    <row r="596" spans="1:54" ht="15.6" x14ac:dyDescent="0.3">
      <c r="A596" s="158" t="s">
        <v>1787</v>
      </c>
      <c r="B596" s="69"/>
      <c r="C596" s="69"/>
      <c r="D596" s="69"/>
      <c r="E596" s="70"/>
      <c r="F596" s="67"/>
      <c r="G596" s="71"/>
      <c r="H596" s="119"/>
      <c r="I596" s="133"/>
      <c r="J596" s="133"/>
      <c r="K596" s="73"/>
      <c r="L596" s="74"/>
      <c r="M596" s="75"/>
      <c r="N596" s="76"/>
      <c r="O596" s="76"/>
      <c r="P596" s="76"/>
      <c r="Q596" s="76"/>
      <c r="R596" s="67"/>
      <c r="S596" s="68"/>
      <c r="T596" s="77"/>
      <c r="U596" s="78"/>
      <c r="V596" s="73"/>
      <c r="W596" s="80"/>
      <c r="X596" s="80"/>
      <c r="BB596" s="39"/>
    </row>
    <row r="597" spans="1:54" ht="15.6" x14ac:dyDescent="0.3">
      <c r="A597" s="158" t="s">
        <v>1787</v>
      </c>
      <c r="B597" s="69"/>
      <c r="C597" s="69"/>
      <c r="D597" s="69"/>
      <c r="E597" s="70"/>
      <c r="F597" s="67"/>
      <c r="G597" s="71"/>
      <c r="H597" s="119"/>
      <c r="I597" s="133"/>
      <c r="J597" s="133"/>
      <c r="K597" s="73"/>
      <c r="L597" s="74"/>
      <c r="M597" s="85"/>
      <c r="N597" s="76"/>
      <c r="O597" s="76"/>
      <c r="P597" s="76"/>
      <c r="Q597" s="76"/>
      <c r="R597" s="67"/>
      <c r="S597" s="68"/>
      <c r="T597" s="77"/>
      <c r="U597" s="78"/>
      <c r="V597" s="73"/>
      <c r="W597" s="80"/>
      <c r="X597" s="80"/>
      <c r="BB597" s="39"/>
    </row>
    <row r="598" spans="1:54" ht="15.6" x14ac:dyDescent="0.3">
      <c r="A598" s="158" t="s">
        <v>1787</v>
      </c>
      <c r="B598" s="69"/>
      <c r="C598" s="69"/>
      <c r="D598" s="69"/>
      <c r="E598" s="70"/>
      <c r="F598" s="67"/>
      <c r="G598" s="71"/>
      <c r="H598" s="119"/>
      <c r="I598" s="133"/>
      <c r="J598" s="133"/>
      <c r="K598" s="73"/>
      <c r="L598" s="74"/>
      <c r="M598" s="75"/>
      <c r="N598" s="76"/>
      <c r="O598" s="76"/>
      <c r="P598" s="76"/>
      <c r="Q598" s="76"/>
      <c r="R598" s="67"/>
      <c r="S598" s="68"/>
      <c r="T598" s="77"/>
      <c r="U598" s="78"/>
      <c r="V598" s="73"/>
      <c r="W598" s="80"/>
      <c r="X598" s="80"/>
      <c r="BB598" s="39"/>
    </row>
    <row r="599" spans="1:54" ht="15.6" x14ac:dyDescent="0.3">
      <c r="A599" s="158" t="s">
        <v>1787</v>
      </c>
      <c r="B599" s="69"/>
      <c r="C599" s="69"/>
      <c r="D599" s="69"/>
      <c r="E599" s="70"/>
      <c r="F599" s="67"/>
      <c r="G599" s="71"/>
      <c r="H599" s="119"/>
      <c r="I599" s="133"/>
      <c r="J599" s="133"/>
      <c r="K599" s="73"/>
      <c r="L599" s="74"/>
      <c r="M599" s="75"/>
      <c r="N599" s="76"/>
      <c r="O599" s="76"/>
      <c r="P599" s="76"/>
      <c r="Q599" s="76"/>
      <c r="R599" s="67"/>
      <c r="S599" s="68"/>
      <c r="T599" s="77"/>
      <c r="U599" s="78"/>
      <c r="V599" s="73"/>
      <c r="W599" s="80"/>
      <c r="X599" s="80"/>
      <c r="BB599" s="39"/>
    </row>
    <row r="600" spans="1:54" x14ac:dyDescent="0.3">
      <c r="BB600" s="39"/>
    </row>
    <row r="601" spans="1:54" x14ac:dyDescent="0.3">
      <c r="BB601" s="39"/>
    </row>
    <row r="602" spans="1:54" ht="15.6" x14ac:dyDescent="0.3">
      <c r="V602" s="136"/>
      <c r="W602" s="140"/>
      <c r="X602" s="145"/>
      <c r="Y602" s="138"/>
      <c r="AD602" s="136"/>
      <c r="AE602" s="136"/>
      <c r="AF602" s="136"/>
      <c r="AG602" s="136"/>
      <c r="BB602" s="39"/>
    </row>
    <row r="603" spans="1:54" ht="15.6" x14ac:dyDescent="0.3">
      <c r="V603" s="137"/>
      <c r="W603" s="140"/>
      <c r="X603" s="145"/>
      <c r="Y603" s="139"/>
      <c r="AD603" s="137"/>
      <c r="AE603" s="137"/>
      <c r="AF603" s="137"/>
      <c r="AG603" s="137"/>
      <c r="BB603" s="39"/>
    </row>
    <row r="604" spans="1:54" ht="15.6" x14ac:dyDescent="0.3">
      <c r="V604" s="137"/>
      <c r="W604" s="140"/>
      <c r="X604" s="145"/>
      <c r="Y604" s="139"/>
      <c r="AD604" s="137"/>
      <c r="AE604" s="137"/>
      <c r="AF604" s="137"/>
      <c r="AG604" s="137"/>
      <c r="BB604" s="39"/>
    </row>
    <row r="605" spans="1:54" ht="15.6" x14ac:dyDescent="0.3">
      <c r="V605" s="137"/>
      <c r="W605" s="140"/>
      <c r="X605" s="145"/>
      <c r="Y605" s="139"/>
      <c r="AD605" s="137"/>
      <c r="AE605" s="137"/>
      <c r="AF605" s="137"/>
      <c r="AG605" s="137"/>
      <c r="BB605" s="39"/>
    </row>
    <row r="606" spans="1:54" ht="15.6" x14ac:dyDescent="0.3">
      <c r="V606" s="137"/>
      <c r="W606" s="140"/>
      <c r="X606" s="145"/>
      <c r="Y606" s="139"/>
      <c r="AD606" s="137"/>
      <c r="AE606" s="137"/>
      <c r="AF606" s="137"/>
      <c r="AG606" s="137"/>
      <c r="BB606" s="39"/>
    </row>
    <row r="607" spans="1:54" x14ac:dyDescent="0.3">
      <c r="BB607" s="39"/>
    </row>
    <row r="608" spans="1:54" x14ac:dyDescent="0.3">
      <c r="BB608" s="39"/>
    </row>
    <row r="609" spans="54:54" x14ac:dyDescent="0.3">
      <c r="BB609" s="39"/>
    </row>
    <row r="610" spans="54:54" x14ac:dyDescent="0.3">
      <c r="BB610" s="39"/>
    </row>
    <row r="611" spans="54:54" x14ac:dyDescent="0.3">
      <c r="BB611" s="39"/>
    </row>
    <row r="612" spans="54:54" x14ac:dyDescent="0.3">
      <c r="BB612" s="39"/>
    </row>
    <row r="613" spans="54:54" x14ac:dyDescent="0.3">
      <c r="BB613" s="39"/>
    </row>
    <row r="614" spans="54:54" x14ac:dyDescent="0.3">
      <c r="BB614" s="39"/>
    </row>
    <row r="615" spans="54:54" x14ac:dyDescent="0.3">
      <c r="BB615" s="39"/>
    </row>
    <row r="616" spans="54:54" x14ac:dyDescent="0.3">
      <c r="BB616" s="39"/>
    </row>
    <row r="617" spans="54:54" x14ac:dyDescent="0.3">
      <c r="BB617" s="39"/>
    </row>
    <row r="618" spans="54:54" x14ac:dyDescent="0.3">
      <c r="BB618" s="39"/>
    </row>
    <row r="619" spans="54:54" x14ac:dyDescent="0.3">
      <c r="BB619" s="39"/>
    </row>
    <row r="620" spans="54:54" x14ac:dyDescent="0.3">
      <c r="BB620" s="39"/>
    </row>
    <row r="621" spans="54:54" x14ac:dyDescent="0.3">
      <c r="BB621" s="39"/>
    </row>
    <row r="622" spans="54:54" x14ac:dyDescent="0.3">
      <c r="BB622" s="39"/>
    </row>
    <row r="623" spans="54:54" x14ac:dyDescent="0.3">
      <c r="BB623" s="39"/>
    </row>
    <row r="624" spans="54:54" x14ac:dyDescent="0.3">
      <c r="BB624" s="39"/>
    </row>
    <row r="625" spans="54:54" x14ac:dyDescent="0.3">
      <c r="BB625" s="39"/>
    </row>
    <row r="626" spans="54:54" x14ac:dyDescent="0.3">
      <c r="BB626" s="39"/>
    </row>
    <row r="627" spans="54:54" x14ac:dyDescent="0.3">
      <c r="BB627" s="39"/>
    </row>
    <row r="628" spans="54:54" x14ac:dyDescent="0.3">
      <c r="BB628" s="39"/>
    </row>
    <row r="629" spans="54:54" x14ac:dyDescent="0.3">
      <c r="BB629" s="39"/>
    </row>
    <row r="630" spans="54:54" x14ac:dyDescent="0.3">
      <c r="BB630" s="39"/>
    </row>
    <row r="631" spans="54:54" x14ac:dyDescent="0.3">
      <c r="BB631" s="39"/>
    </row>
    <row r="632" spans="54:54" x14ac:dyDescent="0.3">
      <c r="BB632" s="39"/>
    </row>
    <row r="633" spans="54:54" x14ac:dyDescent="0.3">
      <c r="BB633" s="39"/>
    </row>
    <row r="634" spans="54:54" x14ac:dyDescent="0.3">
      <c r="BB634" s="39"/>
    </row>
    <row r="635" spans="54:54" x14ac:dyDescent="0.3">
      <c r="BB635" s="39"/>
    </row>
    <row r="636" spans="54:54" x14ac:dyDescent="0.3">
      <c r="BB636" s="39"/>
    </row>
    <row r="637" spans="54:54" x14ac:dyDescent="0.3">
      <c r="BB637" s="39"/>
    </row>
    <row r="638" spans="54:54" x14ac:dyDescent="0.3">
      <c r="BB638" s="39"/>
    </row>
    <row r="639" spans="54:54" x14ac:dyDescent="0.3">
      <c r="BB639" s="39"/>
    </row>
    <row r="640" spans="54:54" x14ac:dyDescent="0.3">
      <c r="BB640" s="39"/>
    </row>
    <row r="641" spans="54:54" x14ac:dyDescent="0.3">
      <c r="BB641" s="39"/>
    </row>
    <row r="642" spans="54:54" x14ac:dyDescent="0.3">
      <c r="BB642" s="39"/>
    </row>
    <row r="643" spans="54:54" x14ac:dyDescent="0.3">
      <c r="BB643" s="39"/>
    </row>
    <row r="644" spans="54:54" x14ac:dyDescent="0.3">
      <c r="BB644" s="39"/>
    </row>
    <row r="645" spans="54:54" x14ac:dyDescent="0.3">
      <c r="BB645" s="39"/>
    </row>
    <row r="646" spans="54:54" x14ac:dyDescent="0.3">
      <c r="BB646" s="39"/>
    </row>
    <row r="647" spans="54:54" x14ac:dyDescent="0.3">
      <c r="BB647" s="39"/>
    </row>
    <row r="648" spans="54:54" x14ac:dyDescent="0.3">
      <c r="BB648" s="39"/>
    </row>
    <row r="649" spans="54:54" x14ac:dyDescent="0.3">
      <c r="BB649" s="39"/>
    </row>
    <row r="650" spans="54:54" x14ac:dyDescent="0.3">
      <c r="BB650" s="39"/>
    </row>
    <row r="651" spans="54:54" x14ac:dyDescent="0.3">
      <c r="BB651" s="39"/>
    </row>
    <row r="652" spans="54:54" x14ac:dyDescent="0.3">
      <c r="BB652" s="39"/>
    </row>
    <row r="653" spans="54:54" x14ac:dyDescent="0.3">
      <c r="BB653" s="39"/>
    </row>
    <row r="654" spans="54:54" x14ac:dyDescent="0.3">
      <c r="BB654" s="39"/>
    </row>
    <row r="655" spans="54:54" x14ac:dyDescent="0.3">
      <c r="BB655" s="39"/>
    </row>
    <row r="656" spans="54:54" x14ac:dyDescent="0.3">
      <c r="BB656" s="39"/>
    </row>
    <row r="657" spans="54:54" x14ac:dyDescent="0.3">
      <c r="BB657" s="39"/>
    </row>
    <row r="658" spans="54:54" x14ac:dyDescent="0.3">
      <c r="BB658" s="39"/>
    </row>
    <row r="659" spans="54:54" x14ac:dyDescent="0.3">
      <c r="BB659" s="39"/>
    </row>
    <row r="660" spans="54:54" x14ac:dyDescent="0.3">
      <c r="BB660" s="39"/>
    </row>
    <row r="661" spans="54:54" x14ac:dyDescent="0.3">
      <c r="BB661" s="39"/>
    </row>
    <row r="662" spans="54:54" x14ac:dyDescent="0.3">
      <c r="BB662" s="39"/>
    </row>
    <row r="663" spans="54:54" x14ac:dyDescent="0.3">
      <c r="BB663" s="39"/>
    </row>
    <row r="664" spans="54:54" x14ac:dyDescent="0.3">
      <c r="BB664" s="39"/>
    </row>
    <row r="665" spans="54:54" x14ac:dyDescent="0.3">
      <c r="BB665" s="39"/>
    </row>
    <row r="666" spans="54:54" x14ac:dyDescent="0.3">
      <c r="BB666" s="39"/>
    </row>
    <row r="667" spans="54:54" x14ac:dyDescent="0.3">
      <c r="BB667" s="39"/>
    </row>
    <row r="668" spans="54:54" x14ac:dyDescent="0.3">
      <c r="BB668" s="39"/>
    </row>
    <row r="669" spans="54:54" x14ac:dyDescent="0.3">
      <c r="BB669" s="39"/>
    </row>
    <row r="670" spans="54:54" x14ac:dyDescent="0.3">
      <c r="BB670" s="39"/>
    </row>
    <row r="671" spans="54:54" x14ac:dyDescent="0.3">
      <c r="BB671" s="39"/>
    </row>
    <row r="672" spans="54:54" x14ac:dyDescent="0.3">
      <c r="BB672" s="39"/>
    </row>
    <row r="673" spans="54:54" x14ac:dyDescent="0.3">
      <c r="BB673" s="39"/>
    </row>
    <row r="674" spans="54:54" x14ac:dyDescent="0.3">
      <c r="BB674" s="39"/>
    </row>
    <row r="675" spans="54:54" x14ac:dyDescent="0.3">
      <c r="BB675" s="39"/>
    </row>
    <row r="676" spans="54:54" x14ac:dyDescent="0.3">
      <c r="BB676" s="39"/>
    </row>
    <row r="677" spans="54:54" x14ac:dyDescent="0.3">
      <c r="BB677" s="39"/>
    </row>
    <row r="678" spans="54:54" x14ac:dyDescent="0.3">
      <c r="BB678" s="39"/>
    </row>
    <row r="679" spans="54:54" x14ac:dyDescent="0.3">
      <c r="BB679" s="39"/>
    </row>
    <row r="680" spans="54:54" x14ac:dyDescent="0.3">
      <c r="BB680" s="39"/>
    </row>
    <row r="681" spans="54:54" x14ac:dyDescent="0.3">
      <c r="BB681" s="39"/>
    </row>
    <row r="682" spans="54:54" x14ac:dyDescent="0.3">
      <c r="BB682" s="39"/>
    </row>
    <row r="683" spans="54:54" x14ac:dyDescent="0.3">
      <c r="BB683" s="39"/>
    </row>
    <row r="684" spans="54:54" x14ac:dyDescent="0.3">
      <c r="BB684" s="39"/>
    </row>
    <row r="685" spans="54:54" x14ac:dyDescent="0.3">
      <c r="BB685" s="39"/>
    </row>
    <row r="686" spans="54:54" x14ac:dyDescent="0.3">
      <c r="BB686" s="39"/>
    </row>
    <row r="687" spans="54:54" x14ac:dyDescent="0.3">
      <c r="BB687" s="39"/>
    </row>
    <row r="688" spans="54:54" x14ac:dyDescent="0.3">
      <c r="BB688" s="39"/>
    </row>
    <row r="689" spans="54:54" x14ac:dyDescent="0.3">
      <c r="BB689" s="39"/>
    </row>
    <row r="690" spans="54:54" x14ac:dyDescent="0.3">
      <c r="BB690" s="39"/>
    </row>
    <row r="691" spans="54:54" x14ac:dyDescent="0.3">
      <c r="BB691" s="39"/>
    </row>
    <row r="692" spans="54:54" x14ac:dyDescent="0.3">
      <c r="BB692" s="39"/>
    </row>
    <row r="693" spans="54:54" x14ac:dyDescent="0.3">
      <c r="BB693" s="39"/>
    </row>
    <row r="694" spans="54:54" x14ac:dyDescent="0.3">
      <c r="BB694" s="39"/>
    </row>
    <row r="695" spans="54:54" x14ac:dyDescent="0.3">
      <c r="BB695" s="39"/>
    </row>
    <row r="696" spans="54:54" x14ac:dyDescent="0.3">
      <c r="BB696" s="39"/>
    </row>
    <row r="697" spans="54:54" x14ac:dyDescent="0.3">
      <c r="BB697" s="39"/>
    </row>
    <row r="698" spans="54:54" x14ac:dyDescent="0.3">
      <c r="BB698" s="39"/>
    </row>
    <row r="699" spans="54:54" x14ac:dyDescent="0.3">
      <c r="BB699" s="39"/>
    </row>
    <row r="700" spans="54:54" x14ac:dyDescent="0.3">
      <c r="BB700" s="39"/>
    </row>
    <row r="701" spans="54:54" x14ac:dyDescent="0.3">
      <c r="BB701" s="39"/>
    </row>
    <row r="702" spans="54:54" x14ac:dyDescent="0.3">
      <c r="BB702" s="39"/>
    </row>
    <row r="703" spans="54:54" x14ac:dyDescent="0.3">
      <c r="BB703" s="39"/>
    </row>
    <row r="704" spans="54:54" x14ac:dyDescent="0.3">
      <c r="BB704" s="39"/>
    </row>
    <row r="705" spans="54:54" x14ac:dyDescent="0.3">
      <c r="BB705" s="39"/>
    </row>
    <row r="706" spans="54:54" x14ac:dyDescent="0.3">
      <c r="BB706" s="39"/>
    </row>
    <row r="707" spans="54:54" x14ac:dyDescent="0.3">
      <c r="BB707" s="39"/>
    </row>
    <row r="708" spans="54:54" x14ac:dyDescent="0.3">
      <c r="BB708" s="39"/>
    </row>
    <row r="709" spans="54:54" x14ac:dyDescent="0.3">
      <c r="BB709" s="39"/>
    </row>
    <row r="710" spans="54:54" x14ac:dyDescent="0.3">
      <c r="BB710" s="39"/>
    </row>
    <row r="711" spans="54:54" x14ac:dyDescent="0.3">
      <c r="BB711" s="39"/>
    </row>
    <row r="712" spans="54:54" x14ac:dyDescent="0.3">
      <c r="BB712" s="39"/>
    </row>
    <row r="713" spans="54:54" x14ac:dyDescent="0.3">
      <c r="BB713" s="39"/>
    </row>
    <row r="714" spans="54:54" x14ac:dyDescent="0.3">
      <c r="BB714" s="39"/>
    </row>
    <row r="715" spans="54:54" x14ac:dyDescent="0.3">
      <c r="BB715" s="39"/>
    </row>
    <row r="716" spans="54:54" x14ac:dyDescent="0.3">
      <c r="BB716" s="39"/>
    </row>
    <row r="717" spans="54:54" x14ac:dyDescent="0.3">
      <c r="BB717" s="39"/>
    </row>
    <row r="718" spans="54:54" x14ac:dyDescent="0.3">
      <c r="BB718" s="39"/>
    </row>
    <row r="719" spans="54:54" x14ac:dyDescent="0.3">
      <c r="BB719" s="39"/>
    </row>
    <row r="720" spans="54:54" x14ac:dyDescent="0.3">
      <c r="BB720" s="39"/>
    </row>
    <row r="721" spans="54:54" x14ac:dyDescent="0.3">
      <c r="BB721" s="39"/>
    </row>
    <row r="722" spans="54:54" x14ac:dyDescent="0.3">
      <c r="BB722" s="39"/>
    </row>
    <row r="723" spans="54:54" x14ac:dyDescent="0.3">
      <c r="BB723" s="39"/>
    </row>
    <row r="724" spans="54:54" x14ac:dyDescent="0.3">
      <c r="BB724" s="39"/>
    </row>
    <row r="725" spans="54:54" x14ac:dyDescent="0.3">
      <c r="BB725" s="39"/>
    </row>
    <row r="726" spans="54:54" x14ac:dyDescent="0.3">
      <c r="BB726" s="39"/>
    </row>
    <row r="727" spans="54:54" x14ac:dyDescent="0.3">
      <c r="BB727" s="39"/>
    </row>
    <row r="728" spans="54:54" x14ac:dyDescent="0.3">
      <c r="BB728" s="39"/>
    </row>
    <row r="729" spans="54:54" x14ac:dyDescent="0.3">
      <c r="BB729" s="39"/>
    </row>
    <row r="730" spans="54:54" x14ac:dyDescent="0.3">
      <c r="BB730" s="39"/>
    </row>
    <row r="731" spans="54:54" x14ac:dyDescent="0.3">
      <c r="BB731" s="39"/>
    </row>
    <row r="732" spans="54:54" x14ac:dyDescent="0.3">
      <c r="BB732" s="39"/>
    </row>
    <row r="733" spans="54:54" x14ac:dyDescent="0.3">
      <c r="BB733" s="39"/>
    </row>
    <row r="734" spans="54:54" x14ac:dyDescent="0.3">
      <c r="BB734" s="39"/>
    </row>
    <row r="735" spans="54:54" x14ac:dyDescent="0.3">
      <c r="BB735" s="39"/>
    </row>
    <row r="736" spans="54:54" x14ac:dyDescent="0.3">
      <c r="BB736" s="39"/>
    </row>
    <row r="737" spans="54:54" x14ac:dyDescent="0.3">
      <c r="BB737" s="39"/>
    </row>
    <row r="738" spans="54:54" x14ac:dyDescent="0.3">
      <c r="BB738" s="39"/>
    </row>
    <row r="739" spans="54:54" x14ac:dyDescent="0.3">
      <c r="BB739" s="39"/>
    </row>
    <row r="740" spans="54:54" x14ac:dyDescent="0.3">
      <c r="BB740" s="39"/>
    </row>
    <row r="741" spans="54:54" x14ac:dyDescent="0.3">
      <c r="BB741" s="39"/>
    </row>
    <row r="742" spans="54:54" x14ac:dyDescent="0.3">
      <c r="BB742" s="39"/>
    </row>
    <row r="743" spans="54:54" x14ac:dyDescent="0.3">
      <c r="BB743" s="39"/>
    </row>
    <row r="744" spans="54:54" x14ac:dyDescent="0.3">
      <c r="BB744" s="39"/>
    </row>
    <row r="745" spans="54:54" x14ac:dyDescent="0.3">
      <c r="BB745" s="39"/>
    </row>
    <row r="746" spans="54:54" x14ac:dyDescent="0.3">
      <c r="BB746" s="39"/>
    </row>
    <row r="747" spans="54:54" x14ac:dyDescent="0.3">
      <c r="BB747" s="39"/>
    </row>
    <row r="748" spans="54:54" x14ac:dyDescent="0.3">
      <c r="BB748" s="39"/>
    </row>
    <row r="749" spans="54:54" x14ac:dyDescent="0.3">
      <c r="BB749" s="39"/>
    </row>
    <row r="750" spans="54:54" x14ac:dyDescent="0.3">
      <c r="BB750" s="39"/>
    </row>
    <row r="751" spans="54:54" x14ac:dyDescent="0.3">
      <c r="BB751" s="39"/>
    </row>
    <row r="752" spans="54:54" x14ac:dyDescent="0.3">
      <c r="BB752" s="39"/>
    </row>
    <row r="753" spans="54:54" x14ac:dyDescent="0.3">
      <c r="BB753" s="39"/>
    </row>
    <row r="754" spans="54:54" x14ac:dyDescent="0.3">
      <c r="BB754" s="39"/>
    </row>
    <row r="755" spans="54:54" x14ac:dyDescent="0.3">
      <c r="BB755" s="39"/>
    </row>
    <row r="756" spans="54:54" x14ac:dyDescent="0.3">
      <c r="BB756" s="39"/>
    </row>
    <row r="757" spans="54:54" x14ac:dyDescent="0.3">
      <c r="BB757" s="39"/>
    </row>
    <row r="758" spans="54:54" x14ac:dyDescent="0.3">
      <c r="BB758" s="39"/>
    </row>
    <row r="759" spans="54:54" x14ac:dyDescent="0.3">
      <c r="BB759" s="39"/>
    </row>
    <row r="760" spans="54:54" x14ac:dyDescent="0.3">
      <c r="BB760" s="39"/>
    </row>
    <row r="761" spans="54:54" x14ac:dyDescent="0.3">
      <c r="BB761" s="39"/>
    </row>
    <row r="762" spans="54:54" x14ac:dyDescent="0.3">
      <c r="BB762" s="39"/>
    </row>
    <row r="763" spans="54:54" x14ac:dyDescent="0.3">
      <c r="BB763" s="39"/>
    </row>
    <row r="764" spans="54:54" x14ac:dyDescent="0.3">
      <c r="BB764" s="39"/>
    </row>
    <row r="765" spans="54:54" x14ac:dyDescent="0.3">
      <c r="BB765" s="39"/>
    </row>
    <row r="766" spans="54:54" x14ac:dyDescent="0.3">
      <c r="BB766" s="39"/>
    </row>
    <row r="767" spans="54:54" x14ac:dyDescent="0.3">
      <c r="BB767" s="39"/>
    </row>
    <row r="768" spans="54:54" x14ac:dyDescent="0.3">
      <c r="BB768" s="39"/>
    </row>
    <row r="769" spans="54:54" x14ac:dyDescent="0.3">
      <c r="BB769" s="39"/>
    </row>
    <row r="770" spans="54:54" x14ac:dyDescent="0.3">
      <c r="BB770" s="39"/>
    </row>
    <row r="771" spans="54:54" x14ac:dyDescent="0.3">
      <c r="BB771" s="39"/>
    </row>
    <row r="772" spans="54:54" x14ac:dyDescent="0.3">
      <c r="BB772" s="39"/>
    </row>
    <row r="773" spans="54:54" x14ac:dyDescent="0.3">
      <c r="BB773" s="39"/>
    </row>
    <row r="774" spans="54:54" x14ac:dyDescent="0.3">
      <c r="BB774" s="39"/>
    </row>
    <row r="775" spans="54:54" x14ac:dyDescent="0.3">
      <c r="BB775" s="39"/>
    </row>
    <row r="776" spans="54:54" x14ac:dyDescent="0.3">
      <c r="BB776" s="39"/>
    </row>
    <row r="777" spans="54:54" x14ac:dyDescent="0.3">
      <c r="BB777" s="39"/>
    </row>
    <row r="778" spans="54:54" x14ac:dyDescent="0.3">
      <c r="BB778" s="39"/>
    </row>
    <row r="779" spans="54:54" x14ac:dyDescent="0.3">
      <c r="BB779" s="39"/>
    </row>
    <row r="780" spans="54:54" x14ac:dyDescent="0.3">
      <c r="BB780" s="39"/>
    </row>
    <row r="781" spans="54:54" x14ac:dyDescent="0.3">
      <c r="BB781" s="39"/>
    </row>
    <row r="782" spans="54:54" x14ac:dyDescent="0.3">
      <c r="BB782" s="39"/>
    </row>
    <row r="783" spans="54:54" x14ac:dyDescent="0.3">
      <c r="BB783" s="39"/>
    </row>
    <row r="784" spans="54:54" x14ac:dyDescent="0.3">
      <c r="BB784" s="39"/>
    </row>
    <row r="785" spans="54:54" x14ac:dyDescent="0.3">
      <c r="BB785" s="39"/>
    </row>
    <row r="786" spans="54:54" x14ac:dyDescent="0.3">
      <c r="BB786" s="39"/>
    </row>
    <row r="787" spans="54:54" x14ac:dyDescent="0.3">
      <c r="BB787" s="39"/>
    </row>
    <row r="788" spans="54:54" x14ac:dyDescent="0.3">
      <c r="BB788" s="39"/>
    </row>
    <row r="789" spans="54:54" x14ac:dyDescent="0.3">
      <c r="BB789" s="39"/>
    </row>
    <row r="790" spans="54:54" x14ac:dyDescent="0.3">
      <c r="BB790" s="39"/>
    </row>
    <row r="791" spans="54:54" x14ac:dyDescent="0.3">
      <c r="BB791" s="39"/>
    </row>
    <row r="792" spans="54:54" x14ac:dyDescent="0.3">
      <c r="BB792" s="39"/>
    </row>
    <row r="793" spans="54:54" x14ac:dyDescent="0.3">
      <c r="BB793" s="39"/>
    </row>
    <row r="794" spans="54:54" x14ac:dyDescent="0.3">
      <c r="BB794" s="39"/>
    </row>
    <row r="795" spans="54:54" x14ac:dyDescent="0.3">
      <c r="BB795" s="39"/>
    </row>
    <row r="796" spans="54:54" x14ac:dyDescent="0.3">
      <c r="BB796" s="39"/>
    </row>
    <row r="797" spans="54:54" x14ac:dyDescent="0.3">
      <c r="BB797" s="39"/>
    </row>
    <row r="798" spans="54:54" x14ac:dyDescent="0.3">
      <c r="BB798" s="39"/>
    </row>
    <row r="799" spans="54:54" x14ac:dyDescent="0.3">
      <c r="BB799" s="39"/>
    </row>
    <row r="800" spans="54:54" x14ac:dyDescent="0.3">
      <c r="BB800" s="39"/>
    </row>
    <row r="801" spans="54:54" x14ac:dyDescent="0.3">
      <c r="BB801" s="39"/>
    </row>
    <row r="802" spans="54:54" x14ac:dyDescent="0.3">
      <c r="BB802" s="39"/>
    </row>
    <row r="803" spans="54:54" x14ac:dyDescent="0.3">
      <c r="BB803" s="39"/>
    </row>
    <row r="804" spans="54:54" x14ac:dyDescent="0.3">
      <c r="BB804" s="39"/>
    </row>
    <row r="805" spans="54:54" x14ac:dyDescent="0.3">
      <c r="BB805" s="39"/>
    </row>
    <row r="806" spans="54:54" x14ac:dyDescent="0.3">
      <c r="BB806" s="39"/>
    </row>
    <row r="807" spans="54:54" x14ac:dyDescent="0.3">
      <c r="BB807" s="39"/>
    </row>
    <row r="808" spans="54:54" x14ac:dyDescent="0.3">
      <c r="BB808" s="39"/>
    </row>
    <row r="809" spans="54:54" x14ac:dyDescent="0.3">
      <c r="BB809" s="39"/>
    </row>
    <row r="810" spans="54:54" x14ac:dyDescent="0.3">
      <c r="BB810" s="39"/>
    </row>
    <row r="811" spans="54:54" x14ac:dyDescent="0.3">
      <c r="BB811" s="39"/>
    </row>
    <row r="812" spans="54:54" x14ac:dyDescent="0.3">
      <c r="BB812" s="39"/>
    </row>
    <row r="813" spans="54:54" x14ac:dyDescent="0.3">
      <c r="BB813" s="39"/>
    </row>
    <row r="814" spans="54:54" x14ac:dyDescent="0.3">
      <c r="BB814" s="39"/>
    </row>
    <row r="815" spans="54:54" x14ac:dyDescent="0.3">
      <c r="BB815" s="39"/>
    </row>
    <row r="816" spans="54:54" x14ac:dyDescent="0.3">
      <c r="BB816" s="39"/>
    </row>
    <row r="817" spans="54:54" x14ac:dyDescent="0.3">
      <c r="BB817" s="39"/>
    </row>
    <row r="818" spans="54:54" x14ac:dyDescent="0.3">
      <c r="BB818" s="39"/>
    </row>
    <row r="819" spans="54:54" x14ac:dyDescent="0.3">
      <c r="BB819" s="39"/>
    </row>
    <row r="820" spans="54:54" x14ac:dyDescent="0.3">
      <c r="BB820" s="39"/>
    </row>
    <row r="821" spans="54:54" x14ac:dyDescent="0.3">
      <c r="BB821" s="39"/>
    </row>
    <row r="822" spans="54:54" x14ac:dyDescent="0.3">
      <c r="BB822" s="39"/>
    </row>
    <row r="823" spans="54:54" x14ac:dyDescent="0.3">
      <c r="BB823" s="39"/>
    </row>
    <row r="824" spans="54:54" x14ac:dyDescent="0.3">
      <c r="BB824" s="39"/>
    </row>
    <row r="825" spans="54:54" x14ac:dyDescent="0.3">
      <c r="BB825" s="39"/>
    </row>
    <row r="826" spans="54:54" x14ac:dyDescent="0.3">
      <c r="BB826" s="39"/>
    </row>
    <row r="827" spans="54:54" x14ac:dyDescent="0.3">
      <c r="BB827" s="39"/>
    </row>
    <row r="828" spans="54:54" x14ac:dyDescent="0.3">
      <c r="BB828" s="39"/>
    </row>
    <row r="829" spans="54:54" x14ac:dyDescent="0.3">
      <c r="BB829" s="39"/>
    </row>
    <row r="830" spans="54:54" x14ac:dyDescent="0.3">
      <c r="BB830" s="39"/>
    </row>
    <row r="831" spans="54:54" x14ac:dyDescent="0.3">
      <c r="BB831" s="39"/>
    </row>
    <row r="832" spans="54:54" x14ac:dyDescent="0.3">
      <c r="BB832" s="39"/>
    </row>
    <row r="833" spans="54:54" x14ac:dyDescent="0.3">
      <c r="BB833" s="39"/>
    </row>
    <row r="834" spans="54:54" x14ac:dyDescent="0.3">
      <c r="BB834" s="39"/>
    </row>
    <row r="835" spans="54:54" x14ac:dyDescent="0.3">
      <c r="BB835" s="39"/>
    </row>
    <row r="836" spans="54:54" x14ac:dyDescent="0.3">
      <c r="BB836" s="39"/>
    </row>
    <row r="837" spans="54:54" x14ac:dyDescent="0.3">
      <c r="BB837" s="39"/>
    </row>
    <row r="838" spans="54:54" x14ac:dyDescent="0.3">
      <c r="BB838" s="39"/>
    </row>
    <row r="839" spans="54:54" x14ac:dyDescent="0.3">
      <c r="BB839" s="39"/>
    </row>
    <row r="840" spans="54:54" x14ac:dyDescent="0.3">
      <c r="BB840" s="39"/>
    </row>
    <row r="841" spans="54:54" x14ac:dyDescent="0.3">
      <c r="BB841" s="39"/>
    </row>
    <row r="842" spans="54:54" x14ac:dyDescent="0.3">
      <c r="BB842" s="39"/>
    </row>
    <row r="843" spans="54:54" x14ac:dyDescent="0.3">
      <c r="BB843" s="39"/>
    </row>
    <row r="844" spans="54:54" x14ac:dyDescent="0.3">
      <c r="BB844" s="39"/>
    </row>
    <row r="845" spans="54:54" x14ac:dyDescent="0.3">
      <c r="BB845" s="39"/>
    </row>
    <row r="846" spans="54:54" x14ac:dyDescent="0.3">
      <c r="BB846" s="39"/>
    </row>
    <row r="847" spans="54:54" x14ac:dyDescent="0.3">
      <c r="BB847" s="39"/>
    </row>
    <row r="848" spans="54:54" x14ac:dyDescent="0.3">
      <c r="BB848" s="39"/>
    </row>
    <row r="849" spans="54:54" x14ac:dyDescent="0.3">
      <c r="BB849" s="39"/>
    </row>
    <row r="850" spans="54:54" x14ac:dyDescent="0.3">
      <c r="BB850" s="39"/>
    </row>
    <row r="851" spans="54:54" x14ac:dyDescent="0.3">
      <c r="BB851" s="39"/>
    </row>
    <row r="852" spans="54:54" x14ac:dyDescent="0.3">
      <c r="BB852" s="39"/>
    </row>
    <row r="853" spans="54:54" x14ac:dyDescent="0.3">
      <c r="BB853" s="39"/>
    </row>
    <row r="854" spans="54:54" x14ac:dyDescent="0.3">
      <c r="BB854" s="39"/>
    </row>
    <row r="855" spans="54:54" x14ac:dyDescent="0.3">
      <c r="BB855" s="39"/>
    </row>
    <row r="856" spans="54:54" x14ac:dyDescent="0.3">
      <c r="BB856" s="39"/>
    </row>
    <row r="857" spans="54:54" x14ac:dyDescent="0.3">
      <c r="BB857" s="39"/>
    </row>
    <row r="858" spans="54:54" x14ac:dyDescent="0.3">
      <c r="BB858" s="39"/>
    </row>
    <row r="859" spans="54:54" x14ac:dyDescent="0.3">
      <c r="BB859" s="39"/>
    </row>
    <row r="860" spans="54:54" x14ac:dyDescent="0.3">
      <c r="BB860" s="39"/>
    </row>
    <row r="861" spans="54:54" x14ac:dyDescent="0.3">
      <c r="BB861" s="39"/>
    </row>
    <row r="862" spans="54:54" x14ac:dyDescent="0.3">
      <c r="BB862" s="39"/>
    </row>
    <row r="863" spans="54:54" x14ac:dyDescent="0.3">
      <c r="BB863" s="39"/>
    </row>
    <row r="864" spans="54:54" x14ac:dyDescent="0.3">
      <c r="BB864" s="39"/>
    </row>
    <row r="865" spans="54:54" x14ac:dyDescent="0.3">
      <c r="BB865" s="39"/>
    </row>
    <row r="866" spans="54:54" x14ac:dyDescent="0.3">
      <c r="BB866" s="39"/>
    </row>
    <row r="867" spans="54:54" x14ac:dyDescent="0.3">
      <c r="BB867" s="39"/>
    </row>
    <row r="868" spans="54:54" x14ac:dyDescent="0.3">
      <c r="BB868" s="39"/>
    </row>
    <row r="869" spans="54:54" x14ac:dyDescent="0.3">
      <c r="BB869" s="39"/>
    </row>
    <row r="870" spans="54:54" x14ac:dyDescent="0.3">
      <c r="BB870" s="39"/>
    </row>
    <row r="871" spans="54:54" x14ac:dyDescent="0.3">
      <c r="BB871" s="39"/>
    </row>
    <row r="872" spans="54:54" x14ac:dyDescent="0.3">
      <c r="BB872" s="39"/>
    </row>
    <row r="873" spans="54:54" x14ac:dyDescent="0.3">
      <c r="BB873" s="39"/>
    </row>
    <row r="874" spans="54:54" x14ac:dyDescent="0.3">
      <c r="BB874" s="39"/>
    </row>
    <row r="875" spans="54:54" x14ac:dyDescent="0.3">
      <c r="BB875" s="39"/>
    </row>
    <row r="876" spans="54:54" x14ac:dyDescent="0.3">
      <c r="BB876" s="39"/>
    </row>
    <row r="877" spans="54:54" x14ac:dyDescent="0.3">
      <c r="BB877" s="39"/>
    </row>
    <row r="878" spans="54:54" x14ac:dyDescent="0.3">
      <c r="BB878" s="39"/>
    </row>
    <row r="879" spans="54:54" x14ac:dyDescent="0.3">
      <c r="BB879" s="39"/>
    </row>
    <row r="880" spans="54:54" x14ac:dyDescent="0.3">
      <c r="BB880" s="39"/>
    </row>
    <row r="881" spans="54:54" x14ac:dyDescent="0.3">
      <c r="BB881" s="39"/>
    </row>
    <row r="882" spans="54:54" x14ac:dyDescent="0.3">
      <c r="BB882" s="39"/>
    </row>
    <row r="883" spans="54:54" x14ac:dyDescent="0.3">
      <c r="BB883" s="39"/>
    </row>
    <row r="884" spans="54:54" x14ac:dyDescent="0.3">
      <c r="BB884" s="39"/>
    </row>
    <row r="885" spans="54:54" x14ac:dyDescent="0.3">
      <c r="BB885" s="39"/>
    </row>
    <row r="886" spans="54:54" x14ac:dyDescent="0.3">
      <c r="BB886" s="39"/>
    </row>
    <row r="887" spans="54:54" x14ac:dyDescent="0.3">
      <c r="BB887" s="39"/>
    </row>
    <row r="888" spans="54:54" x14ac:dyDescent="0.3">
      <c r="BB888" s="39"/>
    </row>
    <row r="889" spans="54:54" x14ac:dyDescent="0.3">
      <c r="BB889" s="39"/>
    </row>
    <row r="890" spans="54:54" x14ac:dyDescent="0.3">
      <c r="BB890" s="39"/>
    </row>
    <row r="891" spans="54:54" x14ac:dyDescent="0.3">
      <c r="BB891" s="39"/>
    </row>
    <row r="892" spans="54:54" x14ac:dyDescent="0.3">
      <c r="BB892" s="39"/>
    </row>
    <row r="893" spans="54:54" x14ac:dyDescent="0.3">
      <c r="BB893" s="39"/>
    </row>
    <row r="894" spans="54:54" x14ac:dyDescent="0.3">
      <c r="BB894" s="39"/>
    </row>
    <row r="895" spans="54:54" x14ac:dyDescent="0.3">
      <c r="BB895" s="39"/>
    </row>
    <row r="896" spans="54:54" x14ac:dyDescent="0.3">
      <c r="BB896" s="39"/>
    </row>
    <row r="897" spans="54:54" x14ac:dyDescent="0.3">
      <c r="BB897" s="39"/>
    </row>
    <row r="898" spans="54:54" x14ac:dyDescent="0.3">
      <c r="BB898" s="39"/>
    </row>
    <row r="899" spans="54:54" x14ac:dyDescent="0.3">
      <c r="BB899" s="39"/>
    </row>
    <row r="900" spans="54:54" x14ac:dyDescent="0.3">
      <c r="BB900" s="39"/>
    </row>
    <row r="901" spans="54:54" x14ac:dyDescent="0.3">
      <c r="BB901" s="39"/>
    </row>
    <row r="902" spans="54:54" x14ac:dyDescent="0.3">
      <c r="BB902" s="39"/>
    </row>
    <row r="903" spans="54:54" x14ac:dyDescent="0.3">
      <c r="BB903" s="39"/>
    </row>
    <row r="904" spans="54:54" x14ac:dyDescent="0.3">
      <c r="BB904" s="39"/>
    </row>
    <row r="905" spans="54:54" x14ac:dyDescent="0.3">
      <c r="BB905" s="39"/>
    </row>
    <row r="906" spans="54:54" x14ac:dyDescent="0.3">
      <c r="BB906" s="39"/>
    </row>
    <row r="907" spans="54:54" x14ac:dyDescent="0.3">
      <c r="BB907" s="39"/>
    </row>
    <row r="908" spans="54:54" x14ac:dyDescent="0.3">
      <c r="BB908" s="39"/>
    </row>
    <row r="909" spans="54:54" x14ac:dyDescent="0.3">
      <c r="BB909" s="39"/>
    </row>
    <row r="910" spans="54:54" x14ac:dyDescent="0.3">
      <c r="BB910" s="39"/>
    </row>
    <row r="911" spans="54:54" x14ac:dyDescent="0.3">
      <c r="BB911" s="39"/>
    </row>
    <row r="912" spans="54:54" x14ac:dyDescent="0.3">
      <c r="BB912" s="39"/>
    </row>
    <row r="913" spans="54:54" x14ac:dyDescent="0.3">
      <c r="BB913" s="39"/>
    </row>
    <row r="914" spans="54:54" x14ac:dyDescent="0.3">
      <c r="BB914" s="39"/>
    </row>
    <row r="915" spans="54:54" x14ac:dyDescent="0.3">
      <c r="BB915" s="39"/>
    </row>
    <row r="916" spans="54:54" x14ac:dyDescent="0.3">
      <c r="BB916" s="39"/>
    </row>
    <row r="917" spans="54:54" x14ac:dyDescent="0.3">
      <c r="BB917" s="39"/>
    </row>
    <row r="918" spans="54:54" x14ac:dyDescent="0.3">
      <c r="BB918" s="39"/>
    </row>
    <row r="919" spans="54:54" x14ac:dyDescent="0.3">
      <c r="BB919" s="39"/>
    </row>
    <row r="920" spans="54:54" x14ac:dyDescent="0.3">
      <c r="BB920" s="39"/>
    </row>
    <row r="921" spans="54:54" x14ac:dyDescent="0.3">
      <c r="BB921" s="39"/>
    </row>
    <row r="922" spans="54:54" x14ac:dyDescent="0.3">
      <c r="BB922" s="39"/>
    </row>
    <row r="923" spans="54:54" x14ac:dyDescent="0.3">
      <c r="BB923" s="39"/>
    </row>
    <row r="924" spans="54:54" x14ac:dyDescent="0.3">
      <c r="BB924" s="39"/>
    </row>
    <row r="925" spans="54:54" x14ac:dyDescent="0.3">
      <c r="BB925" s="39"/>
    </row>
    <row r="926" spans="54:54" x14ac:dyDescent="0.3">
      <c r="BB926" s="39"/>
    </row>
    <row r="927" spans="54:54" x14ac:dyDescent="0.3">
      <c r="BB927" s="39"/>
    </row>
    <row r="928" spans="54:54" x14ac:dyDescent="0.3">
      <c r="BB928" s="39"/>
    </row>
    <row r="929" spans="54:54" x14ac:dyDescent="0.3">
      <c r="BB929" s="39"/>
    </row>
    <row r="930" spans="54:54" x14ac:dyDescent="0.3">
      <c r="BB930" s="39"/>
    </row>
    <row r="931" spans="54:54" x14ac:dyDescent="0.3">
      <c r="BB931" s="39"/>
    </row>
    <row r="932" spans="54:54" x14ac:dyDescent="0.3">
      <c r="BB932" s="39"/>
    </row>
    <row r="933" spans="54:54" x14ac:dyDescent="0.3">
      <c r="BB933" s="39"/>
    </row>
    <row r="934" spans="54:54" x14ac:dyDescent="0.3">
      <c r="BB934" s="39"/>
    </row>
    <row r="935" spans="54:54" x14ac:dyDescent="0.3">
      <c r="BB935" s="39"/>
    </row>
    <row r="936" spans="54:54" x14ac:dyDescent="0.3">
      <c r="BB936" s="39"/>
    </row>
    <row r="937" spans="54:54" x14ac:dyDescent="0.3">
      <c r="BB937" s="39"/>
    </row>
    <row r="938" spans="54:54" x14ac:dyDescent="0.3">
      <c r="BB938" s="39"/>
    </row>
    <row r="939" spans="54:54" x14ac:dyDescent="0.3">
      <c r="BB939" s="39"/>
    </row>
    <row r="940" spans="54:54" x14ac:dyDescent="0.3">
      <c r="BB940" s="39"/>
    </row>
    <row r="941" spans="54:54" x14ac:dyDescent="0.3">
      <c r="BB941" s="39"/>
    </row>
    <row r="942" spans="54:54" x14ac:dyDescent="0.3">
      <c r="BB942" s="39"/>
    </row>
    <row r="943" spans="54:54" x14ac:dyDescent="0.3">
      <c r="BB943" s="39"/>
    </row>
    <row r="944" spans="54:54" x14ac:dyDescent="0.3">
      <c r="BB944" s="39"/>
    </row>
    <row r="945" spans="54:54" x14ac:dyDescent="0.3">
      <c r="BB945" s="39"/>
    </row>
    <row r="946" spans="54:54" x14ac:dyDescent="0.3">
      <c r="BB946" s="39"/>
    </row>
    <row r="947" spans="54:54" x14ac:dyDescent="0.3">
      <c r="BB947" s="39"/>
    </row>
    <row r="948" spans="54:54" x14ac:dyDescent="0.3">
      <c r="BB948" s="39"/>
    </row>
    <row r="949" spans="54:54" x14ac:dyDescent="0.3">
      <c r="BB949" s="39"/>
    </row>
    <row r="950" spans="54:54" x14ac:dyDescent="0.3">
      <c r="BB950" s="39"/>
    </row>
    <row r="951" spans="54:54" x14ac:dyDescent="0.3">
      <c r="BB951" s="39"/>
    </row>
    <row r="952" spans="54:54" x14ac:dyDescent="0.3">
      <c r="BB952" s="39"/>
    </row>
    <row r="953" spans="54:54" x14ac:dyDescent="0.3">
      <c r="BB953" s="39"/>
    </row>
    <row r="954" spans="54:54" x14ac:dyDescent="0.3">
      <c r="BB954" s="39"/>
    </row>
    <row r="955" spans="54:54" x14ac:dyDescent="0.3">
      <c r="BB955" s="39"/>
    </row>
    <row r="956" spans="54:54" x14ac:dyDescent="0.3">
      <c r="BB956" s="39"/>
    </row>
    <row r="957" spans="54:54" x14ac:dyDescent="0.3">
      <c r="BB957" s="39"/>
    </row>
    <row r="958" spans="54:54" x14ac:dyDescent="0.3">
      <c r="BB958" s="39"/>
    </row>
    <row r="959" spans="54:54" x14ac:dyDescent="0.3">
      <c r="BB959" s="39"/>
    </row>
    <row r="960" spans="54:54" x14ac:dyDescent="0.3">
      <c r="BB960" s="39"/>
    </row>
    <row r="961" spans="54:54" x14ac:dyDescent="0.3">
      <c r="BB961" s="39"/>
    </row>
    <row r="962" spans="54:54" x14ac:dyDescent="0.3">
      <c r="BB962" s="39"/>
    </row>
    <row r="963" spans="54:54" x14ac:dyDescent="0.3">
      <c r="BB963" s="39"/>
    </row>
    <row r="964" spans="54:54" x14ac:dyDescent="0.3">
      <c r="BB964" s="39"/>
    </row>
    <row r="965" spans="54:54" x14ac:dyDescent="0.3">
      <c r="BB965" s="39"/>
    </row>
    <row r="966" spans="54:54" x14ac:dyDescent="0.3">
      <c r="BB966" s="39"/>
    </row>
    <row r="967" spans="54:54" x14ac:dyDescent="0.3">
      <c r="BB967" s="39"/>
    </row>
    <row r="968" spans="54:54" x14ac:dyDescent="0.3">
      <c r="BB968" s="39"/>
    </row>
    <row r="969" spans="54:54" x14ac:dyDescent="0.3">
      <c r="BB969" s="39"/>
    </row>
    <row r="970" spans="54:54" x14ac:dyDescent="0.3">
      <c r="BB970" s="39"/>
    </row>
    <row r="971" spans="54:54" x14ac:dyDescent="0.3">
      <c r="BB971" s="39"/>
    </row>
    <row r="972" spans="54:54" x14ac:dyDescent="0.3">
      <c r="BB972" s="39"/>
    </row>
    <row r="973" spans="54:54" x14ac:dyDescent="0.3">
      <c r="BB973" s="39"/>
    </row>
    <row r="974" spans="54:54" x14ac:dyDescent="0.3">
      <c r="BB974" s="39"/>
    </row>
    <row r="975" spans="54:54" x14ac:dyDescent="0.3">
      <c r="BB975" s="39"/>
    </row>
    <row r="976" spans="54:54" x14ac:dyDescent="0.3">
      <c r="BB976" s="39"/>
    </row>
    <row r="977" spans="54:54" x14ac:dyDescent="0.3">
      <c r="BB977" s="39"/>
    </row>
    <row r="978" spans="54:54" x14ac:dyDescent="0.3">
      <c r="BB978" s="39"/>
    </row>
    <row r="979" spans="54:54" x14ac:dyDescent="0.3">
      <c r="BB979" s="39"/>
    </row>
    <row r="980" spans="54:54" x14ac:dyDescent="0.3">
      <c r="BB980" s="39"/>
    </row>
    <row r="981" spans="54:54" x14ac:dyDescent="0.3">
      <c r="BB981" s="39"/>
    </row>
    <row r="982" spans="54:54" x14ac:dyDescent="0.3">
      <c r="BB982" s="39"/>
    </row>
    <row r="983" spans="54:54" x14ac:dyDescent="0.3">
      <c r="BB983" s="39"/>
    </row>
    <row r="984" spans="54:54" x14ac:dyDescent="0.3">
      <c r="BB984" s="39"/>
    </row>
    <row r="985" spans="54:54" x14ac:dyDescent="0.3">
      <c r="BB985" s="39"/>
    </row>
    <row r="986" spans="54:54" x14ac:dyDescent="0.3">
      <c r="BB986" s="39"/>
    </row>
    <row r="987" spans="54:54" x14ac:dyDescent="0.3">
      <c r="BB987" s="39"/>
    </row>
    <row r="988" spans="54:54" x14ac:dyDescent="0.3">
      <c r="BB988" s="39"/>
    </row>
    <row r="989" spans="54:54" x14ac:dyDescent="0.3">
      <c r="BB989" s="39"/>
    </row>
    <row r="990" spans="54:54" x14ac:dyDescent="0.3">
      <c r="BB990" s="39"/>
    </row>
    <row r="991" spans="54:54" x14ac:dyDescent="0.3">
      <c r="BB991" s="39"/>
    </row>
    <row r="992" spans="54:54" x14ac:dyDescent="0.3">
      <c r="BB992" s="39"/>
    </row>
    <row r="993" spans="54:54" x14ac:dyDescent="0.3">
      <c r="BB993" s="39"/>
    </row>
    <row r="994" spans="54:54" x14ac:dyDescent="0.3">
      <c r="BB994" s="39"/>
    </row>
    <row r="995" spans="54:54" x14ac:dyDescent="0.3">
      <c r="BB995" s="39"/>
    </row>
    <row r="996" spans="54:54" x14ac:dyDescent="0.3">
      <c r="BB996" s="39"/>
    </row>
    <row r="997" spans="54:54" x14ac:dyDescent="0.3">
      <c r="BB997" s="39"/>
    </row>
    <row r="998" spans="54:54" x14ac:dyDescent="0.3">
      <c r="BB998" s="39"/>
    </row>
    <row r="999" spans="54:54" x14ac:dyDescent="0.3">
      <c r="BB999" s="39"/>
    </row>
    <row r="1000" spans="54:54" x14ac:dyDescent="0.3">
      <c r="BB1000" s="39"/>
    </row>
    <row r="1001" spans="54:54" x14ac:dyDescent="0.3">
      <c r="BB1001" s="39"/>
    </row>
    <row r="1002" spans="54:54" x14ac:dyDescent="0.3">
      <c r="BB1002" s="39"/>
    </row>
    <row r="1003" spans="54:54" x14ac:dyDescent="0.3">
      <c r="BB1003" s="39"/>
    </row>
    <row r="1004" spans="54:54" x14ac:dyDescent="0.3">
      <c r="BB1004" s="39"/>
    </row>
    <row r="1005" spans="54:54" x14ac:dyDescent="0.3">
      <c r="BB1005" s="39"/>
    </row>
    <row r="1006" spans="54:54" x14ac:dyDescent="0.3">
      <c r="BB1006" s="39"/>
    </row>
    <row r="1007" spans="54:54" x14ac:dyDescent="0.3">
      <c r="BB1007" s="39"/>
    </row>
    <row r="1008" spans="54:54" x14ac:dyDescent="0.3">
      <c r="BB1008" s="39"/>
    </row>
    <row r="1009" spans="54:54" x14ac:dyDescent="0.3">
      <c r="BB1009" s="39"/>
    </row>
    <row r="1010" spans="54:54" x14ac:dyDescent="0.3">
      <c r="BB1010" s="39"/>
    </row>
    <row r="1011" spans="54:54" x14ac:dyDescent="0.3">
      <c r="BB1011" s="39"/>
    </row>
    <row r="1012" spans="54:54" x14ac:dyDescent="0.3">
      <c r="BB1012" s="39"/>
    </row>
    <row r="1013" spans="54:54" x14ac:dyDescent="0.3">
      <c r="BB1013" s="39"/>
    </row>
    <row r="1014" spans="54:54" x14ac:dyDescent="0.3">
      <c r="BB1014" s="39"/>
    </row>
    <row r="1015" spans="54:54" x14ac:dyDescent="0.3">
      <c r="BB1015" s="39"/>
    </row>
    <row r="1016" spans="54:54" x14ac:dyDescent="0.3">
      <c r="BB1016" s="39"/>
    </row>
    <row r="1017" spans="54:54" x14ac:dyDescent="0.3">
      <c r="BB1017" s="39"/>
    </row>
    <row r="1018" spans="54:54" x14ac:dyDescent="0.3">
      <c r="BB1018" s="39"/>
    </row>
    <row r="1019" spans="54:54" x14ac:dyDescent="0.3">
      <c r="BB1019" s="39"/>
    </row>
    <row r="1020" spans="54:54" x14ac:dyDescent="0.3">
      <c r="BB1020" s="39"/>
    </row>
    <row r="1021" spans="54:54" x14ac:dyDescent="0.3">
      <c r="BB1021" s="39"/>
    </row>
    <row r="1022" spans="54:54" x14ac:dyDescent="0.3">
      <c r="BB1022" s="39"/>
    </row>
    <row r="1023" spans="54:54" x14ac:dyDescent="0.3">
      <c r="BB1023" s="39"/>
    </row>
    <row r="1024" spans="54:54" x14ac:dyDescent="0.3">
      <c r="BB1024" s="39"/>
    </row>
    <row r="1025" spans="54:54" x14ac:dyDescent="0.3">
      <c r="BB1025" s="39"/>
    </row>
    <row r="1026" spans="54:54" x14ac:dyDescent="0.3">
      <c r="BB1026" s="39"/>
    </row>
    <row r="1027" spans="54:54" x14ac:dyDescent="0.3">
      <c r="BB1027" s="39"/>
    </row>
    <row r="1028" spans="54:54" x14ac:dyDescent="0.3">
      <c r="BB1028" s="39"/>
    </row>
    <row r="1029" spans="54:54" x14ac:dyDescent="0.3">
      <c r="BB1029" s="39"/>
    </row>
    <row r="1030" spans="54:54" x14ac:dyDescent="0.3">
      <c r="BB1030" s="39"/>
    </row>
    <row r="1031" spans="54:54" x14ac:dyDescent="0.3">
      <c r="BB1031" s="39"/>
    </row>
    <row r="1032" spans="54:54" x14ac:dyDescent="0.3">
      <c r="BB1032" s="39"/>
    </row>
    <row r="1033" spans="54:54" x14ac:dyDescent="0.3">
      <c r="BB1033" s="39"/>
    </row>
    <row r="1034" spans="54:54" x14ac:dyDescent="0.3">
      <c r="BB1034" s="39"/>
    </row>
    <row r="1035" spans="54:54" x14ac:dyDescent="0.3">
      <c r="BB1035" s="39"/>
    </row>
    <row r="1036" spans="54:54" x14ac:dyDescent="0.3">
      <c r="BB1036" s="39"/>
    </row>
    <row r="1037" spans="54:54" x14ac:dyDescent="0.3">
      <c r="BB1037" s="39"/>
    </row>
    <row r="1038" spans="54:54" x14ac:dyDescent="0.3">
      <c r="BB1038" s="39"/>
    </row>
    <row r="1039" spans="54:54" x14ac:dyDescent="0.3">
      <c r="BB1039" s="39"/>
    </row>
    <row r="1040" spans="54:54" x14ac:dyDescent="0.3">
      <c r="BB1040" s="39"/>
    </row>
    <row r="1041" spans="54:54" x14ac:dyDescent="0.3">
      <c r="BB1041" s="39"/>
    </row>
    <row r="1042" spans="54:54" x14ac:dyDescent="0.3">
      <c r="BB1042" s="39"/>
    </row>
    <row r="1043" spans="54:54" x14ac:dyDescent="0.3">
      <c r="BB1043" s="39"/>
    </row>
    <row r="1044" spans="54:54" x14ac:dyDescent="0.3">
      <c r="BB1044" s="39"/>
    </row>
    <row r="1045" spans="54:54" x14ac:dyDescent="0.3">
      <c r="BB1045" s="39"/>
    </row>
    <row r="1046" spans="54:54" x14ac:dyDescent="0.3">
      <c r="BB1046" s="39"/>
    </row>
    <row r="1047" spans="54:54" x14ac:dyDescent="0.3">
      <c r="BB1047" s="39"/>
    </row>
    <row r="1048" spans="54:54" x14ac:dyDescent="0.3">
      <c r="BB1048" s="39"/>
    </row>
    <row r="1049" spans="54:54" x14ac:dyDescent="0.3">
      <c r="BB1049" s="39"/>
    </row>
    <row r="1050" spans="54:54" x14ac:dyDescent="0.3">
      <c r="BB1050" s="39"/>
    </row>
    <row r="1051" spans="54:54" x14ac:dyDescent="0.3">
      <c r="BB1051" s="39"/>
    </row>
    <row r="1052" spans="54:54" x14ac:dyDescent="0.3">
      <c r="BB1052" s="39"/>
    </row>
    <row r="1053" spans="54:54" x14ac:dyDescent="0.3">
      <c r="BB1053" s="39"/>
    </row>
    <row r="1054" spans="54:54" x14ac:dyDescent="0.3">
      <c r="BB1054" s="39"/>
    </row>
    <row r="1055" spans="54:54" x14ac:dyDescent="0.3">
      <c r="BB1055" s="39"/>
    </row>
    <row r="1056" spans="54:54" x14ac:dyDescent="0.3">
      <c r="BB1056" s="39"/>
    </row>
    <row r="1057" spans="54:54" x14ac:dyDescent="0.3">
      <c r="BB1057" s="39"/>
    </row>
    <row r="1058" spans="54:54" x14ac:dyDescent="0.3">
      <c r="BB1058" s="39"/>
    </row>
    <row r="1059" spans="54:54" x14ac:dyDescent="0.3">
      <c r="BB1059" s="39"/>
    </row>
    <row r="1060" spans="54:54" x14ac:dyDescent="0.3">
      <c r="BB1060" s="39"/>
    </row>
    <row r="1061" spans="54:54" x14ac:dyDescent="0.3">
      <c r="BB1061" s="39"/>
    </row>
    <row r="1062" spans="54:54" x14ac:dyDescent="0.3">
      <c r="BB1062" s="39"/>
    </row>
    <row r="1063" spans="54:54" x14ac:dyDescent="0.3">
      <c r="BB1063" s="39"/>
    </row>
    <row r="1064" spans="54:54" x14ac:dyDescent="0.3">
      <c r="BB1064" s="39"/>
    </row>
    <row r="1065" spans="54:54" x14ac:dyDescent="0.3">
      <c r="BB1065" s="39"/>
    </row>
    <row r="1066" spans="54:54" x14ac:dyDescent="0.3">
      <c r="BB1066" s="39"/>
    </row>
    <row r="1067" spans="54:54" x14ac:dyDescent="0.3">
      <c r="BB1067" s="39"/>
    </row>
    <row r="1068" spans="54:54" x14ac:dyDescent="0.3">
      <c r="BB1068" s="39"/>
    </row>
    <row r="1069" spans="54:54" x14ac:dyDescent="0.3">
      <c r="BB1069" s="39"/>
    </row>
    <row r="1070" spans="54:54" x14ac:dyDescent="0.3">
      <c r="BB1070" s="39"/>
    </row>
    <row r="1071" spans="54:54" x14ac:dyDescent="0.3">
      <c r="BB1071" s="39"/>
    </row>
    <row r="1072" spans="54:54" x14ac:dyDescent="0.3">
      <c r="BB1072" s="39"/>
    </row>
    <row r="1073" spans="54:54" x14ac:dyDescent="0.3">
      <c r="BB1073" s="39"/>
    </row>
    <row r="1074" spans="54:54" x14ac:dyDescent="0.3">
      <c r="BB1074" s="39"/>
    </row>
    <row r="1075" spans="54:54" x14ac:dyDescent="0.3">
      <c r="BB1075" s="39"/>
    </row>
    <row r="1076" spans="54:54" x14ac:dyDescent="0.3">
      <c r="BB1076" s="39"/>
    </row>
    <row r="1077" spans="54:54" x14ac:dyDescent="0.3">
      <c r="BB1077" s="39"/>
    </row>
    <row r="1078" spans="54:54" x14ac:dyDescent="0.3">
      <c r="BB1078" s="39"/>
    </row>
    <row r="1079" spans="54:54" x14ac:dyDescent="0.3">
      <c r="BB1079" s="39"/>
    </row>
    <row r="1080" spans="54:54" x14ac:dyDescent="0.3">
      <c r="BB1080" s="39"/>
    </row>
    <row r="1081" spans="54:54" x14ac:dyDescent="0.3">
      <c r="BB1081" s="39"/>
    </row>
    <row r="1082" spans="54:54" x14ac:dyDescent="0.3">
      <c r="BB1082" s="39"/>
    </row>
    <row r="1083" spans="54:54" x14ac:dyDescent="0.3">
      <c r="BB1083" s="39"/>
    </row>
    <row r="1084" spans="54:54" x14ac:dyDescent="0.3">
      <c r="BB1084" s="39"/>
    </row>
    <row r="1085" spans="54:54" x14ac:dyDescent="0.3">
      <c r="BB1085" s="39"/>
    </row>
    <row r="1086" spans="54:54" x14ac:dyDescent="0.3">
      <c r="BB1086" s="39"/>
    </row>
    <row r="1087" spans="54:54" x14ac:dyDescent="0.3">
      <c r="BB1087" s="39"/>
    </row>
    <row r="1088" spans="54:54" x14ac:dyDescent="0.3">
      <c r="BB1088" s="39"/>
    </row>
    <row r="1089" spans="54:54" x14ac:dyDescent="0.3">
      <c r="BB1089" s="39"/>
    </row>
    <row r="1090" spans="54:54" x14ac:dyDescent="0.3">
      <c r="BB1090" s="39"/>
    </row>
    <row r="1091" spans="54:54" x14ac:dyDescent="0.3">
      <c r="BB1091" s="39"/>
    </row>
    <row r="1092" spans="54:54" x14ac:dyDescent="0.3">
      <c r="BB1092" s="39"/>
    </row>
    <row r="1093" spans="54:54" x14ac:dyDescent="0.3">
      <c r="BB1093" s="39"/>
    </row>
    <row r="1094" spans="54:54" x14ac:dyDescent="0.3">
      <c r="BB1094" s="39"/>
    </row>
    <row r="1095" spans="54:54" x14ac:dyDescent="0.3">
      <c r="BB1095" s="39"/>
    </row>
    <row r="1096" spans="54:54" x14ac:dyDescent="0.3">
      <c r="BB1096" s="39"/>
    </row>
    <row r="1097" spans="54:54" x14ac:dyDescent="0.3">
      <c r="BB1097" s="39"/>
    </row>
    <row r="1098" spans="54:54" x14ac:dyDescent="0.3">
      <c r="BB1098" s="39"/>
    </row>
    <row r="1099" spans="54:54" x14ac:dyDescent="0.3">
      <c r="BB1099" s="39"/>
    </row>
    <row r="1100" spans="54:54" x14ac:dyDescent="0.3">
      <c r="BB1100" s="39"/>
    </row>
    <row r="1101" spans="54:54" x14ac:dyDescent="0.3">
      <c r="BB1101" s="39"/>
    </row>
    <row r="1102" spans="54:54" x14ac:dyDescent="0.3">
      <c r="BB1102" s="39"/>
    </row>
    <row r="1103" spans="54:54" x14ac:dyDescent="0.3">
      <c r="BB1103" s="39"/>
    </row>
    <row r="1104" spans="54:54" x14ac:dyDescent="0.3">
      <c r="BB1104" s="39"/>
    </row>
    <row r="1105" spans="54:54" x14ac:dyDescent="0.3">
      <c r="BB1105" s="39"/>
    </row>
    <row r="1106" spans="54:54" x14ac:dyDescent="0.3">
      <c r="BB1106" s="39"/>
    </row>
    <row r="1107" spans="54:54" x14ac:dyDescent="0.3">
      <c r="BB1107" s="39"/>
    </row>
    <row r="1108" spans="54:54" x14ac:dyDescent="0.3">
      <c r="BB1108" s="39"/>
    </row>
    <row r="1109" spans="54:54" x14ac:dyDescent="0.3">
      <c r="BB1109" s="39"/>
    </row>
    <row r="1110" spans="54:54" x14ac:dyDescent="0.3">
      <c r="BB1110" s="39"/>
    </row>
    <row r="1111" spans="54:54" x14ac:dyDescent="0.3">
      <c r="BB1111" s="39"/>
    </row>
    <row r="1112" spans="54:54" x14ac:dyDescent="0.3">
      <c r="BB1112" s="39"/>
    </row>
    <row r="1113" spans="54:54" x14ac:dyDescent="0.3">
      <c r="BB1113" s="39"/>
    </row>
    <row r="1114" spans="54:54" x14ac:dyDescent="0.3">
      <c r="BB1114" s="39"/>
    </row>
    <row r="1115" spans="54:54" x14ac:dyDescent="0.3">
      <c r="BB1115" s="39"/>
    </row>
    <row r="1116" spans="54:54" x14ac:dyDescent="0.3">
      <c r="BB1116" s="39"/>
    </row>
    <row r="1117" spans="54:54" x14ac:dyDescent="0.3">
      <c r="BB1117" s="39"/>
    </row>
    <row r="1118" spans="54:54" x14ac:dyDescent="0.3">
      <c r="BB1118" s="39"/>
    </row>
    <row r="1119" spans="54:54" x14ac:dyDescent="0.3">
      <c r="BB1119" s="39"/>
    </row>
    <row r="1120" spans="54:54" x14ac:dyDescent="0.3">
      <c r="BB1120" s="39"/>
    </row>
    <row r="1121" spans="54:54" x14ac:dyDescent="0.3">
      <c r="BB1121" s="39"/>
    </row>
    <row r="1122" spans="54:54" x14ac:dyDescent="0.3">
      <c r="BB1122" s="39"/>
    </row>
    <row r="1123" spans="54:54" x14ac:dyDescent="0.3">
      <c r="BB1123" s="39"/>
    </row>
    <row r="1124" spans="54:54" x14ac:dyDescent="0.3">
      <c r="BB1124" s="39"/>
    </row>
    <row r="1125" spans="54:54" x14ac:dyDescent="0.3">
      <c r="BB1125" s="39"/>
    </row>
    <row r="1126" spans="54:54" x14ac:dyDescent="0.3">
      <c r="BB1126" s="39"/>
    </row>
    <row r="1127" spans="54:54" x14ac:dyDescent="0.3">
      <c r="BB1127" s="39"/>
    </row>
    <row r="1128" spans="54:54" x14ac:dyDescent="0.3">
      <c r="BB1128" s="39"/>
    </row>
    <row r="1129" spans="54:54" x14ac:dyDescent="0.3">
      <c r="BB1129" s="39"/>
    </row>
    <row r="1130" spans="54:54" x14ac:dyDescent="0.3">
      <c r="BB1130" s="39"/>
    </row>
    <row r="1131" spans="54:54" x14ac:dyDescent="0.3">
      <c r="BB1131" s="39"/>
    </row>
    <row r="1132" spans="54:54" x14ac:dyDescent="0.3">
      <c r="BB1132" s="39"/>
    </row>
    <row r="1133" spans="54:54" x14ac:dyDescent="0.3">
      <c r="BB1133" s="39"/>
    </row>
    <row r="1134" spans="54:54" x14ac:dyDescent="0.3">
      <c r="BB1134" s="39"/>
    </row>
    <row r="1135" spans="54:54" x14ac:dyDescent="0.3">
      <c r="BB1135" s="39"/>
    </row>
    <row r="1136" spans="54:54" x14ac:dyDescent="0.3">
      <c r="BB1136" s="39"/>
    </row>
    <row r="1137" spans="54:54" x14ac:dyDescent="0.3">
      <c r="BB1137" s="39"/>
    </row>
    <row r="1138" spans="54:54" x14ac:dyDescent="0.3">
      <c r="BB1138" s="39"/>
    </row>
    <row r="1139" spans="54:54" x14ac:dyDescent="0.3">
      <c r="BB1139" s="39"/>
    </row>
    <row r="1140" spans="54:54" x14ac:dyDescent="0.3">
      <c r="BB1140" s="39"/>
    </row>
    <row r="1141" spans="54:54" x14ac:dyDescent="0.3">
      <c r="BB1141" s="39"/>
    </row>
    <row r="1142" spans="54:54" x14ac:dyDescent="0.3">
      <c r="BB1142" s="39"/>
    </row>
    <row r="1143" spans="54:54" x14ac:dyDescent="0.3">
      <c r="BB1143" s="39"/>
    </row>
    <row r="1144" spans="54:54" x14ac:dyDescent="0.3">
      <c r="BB1144" s="39"/>
    </row>
    <row r="1145" spans="54:54" x14ac:dyDescent="0.3">
      <c r="BB1145" s="39"/>
    </row>
    <row r="1146" spans="54:54" x14ac:dyDescent="0.3">
      <c r="BB1146" s="39"/>
    </row>
    <row r="1147" spans="54:54" x14ac:dyDescent="0.3">
      <c r="BB1147" s="39"/>
    </row>
    <row r="1148" spans="54:54" x14ac:dyDescent="0.3">
      <c r="BB1148" s="39"/>
    </row>
    <row r="1149" spans="54:54" x14ac:dyDescent="0.3">
      <c r="BB1149" s="39"/>
    </row>
    <row r="1150" spans="54:54" x14ac:dyDescent="0.3">
      <c r="BB1150" s="39"/>
    </row>
    <row r="1151" spans="54:54" x14ac:dyDescent="0.3">
      <c r="BB1151" s="39"/>
    </row>
    <row r="1152" spans="54:54" x14ac:dyDescent="0.3">
      <c r="BB1152" s="39"/>
    </row>
    <row r="1153" spans="54:54" x14ac:dyDescent="0.3">
      <c r="BB1153" s="39"/>
    </row>
    <row r="1154" spans="54:54" x14ac:dyDescent="0.3">
      <c r="BB1154" s="39"/>
    </row>
    <row r="1155" spans="54:54" x14ac:dyDescent="0.3">
      <c r="BB1155" s="39"/>
    </row>
    <row r="1156" spans="54:54" x14ac:dyDescent="0.3">
      <c r="BB1156" s="39"/>
    </row>
    <row r="1157" spans="54:54" x14ac:dyDescent="0.3">
      <c r="BB1157" s="39"/>
    </row>
    <row r="1158" spans="54:54" x14ac:dyDescent="0.3">
      <c r="BB1158" s="39"/>
    </row>
    <row r="1159" spans="54:54" x14ac:dyDescent="0.3">
      <c r="BB1159" s="39"/>
    </row>
    <row r="1160" spans="54:54" x14ac:dyDescent="0.3">
      <c r="BB1160" s="39"/>
    </row>
    <row r="1161" spans="54:54" x14ac:dyDescent="0.3">
      <c r="BB1161" s="39"/>
    </row>
    <row r="1162" spans="54:54" x14ac:dyDescent="0.3">
      <c r="BB1162" s="39"/>
    </row>
    <row r="1163" spans="54:54" x14ac:dyDescent="0.3">
      <c r="BB1163" s="39"/>
    </row>
    <row r="1164" spans="54:54" x14ac:dyDescent="0.3">
      <c r="BB1164" s="39"/>
    </row>
    <row r="1165" spans="54:54" x14ac:dyDescent="0.3">
      <c r="BB1165" s="39"/>
    </row>
    <row r="1166" spans="54:54" x14ac:dyDescent="0.3">
      <c r="BB1166" s="39"/>
    </row>
    <row r="1167" spans="54:54" x14ac:dyDescent="0.3">
      <c r="BB1167" s="39"/>
    </row>
    <row r="1168" spans="54:54" x14ac:dyDescent="0.3">
      <c r="BB1168" s="39"/>
    </row>
    <row r="1169" spans="54:54" x14ac:dyDescent="0.3">
      <c r="BB1169" s="39"/>
    </row>
    <row r="1170" spans="54:54" x14ac:dyDescent="0.3">
      <c r="BB1170" s="39"/>
    </row>
    <row r="1171" spans="54:54" x14ac:dyDescent="0.3">
      <c r="BB1171" s="39"/>
    </row>
    <row r="1172" spans="54:54" x14ac:dyDescent="0.3">
      <c r="BB1172" s="39"/>
    </row>
    <row r="1173" spans="54:54" x14ac:dyDescent="0.3">
      <c r="BB1173" s="39"/>
    </row>
    <row r="1174" spans="54:54" x14ac:dyDescent="0.3">
      <c r="BB1174" s="39"/>
    </row>
    <row r="1175" spans="54:54" x14ac:dyDescent="0.3">
      <c r="BB1175" s="39"/>
    </row>
    <row r="1176" spans="54:54" x14ac:dyDescent="0.3">
      <c r="BB1176" s="39"/>
    </row>
    <row r="1177" spans="54:54" x14ac:dyDescent="0.3">
      <c r="BB1177" s="39"/>
    </row>
    <row r="1178" spans="54:54" x14ac:dyDescent="0.3">
      <c r="BB1178" s="39"/>
    </row>
    <row r="1179" spans="54:54" x14ac:dyDescent="0.3">
      <c r="BB1179" s="39"/>
    </row>
    <row r="1180" spans="54:54" x14ac:dyDescent="0.3">
      <c r="BB1180" s="39"/>
    </row>
    <row r="1181" spans="54:54" x14ac:dyDescent="0.3">
      <c r="BB1181" s="39"/>
    </row>
    <row r="1182" spans="54:54" x14ac:dyDescent="0.3">
      <c r="BB1182" s="39"/>
    </row>
    <row r="1183" spans="54:54" x14ac:dyDescent="0.3">
      <c r="BB1183" s="39"/>
    </row>
    <row r="1184" spans="54:54" x14ac:dyDescent="0.3">
      <c r="BB1184" s="39"/>
    </row>
    <row r="1185" spans="54:54" x14ac:dyDescent="0.3">
      <c r="BB1185" s="39"/>
    </row>
    <row r="1186" spans="54:54" x14ac:dyDescent="0.3">
      <c r="BB1186" s="39"/>
    </row>
    <row r="1187" spans="54:54" x14ac:dyDescent="0.3">
      <c r="BB1187" s="39"/>
    </row>
    <row r="1188" spans="54:54" x14ac:dyDescent="0.3">
      <c r="BB1188" s="39"/>
    </row>
    <row r="1189" spans="54:54" x14ac:dyDescent="0.3">
      <c r="BB1189" s="39"/>
    </row>
    <row r="1190" spans="54:54" x14ac:dyDescent="0.3">
      <c r="BB1190" s="39"/>
    </row>
    <row r="1191" spans="54:54" x14ac:dyDescent="0.3">
      <c r="BB1191" s="39"/>
    </row>
    <row r="1192" spans="54:54" x14ac:dyDescent="0.3">
      <c r="BB1192" s="39"/>
    </row>
    <row r="1193" spans="54:54" x14ac:dyDescent="0.3">
      <c r="BB1193" s="39"/>
    </row>
    <row r="1194" spans="54:54" x14ac:dyDescent="0.3">
      <c r="BB1194" s="39"/>
    </row>
    <row r="1195" spans="54:54" x14ac:dyDescent="0.3">
      <c r="BB1195" s="39"/>
    </row>
    <row r="1196" spans="54:54" x14ac:dyDescent="0.3">
      <c r="BB1196" s="39"/>
    </row>
    <row r="1197" spans="54:54" x14ac:dyDescent="0.3">
      <c r="BB1197" s="39"/>
    </row>
    <row r="1198" spans="54:54" x14ac:dyDescent="0.3">
      <c r="BB1198" s="39"/>
    </row>
    <row r="1199" spans="54:54" x14ac:dyDescent="0.3">
      <c r="BB1199" s="39"/>
    </row>
    <row r="1200" spans="54:54" x14ac:dyDescent="0.3">
      <c r="BB1200" s="39"/>
    </row>
    <row r="1201" spans="54:54" x14ac:dyDescent="0.3">
      <c r="BB1201" s="39"/>
    </row>
    <row r="1202" spans="54:54" x14ac:dyDescent="0.3">
      <c r="BB1202" s="39"/>
    </row>
    <row r="1203" spans="54:54" x14ac:dyDescent="0.3">
      <c r="BB1203" s="39"/>
    </row>
    <row r="1204" spans="54:54" x14ac:dyDescent="0.3">
      <c r="BB1204" s="39"/>
    </row>
    <row r="1205" spans="54:54" x14ac:dyDescent="0.3">
      <c r="BB1205" s="39"/>
    </row>
    <row r="1206" spans="54:54" x14ac:dyDescent="0.3">
      <c r="BB1206" s="39"/>
    </row>
    <row r="1207" spans="54:54" x14ac:dyDescent="0.3">
      <c r="BB1207" s="39"/>
    </row>
    <row r="1208" spans="54:54" x14ac:dyDescent="0.3">
      <c r="BB1208" s="39"/>
    </row>
    <row r="1209" spans="54:54" x14ac:dyDescent="0.3">
      <c r="BB1209" s="39"/>
    </row>
    <row r="1210" spans="54:54" x14ac:dyDescent="0.3">
      <c r="BB1210" s="39"/>
    </row>
    <row r="1211" spans="54:54" x14ac:dyDescent="0.3">
      <c r="BB1211" s="39"/>
    </row>
    <row r="1212" spans="54:54" x14ac:dyDescent="0.3">
      <c r="BB1212" s="39"/>
    </row>
    <row r="1213" spans="54:54" x14ac:dyDescent="0.3">
      <c r="BB1213" s="39"/>
    </row>
    <row r="1214" spans="54:54" x14ac:dyDescent="0.3">
      <c r="BB1214" s="39"/>
    </row>
    <row r="1215" spans="54:54" x14ac:dyDescent="0.3">
      <c r="BB1215" s="39"/>
    </row>
    <row r="1216" spans="54:54" x14ac:dyDescent="0.3">
      <c r="BB1216" s="39"/>
    </row>
    <row r="1217" spans="54:54" x14ac:dyDescent="0.3">
      <c r="BB1217" s="39"/>
    </row>
    <row r="1218" spans="54:54" x14ac:dyDescent="0.3">
      <c r="BB1218" s="39"/>
    </row>
    <row r="1219" spans="54:54" x14ac:dyDescent="0.3">
      <c r="BB1219" s="39"/>
    </row>
    <row r="1220" spans="54:54" x14ac:dyDescent="0.3">
      <c r="BB1220" s="39"/>
    </row>
    <row r="1221" spans="54:54" x14ac:dyDescent="0.3">
      <c r="BB1221" s="39"/>
    </row>
    <row r="1222" spans="54:54" x14ac:dyDescent="0.3">
      <c r="BB1222" s="39"/>
    </row>
    <row r="1223" spans="54:54" x14ac:dyDescent="0.3">
      <c r="BB1223" s="39"/>
    </row>
    <row r="1224" spans="54:54" x14ac:dyDescent="0.3">
      <c r="BB1224" s="39"/>
    </row>
    <row r="1225" spans="54:54" x14ac:dyDescent="0.3">
      <c r="BB1225" s="39"/>
    </row>
    <row r="1226" spans="54:54" x14ac:dyDescent="0.3">
      <c r="BB1226" s="39"/>
    </row>
    <row r="1227" spans="54:54" x14ac:dyDescent="0.3">
      <c r="BB1227" s="39"/>
    </row>
    <row r="1228" spans="54:54" x14ac:dyDescent="0.3">
      <c r="BB1228" s="39"/>
    </row>
    <row r="1229" spans="54:54" x14ac:dyDescent="0.3">
      <c r="BB1229" s="39"/>
    </row>
    <row r="1230" spans="54:54" x14ac:dyDescent="0.3">
      <c r="BB1230" s="39"/>
    </row>
    <row r="1231" spans="54:54" x14ac:dyDescent="0.3">
      <c r="BB1231" s="39"/>
    </row>
    <row r="1232" spans="54:54" x14ac:dyDescent="0.3">
      <c r="BB1232" s="39"/>
    </row>
    <row r="1233" spans="54:54" x14ac:dyDescent="0.3">
      <c r="BB1233" s="39"/>
    </row>
    <row r="1234" spans="54:54" x14ac:dyDescent="0.3">
      <c r="BB1234" s="39"/>
    </row>
    <row r="1235" spans="54:54" x14ac:dyDescent="0.3">
      <c r="BB1235" s="39"/>
    </row>
    <row r="1236" spans="54:54" x14ac:dyDescent="0.3">
      <c r="BB1236" s="39"/>
    </row>
    <row r="1237" spans="54:54" x14ac:dyDescent="0.3">
      <c r="BB1237" s="39"/>
    </row>
    <row r="1238" spans="54:54" x14ac:dyDescent="0.3">
      <c r="BB1238" s="39"/>
    </row>
    <row r="1239" spans="54:54" x14ac:dyDescent="0.3">
      <c r="BB1239" s="39"/>
    </row>
    <row r="1240" spans="54:54" x14ac:dyDescent="0.3">
      <c r="BB1240" s="39"/>
    </row>
    <row r="1241" spans="54:54" x14ac:dyDescent="0.3">
      <c r="BB1241" s="39"/>
    </row>
    <row r="1242" spans="54:54" x14ac:dyDescent="0.3">
      <c r="BB1242" s="39"/>
    </row>
    <row r="1243" spans="54:54" x14ac:dyDescent="0.3">
      <c r="BB1243" s="39"/>
    </row>
    <row r="1244" spans="54:54" x14ac:dyDescent="0.3">
      <c r="BB1244" s="39"/>
    </row>
    <row r="1245" spans="54:54" x14ac:dyDescent="0.3">
      <c r="BB1245" s="39"/>
    </row>
    <row r="1246" spans="54:54" x14ac:dyDescent="0.3">
      <c r="BB1246" s="39"/>
    </row>
    <row r="1247" spans="54:54" x14ac:dyDescent="0.3">
      <c r="BB1247" s="39"/>
    </row>
    <row r="1248" spans="54:54" x14ac:dyDescent="0.3">
      <c r="BB1248" s="39"/>
    </row>
    <row r="1249" spans="54:54" x14ac:dyDescent="0.3">
      <c r="BB1249" s="39"/>
    </row>
    <row r="1250" spans="54:54" x14ac:dyDescent="0.3">
      <c r="BB1250" s="39"/>
    </row>
    <row r="1251" spans="54:54" x14ac:dyDescent="0.3">
      <c r="BB1251" s="39"/>
    </row>
    <row r="1252" spans="54:54" x14ac:dyDescent="0.3">
      <c r="BB1252" s="39"/>
    </row>
    <row r="1253" spans="54:54" x14ac:dyDescent="0.3">
      <c r="BB1253" s="39"/>
    </row>
    <row r="1254" spans="54:54" x14ac:dyDescent="0.3">
      <c r="BB1254" s="39"/>
    </row>
    <row r="1255" spans="54:54" x14ac:dyDescent="0.3">
      <c r="BB1255" s="39"/>
    </row>
    <row r="1256" spans="54:54" x14ac:dyDescent="0.3">
      <c r="BB1256" s="39"/>
    </row>
    <row r="1257" spans="54:54" x14ac:dyDescent="0.3">
      <c r="BB1257" s="39"/>
    </row>
    <row r="1258" spans="54:54" x14ac:dyDescent="0.3">
      <c r="BB1258" s="39"/>
    </row>
    <row r="1259" spans="54:54" x14ac:dyDescent="0.3">
      <c r="BB1259" s="39"/>
    </row>
    <row r="1260" spans="54:54" x14ac:dyDescent="0.3">
      <c r="BB1260" s="39"/>
    </row>
    <row r="1261" spans="54:54" x14ac:dyDescent="0.3">
      <c r="BB1261" s="39"/>
    </row>
    <row r="1262" spans="54:54" x14ac:dyDescent="0.3">
      <c r="BB1262" s="39"/>
    </row>
    <row r="1263" spans="54:54" x14ac:dyDescent="0.3">
      <c r="BB1263" s="39"/>
    </row>
    <row r="1264" spans="54:54" x14ac:dyDescent="0.3">
      <c r="BB1264" s="39"/>
    </row>
    <row r="1265" spans="54:54" x14ac:dyDescent="0.3">
      <c r="BB1265" s="39"/>
    </row>
    <row r="1266" spans="54:54" x14ac:dyDescent="0.3">
      <c r="BB1266" s="39"/>
    </row>
    <row r="1267" spans="54:54" x14ac:dyDescent="0.3">
      <c r="BB1267" s="39"/>
    </row>
    <row r="1268" spans="54:54" x14ac:dyDescent="0.3">
      <c r="BB1268" s="39"/>
    </row>
    <row r="1269" spans="54:54" x14ac:dyDescent="0.3">
      <c r="BB1269" s="39"/>
    </row>
    <row r="1270" spans="54:54" x14ac:dyDescent="0.3">
      <c r="BB1270" s="39"/>
    </row>
    <row r="1271" spans="54:54" x14ac:dyDescent="0.3">
      <c r="BB1271" s="39"/>
    </row>
    <row r="1272" spans="54:54" x14ac:dyDescent="0.3">
      <c r="BB1272" s="39"/>
    </row>
    <row r="1273" spans="54:54" x14ac:dyDescent="0.3">
      <c r="BB1273" s="39"/>
    </row>
    <row r="1274" spans="54:54" x14ac:dyDescent="0.3">
      <c r="BB1274" s="39"/>
    </row>
    <row r="1275" spans="54:54" x14ac:dyDescent="0.3">
      <c r="BB1275" s="39"/>
    </row>
    <row r="1276" spans="54:54" x14ac:dyDescent="0.3">
      <c r="BB1276" s="39"/>
    </row>
    <row r="1277" spans="54:54" x14ac:dyDescent="0.3">
      <c r="BB1277" s="39"/>
    </row>
    <row r="1278" spans="54:54" x14ac:dyDescent="0.3">
      <c r="BB1278" s="39"/>
    </row>
    <row r="1279" spans="54:54" x14ac:dyDescent="0.3">
      <c r="BB1279" s="39"/>
    </row>
    <row r="1280" spans="54:54" x14ac:dyDescent="0.3">
      <c r="BB1280" s="39"/>
    </row>
    <row r="1281" spans="54:54" x14ac:dyDescent="0.3">
      <c r="BB1281" s="39"/>
    </row>
    <row r="1282" spans="54:54" x14ac:dyDescent="0.3">
      <c r="BB1282" s="39"/>
    </row>
    <row r="1283" spans="54:54" x14ac:dyDescent="0.3">
      <c r="BB1283" s="39"/>
    </row>
    <row r="1284" spans="54:54" x14ac:dyDescent="0.3">
      <c r="BB1284" s="39"/>
    </row>
    <row r="1285" spans="54:54" x14ac:dyDescent="0.3">
      <c r="BB1285" s="39"/>
    </row>
    <row r="1286" spans="54:54" x14ac:dyDescent="0.3">
      <c r="BB1286" s="39"/>
    </row>
    <row r="1287" spans="54:54" x14ac:dyDescent="0.3">
      <c r="BB1287" s="39"/>
    </row>
    <row r="1288" spans="54:54" x14ac:dyDescent="0.3">
      <c r="BB1288" s="39"/>
    </row>
    <row r="1289" spans="54:54" x14ac:dyDescent="0.3">
      <c r="BB1289" s="39"/>
    </row>
    <row r="1290" spans="54:54" x14ac:dyDescent="0.3">
      <c r="BB1290" s="39"/>
    </row>
    <row r="1291" spans="54:54" x14ac:dyDescent="0.3">
      <c r="BB1291" s="39"/>
    </row>
    <row r="1292" spans="54:54" x14ac:dyDescent="0.3">
      <c r="BB1292" s="39"/>
    </row>
    <row r="1293" spans="54:54" x14ac:dyDescent="0.3">
      <c r="BB1293" s="39"/>
    </row>
    <row r="1294" spans="54:54" x14ac:dyDescent="0.3">
      <c r="BB1294" s="39"/>
    </row>
    <row r="1295" spans="54:54" x14ac:dyDescent="0.3">
      <c r="BB1295" s="39"/>
    </row>
    <row r="1296" spans="54:54" x14ac:dyDescent="0.3">
      <c r="BB1296" s="39"/>
    </row>
    <row r="1297" spans="54:54" x14ac:dyDescent="0.3">
      <c r="BB1297" s="39"/>
    </row>
    <row r="1298" spans="54:54" x14ac:dyDescent="0.3">
      <c r="BB1298" s="39"/>
    </row>
    <row r="1299" spans="54:54" x14ac:dyDescent="0.3">
      <c r="BB1299" s="39"/>
    </row>
    <row r="1300" spans="54:54" x14ac:dyDescent="0.3">
      <c r="BB1300" s="39"/>
    </row>
    <row r="1301" spans="54:54" x14ac:dyDescent="0.3">
      <c r="BB1301" s="39"/>
    </row>
    <row r="1302" spans="54:54" x14ac:dyDescent="0.3">
      <c r="BB1302" s="39"/>
    </row>
    <row r="1303" spans="54:54" x14ac:dyDescent="0.3">
      <c r="BB1303" s="39"/>
    </row>
    <row r="1304" spans="54:54" x14ac:dyDescent="0.3">
      <c r="BB1304" s="39"/>
    </row>
    <row r="1305" spans="54:54" x14ac:dyDescent="0.3">
      <c r="BB1305" s="39"/>
    </row>
    <row r="1306" spans="54:54" x14ac:dyDescent="0.3">
      <c r="BB1306" s="39"/>
    </row>
    <row r="1307" spans="54:54" x14ac:dyDescent="0.3">
      <c r="BB1307" s="39"/>
    </row>
    <row r="1308" spans="54:54" x14ac:dyDescent="0.3">
      <c r="BB1308" s="39"/>
    </row>
    <row r="1309" spans="54:54" x14ac:dyDescent="0.3">
      <c r="BB1309" s="39"/>
    </row>
    <row r="1310" spans="54:54" x14ac:dyDescent="0.3">
      <c r="BB1310" s="39"/>
    </row>
    <row r="1311" spans="54:54" x14ac:dyDescent="0.3">
      <c r="BB1311" s="39"/>
    </row>
    <row r="1312" spans="54:54" x14ac:dyDescent="0.3">
      <c r="BB1312" s="39"/>
    </row>
    <row r="1313" spans="54:54" x14ac:dyDescent="0.3">
      <c r="BB1313" s="39"/>
    </row>
    <row r="1314" spans="54:54" x14ac:dyDescent="0.3">
      <c r="BB1314" s="39"/>
    </row>
    <row r="1315" spans="54:54" x14ac:dyDescent="0.3">
      <c r="BB1315" s="39"/>
    </row>
    <row r="1316" spans="54:54" x14ac:dyDescent="0.3">
      <c r="BB1316" s="39"/>
    </row>
    <row r="1317" spans="54:54" x14ac:dyDescent="0.3">
      <c r="BB1317" s="39"/>
    </row>
    <row r="1318" spans="54:54" x14ac:dyDescent="0.3">
      <c r="BB1318" s="39"/>
    </row>
    <row r="1319" spans="54:54" x14ac:dyDescent="0.3">
      <c r="BB1319" s="39"/>
    </row>
    <row r="1320" spans="54:54" x14ac:dyDescent="0.3">
      <c r="BB1320" s="39"/>
    </row>
    <row r="1321" spans="54:54" x14ac:dyDescent="0.3">
      <c r="BB1321" s="39"/>
    </row>
    <row r="1322" spans="54:54" x14ac:dyDescent="0.3">
      <c r="BB1322" s="39"/>
    </row>
    <row r="1323" spans="54:54" x14ac:dyDescent="0.3">
      <c r="BB1323" s="39"/>
    </row>
    <row r="1324" spans="54:54" x14ac:dyDescent="0.3">
      <c r="BB1324" s="39"/>
    </row>
    <row r="1325" spans="54:54" x14ac:dyDescent="0.3">
      <c r="BB1325" s="39"/>
    </row>
    <row r="1326" spans="54:54" x14ac:dyDescent="0.3">
      <c r="BB1326" s="39"/>
    </row>
    <row r="1327" spans="54:54" x14ac:dyDescent="0.3">
      <c r="BB1327" s="39"/>
    </row>
    <row r="1328" spans="54:54" x14ac:dyDescent="0.3">
      <c r="BB1328" s="39"/>
    </row>
    <row r="1329" spans="54:54" x14ac:dyDescent="0.3">
      <c r="BB1329" s="39"/>
    </row>
    <row r="1330" spans="54:54" x14ac:dyDescent="0.3">
      <c r="BB1330" s="39"/>
    </row>
    <row r="1331" spans="54:54" x14ac:dyDescent="0.3">
      <c r="BB1331" s="39"/>
    </row>
    <row r="1332" spans="54:54" x14ac:dyDescent="0.3">
      <c r="BB1332" s="39"/>
    </row>
    <row r="1333" spans="54:54" x14ac:dyDescent="0.3">
      <c r="BB1333" s="39"/>
    </row>
    <row r="1334" spans="54:54" x14ac:dyDescent="0.3">
      <c r="BB1334" s="39"/>
    </row>
    <row r="1335" spans="54:54" x14ac:dyDescent="0.3">
      <c r="BB1335" s="39"/>
    </row>
    <row r="1336" spans="54:54" x14ac:dyDescent="0.3">
      <c r="BB1336" s="39"/>
    </row>
    <row r="1337" spans="54:54" x14ac:dyDescent="0.3">
      <c r="BB1337" s="39"/>
    </row>
    <row r="1338" spans="54:54" x14ac:dyDescent="0.3">
      <c r="BB1338" s="39"/>
    </row>
    <row r="1339" spans="54:54" x14ac:dyDescent="0.3">
      <c r="BB1339" s="39"/>
    </row>
    <row r="1340" spans="54:54" x14ac:dyDescent="0.3">
      <c r="BB1340" s="39"/>
    </row>
    <row r="1341" spans="54:54" x14ac:dyDescent="0.3">
      <c r="BB1341" s="39"/>
    </row>
    <row r="1342" spans="54:54" x14ac:dyDescent="0.3">
      <c r="BB1342" s="39"/>
    </row>
    <row r="1343" spans="54:54" x14ac:dyDescent="0.3">
      <c r="BB1343" s="39"/>
    </row>
    <row r="1344" spans="54:54" x14ac:dyDescent="0.3">
      <c r="BB1344" s="39"/>
    </row>
    <row r="1345" spans="54:54" x14ac:dyDescent="0.3">
      <c r="BB1345" s="39"/>
    </row>
    <row r="1346" spans="54:54" x14ac:dyDescent="0.3">
      <c r="BB1346" s="39"/>
    </row>
    <row r="1347" spans="54:54" x14ac:dyDescent="0.3">
      <c r="BB1347" s="39"/>
    </row>
    <row r="1348" spans="54:54" x14ac:dyDescent="0.3">
      <c r="BB1348" s="39"/>
    </row>
    <row r="1349" spans="54:54" x14ac:dyDescent="0.3">
      <c r="BB1349" s="39"/>
    </row>
    <row r="1350" spans="54:54" x14ac:dyDescent="0.3">
      <c r="BB1350" s="39"/>
    </row>
    <row r="1351" spans="54:54" x14ac:dyDescent="0.3">
      <c r="BB1351" s="39"/>
    </row>
    <row r="1352" spans="54:54" x14ac:dyDescent="0.3">
      <c r="BB1352" s="39"/>
    </row>
    <row r="1353" spans="54:54" x14ac:dyDescent="0.3">
      <c r="BB1353" s="39"/>
    </row>
    <row r="1354" spans="54:54" x14ac:dyDescent="0.3">
      <c r="BB1354" s="39"/>
    </row>
    <row r="1355" spans="54:54" x14ac:dyDescent="0.3">
      <c r="BB1355" s="39"/>
    </row>
    <row r="1356" spans="54:54" x14ac:dyDescent="0.3">
      <c r="BB1356" s="39"/>
    </row>
    <row r="1357" spans="54:54" x14ac:dyDescent="0.3">
      <c r="BB1357" s="39"/>
    </row>
    <row r="1358" spans="54:54" x14ac:dyDescent="0.3">
      <c r="BB1358" s="39"/>
    </row>
    <row r="1359" spans="54:54" x14ac:dyDescent="0.3">
      <c r="BB1359" s="39"/>
    </row>
    <row r="1360" spans="54:54" x14ac:dyDescent="0.3">
      <c r="BB1360" s="39"/>
    </row>
    <row r="1361" spans="54:54" x14ac:dyDescent="0.3">
      <c r="BB1361" s="39"/>
    </row>
    <row r="1362" spans="54:54" x14ac:dyDescent="0.3">
      <c r="BB1362" s="39"/>
    </row>
    <row r="1363" spans="54:54" x14ac:dyDescent="0.3">
      <c r="BB1363" s="39"/>
    </row>
    <row r="1364" spans="54:54" x14ac:dyDescent="0.3">
      <c r="BB1364" s="39"/>
    </row>
    <row r="1365" spans="54:54" x14ac:dyDescent="0.3">
      <c r="BB1365" s="39"/>
    </row>
    <row r="1366" spans="54:54" x14ac:dyDescent="0.3">
      <c r="BB1366" s="39"/>
    </row>
    <row r="1367" spans="54:54" x14ac:dyDescent="0.3">
      <c r="BB1367" s="39"/>
    </row>
    <row r="1368" spans="54:54" x14ac:dyDescent="0.3">
      <c r="BB1368" s="39"/>
    </row>
    <row r="1369" spans="54:54" x14ac:dyDescent="0.3">
      <c r="BB1369" s="39"/>
    </row>
    <row r="1370" spans="54:54" x14ac:dyDescent="0.3">
      <c r="BB1370" s="39"/>
    </row>
    <row r="1371" spans="54:54" x14ac:dyDescent="0.3">
      <c r="BB1371" s="39"/>
    </row>
    <row r="1372" spans="54:54" x14ac:dyDescent="0.3">
      <c r="BB1372" s="39"/>
    </row>
    <row r="1373" spans="54:54" x14ac:dyDescent="0.3">
      <c r="BB1373" s="39"/>
    </row>
    <row r="1374" spans="54:54" x14ac:dyDescent="0.3">
      <c r="BB1374" s="39"/>
    </row>
    <row r="1375" spans="54:54" x14ac:dyDescent="0.3">
      <c r="BB1375" s="39"/>
    </row>
    <row r="1376" spans="54:54" x14ac:dyDescent="0.3">
      <c r="BB1376" s="39"/>
    </row>
    <row r="1377" spans="54:54" x14ac:dyDescent="0.3">
      <c r="BB1377" s="39"/>
    </row>
    <row r="1378" spans="54:54" x14ac:dyDescent="0.3">
      <c r="BB1378" s="39"/>
    </row>
    <row r="1379" spans="54:54" x14ac:dyDescent="0.3">
      <c r="BB1379" s="39"/>
    </row>
    <row r="1380" spans="54:54" x14ac:dyDescent="0.3">
      <c r="BB1380" s="39"/>
    </row>
    <row r="1381" spans="54:54" x14ac:dyDescent="0.3">
      <c r="BB1381" s="39"/>
    </row>
    <row r="1382" spans="54:54" x14ac:dyDescent="0.3">
      <c r="BB1382" s="39"/>
    </row>
    <row r="1383" spans="54:54" x14ac:dyDescent="0.3">
      <c r="BB1383" s="39"/>
    </row>
    <row r="1384" spans="54:54" x14ac:dyDescent="0.3">
      <c r="BB1384" s="39"/>
    </row>
    <row r="1385" spans="54:54" x14ac:dyDescent="0.3">
      <c r="BB1385" s="39"/>
    </row>
    <row r="1386" spans="54:54" x14ac:dyDescent="0.3">
      <c r="BB1386" s="39"/>
    </row>
    <row r="1387" spans="54:54" x14ac:dyDescent="0.3">
      <c r="BB1387" s="39"/>
    </row>
    <row r="1388" spans="54:54" x14ac:dyDescent="0.3">
      <c r="BB1388" s="39"/>
    </row>
    <row r="1389" spans="54:54" x14ac:dyDescent="0.3">
      <c r="BB1389" s="39"/>
    </row>
    <row r="1390" spans="54:54" x14ac:dyDescent="0.3">
      <c r="BB1390" s="39"/>
    </row>
    <row r="1391" spans="54:54" x14ac:dyDescent="0.3">
      <c r="BB1391" s="39"/>
    </row>
    <row r="1392" spans="54:54" x14ac:dyDescent="0.3">
      <c r="BB1392" s="39"/>
    </row>
    <row r="1393" spans="54:54" x14ac:dyDescent="0.3">
      <c r="BB1393" s="39"/>
    </row>
    <row r="1394" spans="54:54" x14ac:dyDescent="0.3">
      <c r="BB1394" s="39"/>
    </row>
    <row r="1395" spans="54:54" x14ac:dyDescent="0.3">
      <c r="BB1395" s="39"/>
    </row>
    <row r="1396" spans="54:54" x14ac:dyDescent="0.3">
      <c r="BB1396" s="39"/>
    </row>
    <row r="1397" spans="54:54" x14ac:dyDescent="0.3">
      <c r="BB1397" s="39"/>
    </row>
    <row r="1398" spans="54:54" x14ac:dyDescent="0.3">
      <c r="BB1398" s="39"/>
    </row>
    <row r="1399" spans="54:54" x14ac:dyDescent="0.3">
      <c r="BB1399" s="39"/>
    </row>
    <row r="1400" spans="54:54" x14ac:dyDescent="0.3">
      <c r="BB1400" s="39"/>
    </row>
    <row r="1401" spans="54:54" x14ac:dyDescent="0.3">
      <c r="BB1401" s="39"/>
    </row>
    <row r="1402" spans="54:54" x14ac:dyDescent="0.3">
      <c r="BB1402" s="39"/>
    </row>
    <row r="1403" spans="54:54" x14ac:dyDescent="0.3">
      <c r="BB1403" s="39"/>
    </row>
    <row r="1404" spans="54:54" x14ac:dyDescent="0.3">
      <c r="BB1404" s="39"/>
    </row>
    <row r="1405" spans="54:54" x14ac:dyDescent="0.3">
      <c r="BB1405" s="39"/>
    </row>
    <row r="1406" spans="54:54" x14ac:dyDescent="0.3">
      <c r="BB1406" s="39"/>
    </row>
    <row r="1407" spans="54:54" x14ac:dyDescent="0.3">
      <c r="BB1407" s="39"/>
    </row>
    <row r="1408" spans="54:54" x14ac:dyDescent="0.3">
      <c r="BB1408" s="39"/>
    </row>
    <row r="1409" spans="54:54" x14ac:dyDescent="0.3">
      <c r="BB1409" s="39"/>
    </row>
    <row r="1410" spans="54:54" x14ac:dyDescent="0.3">
      <c r="BB1410" s="39"/>
    </row>
    <row r="1411" spans="54:54" x14ac:dyDescent="0.3">
      <c r="BB1411" s="39"/>
    </row>
    <row r="1412" spans="54:54" x14ac:dyDescent="0.3">
      <c r="BB1412" s="39"/>
    </row>
    <row r="1413" spans="54:54" x14ac:dyDescent="0.3">
      <c r="BB1413" s="39"/>
    </row>
    <row r="1414" spans="54:54" x14ac:dyDescent="0.3">
      <c r="BB1414" s="39"/>
    </row>
    <row r="1415" spans="54:54" x14ac:dyDescent="0.3">
      <c r="BB1415" s="39"/>
    </row>
    <row r="1416" spans="54:54" x14ac:dyDescent="0.3">
      <c r="BB1416" s="39"/>
    </row>
    <row r="1417" spans="54:54" x14ac:dyDescent="0.3">
      <c r="BB1417" s="39"/>
    </row>
    <row r="1418" spans="54:54" x14ac:dyDescent="0.3">
      <c r="BB1418" s="39"/>
    </row>
    <row r="1419" spans="54:54" x14ac:dyDescent="0.3">
      <c r="BB1419" s="39"/>
    </row>
    <row r="1420" spans="54:54" x14ac:dyDescent="0.3">
      <c r="BB1420" s="39"/>
    </row>
    <row r="1421" spans="54:54" x14ac:dyDescent="0.3">
      <c r="BB1421" s="39"/>
    </row>
    <row r="1422" spans="54:54" x14ac:dyDescent="0.3">
      <c r="BB1422" s="39"/>
    </row>
    <row r="1423" spans="54:54" x14ac:dyDescent="0.3">
      <c r="BB1423" s="39"/>
    </row>
    <row r="1424" spans="54:54" x14ac:dyDescent="0.3">
      <c r="BB1424" s="39"/>
    </row>
    <row r="1425" spans="54:54" x14ac:dyDescent="0.3">
      <c r="BB1425" s="39"/>
    </row>
    <row r="1426" spans="54:54" x14ac:dyDescent="0.3">
      <c r="BB1426" s="39"/>
    </row>
    <row r="1427" spans="54:54" x14ac:dyDescent="0.3">
      <c r="BB1427" s="39"/>
    </row>
    <row r="1428" spans="54:54" x14ac:dyDescent="0.3">
      <c r="BB1428" s="39"/>
    </row>
    <row r="1429" spans="54:54" x14ac:dyDescent="0.3">
      <c r="BB1429" s="39"/>
    </row>
    <row r="1430" spans="54:54" x14ac:dyDescent="0.3">
      <c r="BB1430" s="39"/>
    </row>
    <row r="1431" spans="54:54" x14ac:dyDescent="0.3">
      <c r="BB1431" s="39"/>
    </row>
    <row r="1432" spans="54:54" x14ac:dyDescent="0.3">
      <c r="BB1432" s="39"/>
    </row>
    <row r="1433" spans="54:54" x14ac:dyDescent="0.3">
      <c r="BB1433" s="39"/>
    </row>
    <row r="1434" spans="54:54" x14ac:dyDescent="0.3">
      <c r="BB1434" s="39"/>
    </row>
    <row r="1435" spans="54:54" x14ac:dyDescent="0.3">
      <c r="BB1435" s="39"/>
    </row>
    <row r="1436" spans="54:54" x14ac:dyDescent="0.3">
      <c r="BB1436" s="39"/>
    </row>
    <row r="1437" spans="54:54" x14ac:dyDescent="0.3">
      <c r="BB1437" s="39"/>
    </row>
    <row r="1438" spans="54:54" x14ac:dyDescent="0.3">
      <c r="BB1438" s="39"/>
    </row>
    <row r="1439" spans="54:54" x14ac:dyDescent="0.3">
      <c r="BB1439" s="39"/>
    </row>
    <row r="1440" spans="54:54" x14ac:dyDescent="0.3">
      <c r="BB1440" s="39"/>
    </row>
    <row r="1441" spans="54:54" x14ac:dyDescent="0.3">
      <c r="BB1441" s="39"/>
    </row>
    <row r="1442" spans="54:54" x14ac:dyDescent="0.3">
      <c r="BB1442" s="39"/>
    </row>
    <row r="1443" spans="54:54" x14ac:dyDescent="0.3">
      <c r="BB1443" s="39"/>
    </row>
    <row r="1444" spans="54:54" x14ac:dyDescent="0.3">
      <c r="BB1444" s="39"/>
    </row>
    <row r="1445" spans="54:54" x14ac:dyDescent="0.3">
      <c r="BB1445" s="39"/>
    </row>
    <row r="1446" spans="54:54" x14ac:dyDescent="0.3">
      <c r="BB1446" s="39"/>
    </row>
    <row r="1447" spans="54:54" x14ac:dyDescent="0.3">
      <c r="BB1447" s="39"/>
    </row>
    <row r="1448" spans="54:54" x14ac:dyDescent="0.3">
      <c r="BB1448" s="39"/>
    </row>
    <row r="1449" spans="54:54" x14ac:dyDescent="0.3">
      <c r="BB1449" s="39"/>
    </row>
    <row r="1450" spans="54:54" x14ac:dyDescent="0.3">
      <c r="BB1450" s="39"/>
    </row>
    <row r="1451" spans="54:54" x14ac:dyDescent="0.3">
      <c r="BB1451" s="39"/>
    </row>
    <row r="1452" spans="54:54" x14ac:dyDescent="0.3">
      <c r="BB1452" s="39"/>
    </row>
    <row r="1453" spans="54:54" x14ac:dyDescent="0.3">
      <c r="BB1453" s="39"/>
    </row>
    <row r="1454" spans="54:54" x14ac:dyDescent="0.3">
      <c r="BB1454" s="39"/>
    </row>
    <row r="1455" spans="54:54" x14ac:dyDescent="0.3">
      <c r="BB1455" s="39"/>
    </row>
    <row r="1456" spans="54:54" x14ac:dyDescent="0.3">
      <c r="BB1456" s="39"/>
    </row>
    <row r="1457" spans="54:54" x14ac:dyDescent="0.3">
      <c r="BB1457" s="39"/>
    </row>
    <row r="1458" spans="54:54" x14ac:dyDescent="0.3">
      <c r="BB1458" s="39"/>
    </row>
    <row r="1459" spans="54:54" x14ac:dyDescent="0.3">
      <c r="BB1459" s="39"/>
    </row>
    <row r="1460" spans="54:54" x14ac:dyDescent="0.3">
      <c r="BB1460" s="39"/>
    </row>
    <row r="1461" spans="54:54" x14ac:dyDescent="0.3">
      <c r="BB1461" s="39"/>
    </row>
    <row r="1462" spans="54:54" x14ac:dyDescent="0.3">
      <c r="BB1462" s="39"/>
    </row>
    <row r="1463" spans="54:54" x14ac:dyDescent="0.3">
      <c r="BB1463" s="39"/>
    </row>
    <row r="1464" spans="54:54" x14ac:dyDescent="0.3">
      <c r="BB1464" s="39"/>
    </row>
    <row r="1465" spans="54:54" x14ac:dyDescent="0.3">
      <c r="BB1465" s="39"/>
    </row>
    <row r="1466" spans="54:54" x14ac:dyDescent="0.3">
      <c r="BB1466" s="39"/>
    </row>
    <row r="1467" spans="54:54" x14ac:dyDescent="0.3">
      <c r="BB1467" s="39"/>
    </row>
    <row r="1468" spans="54:54" x14ac:dyDescent="0.3">
      <c r="BB1468" s="39"/>
    </row>
    <row r="1469" spans="54:54" x14ac:dyDescent="0.3">
      <c r="BB1469" s="39"/>
    </row>
    <row r="1470" spans="54:54" x14ac:dyDescent="0.3">
      <c r="BB1470" s="39"/>
    </row>
    <row r="1471" spans="54:54" x14ac:dyDescent="0.3">
      <c r="BB1471" s="39"/>
    </row>
    <row r="1472" spans="54:54" x14ac:dyDescent="0.3">
      <c r="BB1472" s="39"/>
    </row>
    <row r="1473" spans="54:54" x14ac:dyDescent="0.3">
      <c r="BB1473" s="39"/>
    </row>
    <row r="1474" spans="54:54" x14ac:dyDescent="0.3">
      <c r="BB1474" s="39"/>
    </row>
    <row r="1475" spans="54:54" x14ac:dyDescent="0.3">
      <c r="BB1475" s="39"/>
    </row>
    <row r="1476" spans="54:54" x14ac:dyDescent="0.3">
      <c r="BB1476" s="39"/>
    </row>
    <row r="1477" spans="54:54" x14ac:dyDescent="0.3">
      <c r="BB1477" s="39"/>
    </row>
    <row r="1478" spans="54:54" x14ac:dyDescent="0.3">
      <c r="BB1478" s="39"/>
    </row>
    <row r="1479" spans="54:54" x14ac:dyDescent="0.3">
      <c r="BB1479" s="39"/>
    </row>
    <row r="1480" spans="54:54" x14ac:dyDescent="0.3">
      <c r="BB1480" s="39"/>
    </row>
    <row r="1481" spans="54:54" x14ac:dyDescent="0.3">
      <c r="BB1481" s="39"/>
    </row>
    <row r="1482" spans="54:54" x14ac:dyDescent="0.3">
      <c r="BB1482" s="39"/>
    </row>
    <row r="1483" spans="54:54" x14ac:dyDescent="0.3">
      <c r="BB1483" s="39"/>
    </row>
    <row r="1484" spans="54:54" x14ac:dyDescent="0.3">
      <c r="BB1484" s="39"/>
    </row>
    <row r="1485" spans="54:54" x14ac:dyDescent="0.3">
      <c r="BB1485" s="39"/>
    </row>
    <row r="1486" spans="54:54" x14ac:dyDescent="0.3">
      <c r="BB1486" s="39"/>
    </row>
    <row r="1487" spans="54:54" x14ac:dyDescent="0.3">
      <c r="BB1487" s="39"/>
    </row>
    <row r="1488" spans="54:54" x14ac:dyDescent="0.3">
      <c r="BB1488" s="39"/>
    </row>
    <row r="1489" spans="54:54" x14ac:dyDescent="0.3">
      <c r="BB1489" s="39"/>
    </row>
    <row r="1490" spans="54:54" x14ac:dyDescent="0.3">
      <c r="BB1490" s="39"/>
    </row>
    <row r="1491" spans="54:54" x14ac:dyDescent="0.3">
      <c r="BB1491" s="39"/>
    </row>
    <row r="1492" spans="54:54" x14ac:dyDescent="0.3">
      <c r="BB1492" s="39"/>
    </row>
    <row r="1493" spans="54:54" x14ac:dyDescent="0.3">
      <c r="BB1493" s="39"/>
    </row>
    <row r="1494" spans="54:54" x14ac:dyDescent="0.3">
      <c r="BB1494" s="39"/>
    </row>
    <row r="1495" spans="54:54" x14ac:dyDescent="0.3">
      <c r="BB1495" s="39"/>
    </row>
    <row r="1496" spans="54:54" x14ac:dyDescent="0.3">
      <c r="BB1496" s="39"/>
    </row>
    <row r="1497" spans="54:54" x14ac:dyDescent="0.3">
      <c r="BB1497" s="39"/>
    </row>
    <row r="1498" spans="54:54" x14ac:dyDescent="0.3">
      <c r="BB1498" s="39"/>
    </row>
    <row r="1499" spans="54:54" x14ac:dyDescent="0.3">
      <c r="BB1499" s="39"/>
    </row>
    <row r="1500" spans="54:54" x14ac:dyDescent="0.3">
      <c r="BB1500" s="39"/>
    </row>
    <row r="1501" spans="54:54" x14ac:dyDescent="0.3">
      <c r="BB1501" s="39"/>
    </row>
    <row r="1502" spans="54:54" x14ac:dyDescent="0.3">
      <c r="BB1502" s="39"/>
    </row>
    <row r="1503" spans="54:54" x14ac:dyDescent="0.3">
      <c r="BB1503" s="39"/>
    </row>
    <row r="1504" spans="54:54" x14ac:dyDescent="0.3">
      <c r="BB1504" s="39"/>
    </row>
    <row r="1505" spans="54:54" x14ac:dyDescent="0.3">
      <c r="BB1505" s="39"/>
    </row>
    <row r="1506" spans="54:54" x14ac:dyDescent="0.3">
      <c r="BB1506" s="39"/>
    </row>
    <row r="1507" spans="54:54" x14ac:dyDescent="0.3">
      <c r="BB1507" s="39"/>
    </row>
    <row r="1508" spans="54:54" x14ac:dyDescent="0.3">
      <c r="BB1508" s="39"/>
    </row>
    <row r="1509" spans="54:54" x14ac:dyDescent="0.3">
      <c r="BB1509" s="39"/>
    </row>
    <row r="1510" spans="54:54" x14ac:dyDescent="0.3">
      <c r="BB1510" s="39"/>
    </row>
    <row r="1511" spans="54:54" x14ac:dyDescent="0.3">
      <c r="BB1511" s="39"/>
    </row>
    <row r="1512" spans="54:54" x14ac:dyDescent="0.3">
      <c r="BB1512" s="39"/>
    </row>
    <row r="1513" spans="54:54" x14ac:dyDescent="0.3">
      <c r="BB1513" s="39"/>
    </row>
    <row r="1514" spans="54:54" x14ac:dyDescent="0.3">
      <c r="BB1514" s="39"/>
    </row>
    <row r="1515" spans="54:54" x14ac:dyDescent="0.3">
      <c r="BB1515" s="39"/>
    </row>
    <row r="1516" spans="54:54" x14ac:dyDescent="0.3">
      <c r="BB1516" s="39"/>
    </row>
    <row r="1517" spans="54:54" x14ac:dyDescent="0.3">
      <c r="BB1517" s="39"/>
    </row>
    <row r="1518" spans="54:54" x14ac:dyDescent="0.3">
      <c r="BB1518" s="39"/>
    </row>
    <row r="1519" spans="54:54" x14ac:dyDescent="0.3">
      <c r="BB1519" s="39"/>
    </row>
    <row r="1520" spans="54:54" x14ac:dyDescent="0.3">
      <c r="BB1520" s="39"/>
    </row>
    <row r="1521" spans="54:54" x14ac:dyDescent="0.3">
      <c r="BB1521" s="39"/>
    </row>
    <row r="1522" spans="54:54" x14ac:dyDescent="0.3">
      <c r="BB1522" s="39"/>
    </row>
    <row r="1523" spans="54:54" x14ac:dyDescent="0.3">
      <c r="BB1523" s="39"/>
    </row>
    <row r="1524" spans="54:54" x14ac:dyDescent="0.3">
      <c r="BB1524" s="39"/>
    </row>
    <row r="1525" spans="54:54" x14ac:dyDescent="0.3">
      <c r="BB1525" s="39"/>
    </row>
    <row r="1526" spans="54:54" x14ac:dyDescent="0.3">
      <c r="BB1526" s="39"/>
    </row>
    <row r="1527" spans="54:54" x14ac:dyDescent="0.3">
      <c r="BB1527" s="39"/>
    </row>
    <row r="1528" spans="54:54" x14ac:dyDescent="0.3">
      <c r="BB1528" s="39"/>
    </row>
    <row r="1529" spans="54:54" x14ac:dyDescent="0.3">
      <c r="BB1529" s="39"/>
    </row>
    <row r="1530" spans="54:54" x14ac:dyDescent="0.3">
      <c r="BB1530" s="39"/>
    </row>
    <row r="1531" spans="54:54" x14ac:dyDescent="0.3">
      <c r="BB1531" s="39"/>
    </row>
    <row r="1532" spans="54:54" x14ac:dyDescent="0.3">
      <c r="BB1532" s="39"/>
    </row>
    <row r="1533" spans="54:54" x14ac:dyDescent="0.3">
      <c r="BB1533" s="39"/>
    </row>
    <row r="1534" spans="54:54" x14ac:dyDescent="0.3">
      <c r="BB1534" s="39"/>
    </row>
    <row r="1535" spans="54:54" x14ac:dyDescent="0.3">
      <c r="BB1535" s="39"/>
    </row>
    <row r="1536" spans="54:54" x14ac:dyDescent="0.3">
      <c r="BB1536" s="39"/>
    </row>
    <row r="1537" spans="54:54" x14ac:dyDescent="0.3">
      <c r="BB1537" s="39"/>
    </row>
    <row r="1538" spans="54:54" x14ac:dyDescent="0.3">
      <c r="BB1538" s="39"/>
    </row>
    <row r="1539" spans="54:54" x14ac:dyDescent="0.3">
      <c r="BB1539" s="39"/>
    </row>
    <row r="1540" spans="54:54" x14ac:dyDescent="0.3">
      <c r="BB1540" s="39"/>
    </row>
    <row r="1541" spans="54:54" x14ac:dyDescent="0.3">
      <c r="BB1541" s="39"/>
    </row>
    <row r="1542" spans="54:54" x14ac:dyDescent="0.3">
      <c r="BB1542" s="39"/>
    </row>
    <row r="1543" spans="54:54" x14ac:dyDescent="0.3">
      <c r="BB1543" s="39"/>
    </row>
    <row r="1544" spans="54:54" x14ac:dyDescent="0.3">
      <c r="BB1544" s="39"/>
    </row>
    <row r="1545" spans="54:54" x14ac:dyDescent="0.3">
      <c r="BB1545" s="39"/>
    </row>
    <row r="1546" spans="54:54" x14ac:dyDescent="0.3">
      <c r="BB1546" s="39"/>
    </row>
    <row r="1547" spans="54:54" x14ac:dyDescent="0.3">
      <c r="BB1547" s="39"/>
    </row>
    <row r="1548" spans="54:54" x14ac:dyDescent="0.3">
      <c r="BB1548" s="39"/>
    </row>
    <row r="1549" spans="54:54" x14ac:dyDescent="0.3">
      <c r="BB1549" s="39"/>
    </row>
    <row r="1550" spans="54:54" x14ac:dyDescent="0.3">
      <c r="BB1550" s="39"/>
    </row>
    <row r="1551" spans="54:54" x14ac:dyDescent="0.3">
      <c r="BB1551" s="39"/>
    </row>
    <row r="1552" spans="54:54" x14ac:dyDescent="0.3">
      <c r="BB1552" s="39"/>
    </row>
    <row r="1553" spans="54:54" x14ac:dyDescent="0.3">
      <c r="BB1553" s="39"/>
    </row>
    <row r="1554" spans="54:54" x14ac:dyDescent="0.3">
      <c r="BB1554" s="39"/>
    </row>
    <row r="1555" spans="54:54" x14ac:dyDescent="0.3">
      <c r="BB1555" s="39"/>
    </row>
    <row r="1556" spans="54:54" x14ac:dyDescent="0.3">
      <c r="BB1556" s="39"/>
    </row>
    <row r="1557" spans="54:54" x14ac:dyDescent="0.3">
      <c r="BB1557" s="39"/>
    </row>
    <row r="1558" spans="54:54" x14ac:dyDescent="0.3">
      <c r="BB1558" s="39"/>
    </row>
    <row r="1559" spans="54:54" x14ac:dyDescent="0.3">
      <c r="BB1559" s="39"/>
    </row>
    <row r="1560" spans="54:54" x14ac:dyDescent="0.3">
      <c r="BB1560" s="39"/>
    </row>
    <row r="1561" spans="54:54" x14ac:dyDescent="0.3">
      <c r="BB1561" s="39"/>
    </row>
    <row r="1562" spans="54:54" x14ac:dyDescent="0.3">
      <c r="BB1562" s="39"/>
    </row>
    <row r="1563" spans="54:54" x14ac:dyDescent="0.3">
      <c r="BB1563" s="39"/>
    </row>
    <row r="1564" spans="54:54" x14ac:dyDescent="0.3">
      <c r="BB1564" s="39"/>
    </row>
    <row r="1565" spans="54:54" x14ac:dyDescent="0.3">
      <c r="BB1565" s="39"/>
    </row>
    <row r="1566" spans="54:54" x14ac:dyDescent="0.3">
      <c r="BB1566" s="39"/>
    </row>
    <row r="1567" spans="54:54" x14ac:dyDescent="0.3">
      <c r="BB1567" s="39"/>
    </row>
    <row r="1568" spans="54:54" x14ac:dyDescent="0.3">
      <c r="BB1568" s="39"/>
    </row>
    <row r="1569" spans="54:54" x14ac:dyDescent="0.3">
      <c r="BB1569" s="39"/>
    </row>
    <row r="1570" spans="54:54" x14ac:dyDescent="0.3">
      <c r="BB1570" s="39"/>
    </row>
    <row r="1571" spans="54:54" x14ac:dyDescent="0.3">
      <c r="BB1571" s="39"/>
    </row>
    <row r="1572" spans="54:54" x14ac:dyDescent="0.3">
      <c r="BB1572" s="39"/>
    </row>
    <row r="1573" spans="54:54" x14ac:dyDescent="0.3">
      <c r="BB1573" s="39"/>
    </row>
    <row r="1574" spans="54:54" x14ac:dyDescent="0.3">
      <c r="BB1574" s="39"/>
    </row>
    <row r="1575" spans="54:54" x14ac:dyDescent="0.3">
      <c r="BB1575" s="39"/>
    </row>
    <row r="1576" spans="54:54" x14ac:dyDescent="0.3">
      <c r="BB1576" s="39"/>
    </row>
    <row r="1577" spans="54:54" x14ac:dyDescent="0.3">
      <c r="BB1577" s="39"/>
    </row>
    <row r="1578" spans="54:54" x14ac:dyDescent="0.3">
      <c r="BB1578" s="39"/>
    </row>
    <row r="1579" spans="54:54" x14ac:dyDescent="0.3">
      <c r="BB1579" s="39"/>
    </row>
    <row r="1580" spans="54:54" x14ac:dyDescent="0.3">
      <c r="BB1580" s="39"/>
    </row>
    <row r="1581" spans="54:54" x14ac:dyDescent="0.3">
      <c r="BB1581" s="39"/>
    </row>
    <row r="1582" spans="54:54" x14ac:dyDescent="0.3">
      <c r="BB1582" s="39"/>
    </row>
    <row r="1583" spans="54:54" x14ac:dyDescent="0.3">
      <c r="BB1583" s="39"/>
    </row>
    <row r="1584" spans="54:54" x14ac:dyDescent="0.3">
      <c r="BB1584" s="39"/>
    </row>
    <row r="1585" spans="54:54" x14ac:dyDescent="0.3">
      <c r="BB1585" s="39"/>
    </row>
    <row r="1586" spans="54:54" x14ac:dyDescent="0.3">
      <c r="BB1586" s="39"/>
    </row>
    <row r="1587" spans="54:54" x14ac:dyDescent="0.3">
      <c r="BB1587" s="39"/>
    </row>
    <row r="1588" spans="54:54" x14ac:dyDescent="0.3">
      <c r="BB1588" s="39"/>
    </row>
    <row r="1589" spans="54:54" x14ac:dyDescent="0.3">
      <c r="BB1589" s="39"/>
    </row>
    <row r="1590" spans="54:54" x14ac:dyDescent="0.3">
      <c r="BB1590" s="39"/>
    </row>
    <row r="1591" spans="54:54" x14ac:dyDescent="0.3">
      <c r="BB1591" s="39"/>
    </row>
    <row r="1592" spans="54:54" x14ac:dyDescent="0.3">
      <c r="BB1592" s="39"/>
    </row>
    <row r="1593" spans="54:54" x14ac:dyDescent="0.3">
      <c r="BB1593" s="39"/>
    </row>
    <row r="1594" spans="54:54" x14ac:dyDescent="0.3">
      <c r="BB1594" s="39"/>
    </row>
    <row r="1595" spans="54:54" x14ac:dyDescent="0.3">
      <c r="BB1595" s="39"/>
    </row>
    <row r="1596" spans="54:54" x14ac:dyDescent="0.3">
      <c r="BB1596" s="39"/>
    </row>
    <row r="1597" spans="54:54" x14ac:dyDescent="0.3">
      <c r="BB1597" s="39"/>
    </row>
    <row r="1598" spans="54:54" x14ac:dyDescent="0.3">
      <c r="BB1598" s="39"/>
    </row>
    <row r="1599" spans="54:54" x14ac:dyDescent="0.3">
      <c r="BB1599" s="39"/>
    </row>
    <row r="1600" spans="54:54" x14ac:dyDescent="0.3">
      <c r="BB1600" s="39"/>
    </row>
    <row r="1601" spans="54:54" x14ac:dyDescent="0.3">
      <c r="BB1601" s="39"/>
    </row>
    <row r="1602" spans="54:54" x14ac:dyDescent="0.3">
      <c r="BB1602" s="39"/>
    </row>
    <row r="1603" spans="54:54" x14ac:dyDescent="0.3">
      <c r="BB1603" s="39"/>
    </row>
    <row r="1604" spans="54:54" x14ac:dyDescent="0.3">
      <c r="BB1604" s="39"/>
    </row>
    <row r="1605" spans="54:54" x14ac:dyDescent="0.3">
      <c r="BB1605" s="39"/>
    </row>
    <row r="1606" spans="54:54" x14ac:dyDescent="0.3">
      <c r="BB1606" s="39"/>
    </row>
    <row r="1607" spans="54:54" x14ac:dyDescent="0.3">
      <c r="BB1607" s="39"/>
    </row>
    <row r="1608" spans="54:54" x14ac:dyDescent="0.3">
      <c r="BB1608" s="39"/>
    </row>
    <row r="1609" spans="54:54" x14ac:dyDescent="0.3">
      <c r="BB1609" s="39"/>
    </row>
    <row r="1610" spans="54:54" x14ac:dyDescent="0.3">
      <c r="BB1610" s="39"/>
    </row>
    <row r="1611" spans="54:54" x14ac:dyDescent="0.3">
      <c r="BB1611" s="39"/>
    </row>
    <row r="1612" spans="54:54" x14ac:dyDescent="0.3">
      <c r="BB1612" s="39"/>
    </row>
    <row r="1613" spans="54:54" x14ac:dyDescent="0.3">
      <c r="BB1613" s="39"/>
    </row>
    <row r="1614" spans="54:54" x14ac:dyDescent="0.3">
      <c r="BB1614" s="39"/>
    </row>
    <row r="1615" spans="54:54" x14ac:dyDescent="0.3">
      <c r="BB1615" s="39"/>
    </row>
    <row r="1616" spans="54:54" x14ac:dyDescent="0.3">
      <c r="BB1616" s="39"/>
    </row>
    <row r="1617" spans="54:54" x14ac:dyDescent="0.3">
      <c r="BB1617" s="39"/>
    </row>
    <row r="1618" spans="54:54" x14ac:dyDescent="0.3">
      <c r="BB1618" s="39"/>
    </row>
    <row r="1619" spans="54:54" x14ac:dyDescent="0.3">
      <c r="BB1619" s="39"/>
    </row>
    <row r="1620" spans="54:54" x14ac:dyDescent="0.3">
      <c r="BB1620" s="39"/>
    </row>
    <row r="1621" spans="54:54" x14ac:dyDescent="0.3">
      <c r="BB1621" s="39"/>
    </row>
    <row r="1622" spans="54:54" x14ac:dyDescent="0.3">
      <c r="BB1622" s="39"/>
    </row>
    <row r="1623" spans="54:54" x14ac:dyDescent="0.3">
      <c r="BB1623" s="39"/>
    </row>
    <row r="1624" spans="54:54" x14ac:dyDescent="0.3">
      <c r="BB1624" s="39"/>
    </row>
    <row r="1625" spans="54:54" x14ac:dyDescent="0.3">
      <c r="BB1625" s="39"/>
    </row>
    <row r="1626" spans="54:54" x14ac:dyDescent="0.3">
      <c r="BB1626" s="39"/>
    </row>
    <row r="1627" spans="54:54" x14ac:dyDescent="0.3">
      <c r="BB1627" s="39"/>
    </row>
    <row r="1628" spans="54:54" x14ac:dyDescent="0.3">
      <c r="BB1628" s="39"/>
    </row>
    <row r="1629" spans="54:54" x14ac:dyDescent="0.3">
      <c r="BB1629" s="39"/>
    </row>
    <row r="1630" spans="54:54" x14ac:dyDescent="0.3">
      <c r="BB1630" s="39"/>
    </row>
    <row r="1631" spans="54:54" x14ac:dyDescent="0.3">
      <c r="BB1631" s="39"/>
    </row>
    <row r="1632" spans="54:54" x14ac:dyDescent="0.3">
      <c r="BB1632" s="39"/>
    </row>
    <row r="1633" spans="54:54" x14ac:dyDescent="0.3">
      <c r="BB1633" s="39"/>
    </row>
    <row r="1634" spans="54:54" x14ac:dyDescent="0.3">
      <c r="BB1634" s="39"/>
    </row>
    <row r="1635" spans="54:54" x14ac:dyDescent="0.3">
      <c r="BB1635" s="39"/>
    </row>
    <row r="1636" spans="54:54" x14ac:dyDescent="0.3">
      <c r="BB1636" s="39"/>
    </row>
    <row r="1637" spans="54:54" x14ac:dyDescent="0.3">
      <c r="BB1637" s="39"/>
    </row>
    <row r="1638" spans="54:54" x14ac:dyDescent="0.3">
      <c r="BB1638" s="39"/>
    </row>
    <row r="1639" spans="54:54" x14ac:dyDescent="0.3">
      <c r="BB1639" s="39"/>
    </row>
    <row r="1640" spans="54:54" x14ac:dyDescent="0.3">
      <c r="BB1640" s="39"/>
    </row>
    <row r="1641" spans="54:54" x14ac:dyDescent="0.3">
      <c r="BB1641" s="39"/>
    </row>
    <row r="1642" spans="54:54" x14ac:dyDescent="0.3">
      <c r="BB1642" s="39"/>
    </row>
    <row r="1643" spans="54:54" x14ac:dyDescent="0.3">
      <c r="BB1643" s="39"/>
    </row>
    <row r="1644" spans="54:54" x14ac:dyDescent="0.3">
      <c r="BB1644" s="39"/>
    </row>
    <row r="1645" spans="54:54" x14ac:dyDescent="0.3">
      <c r="BB1645" s="39"/>
    </row>
    <row r="1646" spans="54:54" x14ac:dyDescent="0.3">
      <c r="BB1646" s="39"/>
    </row>
    <row r="1647" spans="54:54" x14ac:dyDescent="0.3">
      <c r="BB1647" s="39"/>
    </row>
    <row r="1648" spans="54:54" x14ac:dyDescent="0.3">
      <c r="BB1648" s="39"/>
    </row>
    <row r="1649" spans="54:54" x14ac:dyDescent="0.3">
      <c r="BB1649" s="39"/>
    </row>
    <row r="1650" spans="54:54" x14ac:dyDescent="0.3">
      <c r="BB1650" s="39"/>
    </row>
    <row r="1651" spans="54:54" x14ac:dyDescent="0.3">
      <c r="BB1651" s="39"/>
    </row>
    <row r="1652" spans="54:54" x14ac:dyDescent="0.3">
      <c r="BB1652" s="39"/>
    </row>
    <row r="1653" spans="54:54" x14ac:dyDescent="0.3">
      <c r="BB1653" s="39"/>
    </row>
    <row r="1654" spans="54:54" x14ac:dyDescent="0.3">
      <c r="BB1654" s="39"/>
    </row>
    <row r="1655" spans="54:54" x14ac:dyDescent="0.3">
      <c r="BB1655" s="39"/>
    </row>
    <row r="1656" spans="54:54" x14ac:dyDescent="0.3">
      <c r="BB1656" s="39"/>
    </row>
    <row r="1657" spans="54:54" x14ac:dyDescent="0.3">
      <c r="BB1657" s="39"/>
    </row>
    <row r="1658" spans="54:54" x14ac:dyDescent="0.3">
      <c r="BB1658" s="39"/>
    </row>
    <row r="1659" spans="54:54" x14ac:dyDescent="0.3">
      <c r="BB1659" s="39"/>
    </row>
    <row r="1660" spans="54:54" x14ac:dyDescent="0.3">
      <c r="BB1660" s="39"/>
    </row>
    <row r="1661" spans="54:54" x14ac:dyDescent="0.3">
      <c r="BB1661" s="39"/>
    </row>
    <row r="1662" spans="54:54" x14ac:dyDescent="0.3">
      <c r="BB1662" s="39"/>
    </row>
    <row r="1663" spans="54:54" x14ac:dyDescent="0.3">
      <c r="BB1663" s="39"/>
    </row>
    <row r="1664" spans="54:54" x14ac:dyDescent="0.3">
      <c r="BB1664" s="39"/>
    </row>
    <row r="1665" spans="54:54" x14ac:dyDescent="0.3">
      <c r="BB1665" s="39"/>
    </row>
    <row r="1666" spans="54:54" x14ac:dyDescent="0.3">
      <c r="BB1666" s="39"/>
    </row>
    <row r="1667" spans="54:54" x14ac:dyDescent="0.3">
      <c r="BB1667" s="39"/>
    </row>
    <row r="1668" spans="54:54" x14ac:dyDescent="0.3">
      <c r="BB1668" s="39"/>
    </row>
    <row r="1669" spans="54:54" x14ac:dyDescent="0.3">
      <c r="BB1669" s="39"/>
    </row>
    <row r="1670" spans="54:54" x14ac:dyDescent="0.3">
      <c r="BB1670" s="39"/>
    </row>
    <row r="1671" spans="54:54" x14ac:dyDescent="0.3">
      <c r="BB1671" s="39"/>
    </row>
    <row r="1672" spans="54:54" x14ac:dyDescent="0.3">
      <c r="BB1672" s="39"/>
    </row>
    <row r="1673" spans="54:54" x14ac:dyDescent="0.3">
      <c r="BB1673" s="39"/>
    </row>
    <row r="1674" spans="54:54" x14ac:dyDescent="0.3">
      <c r="BB1674" s="39"/>
    </row>
    <row r="1675" spans="54:54" x14ac:dyDescent="0.3">
      <c r="BB1675" s="39"/>
    </row>
    <row r="1676" spans="54:54" x14ac:dyDescent="0.3">
      <c r="BB1676" s="39"/>
    </row>
    <row r="1677" spans="54:54" x14ac:dyDescent="0.3">
      <c r="BB1677" s="39"/>
    </row>
    <row r="1678" spans="54:54" x14ac:dyDescent="0.3">
      <c r="BB1678" s="39"/>
    </row>
    <row r="1679" spans="54:54" x14ac:dyDescent="0.3">
      <c r="BB1679" s="39"/>
    </row>
    <row r="1680" spans="54:54" x14ac:dyDescent="0.3">
      <c r="BB1680" s="39"/>
    </row>
    <row r="1681" spans="54:54" x14ac:dyDescent="0.3">
      <c r="BB1681" s="39"/>
    </row>
    <row r="1682" spans="54:54" x14ac:dyDescent="0.3">
      <c r="BB1682" s="39"/>
    </row>
    <row r="1683" spans="54:54" x14ac:dyDescent="0.3">
      <c r="BB1683" s="39"/>
    </row>
    <row r="1684" spans="54:54" x14ac:dyDescent="0.3">
      <c r="BB1684" s="39"/>
    </row>
    <row r="1685" spans="54:54" x14ac:dyDescent="0.3">
      <c r="BB1685" s="39"/>
    </row>
    <row r="1686" spans="54:54" x14ac:dyDescent="0.3">
      <c r="BB1686" s="39"/>
    </row>
    <row r="1687" spans="54:54" x14ac:dyDescent="0.3">
      <c r="BB1687" s="39"/>
    </row>
    <row r="1688" spans="54:54" x14ac:dyDescent="0.3">
      <c r="BB1688" s="39"/>
    </row>
    <row r="1689" spans="54:54" x14ac:dyDescent="0.3">
      <c r="BB1689" s="39"/>
    </row>
    <row r="1690" spans="54:54" x14ac:dyDescent="0.3">
      <c r="BB1690" s="39"/>
    </row>
    <row r="1691" spans="54:54" x14ac:dyDescent="0.3">
      <c r="BB1691" s="39"/>
    </row>
    <row r="1692" spans="54:54" x14ac:dyDescent="0.3">
      <c r="BB1692" s="39"/>
    </row>
    <row r="1693" spans="54:54" x14ac:dyDescent="0.3">
      <c r="BB1693" s="39"/>
    </row>
    <row r="1694" spans="54:54" x14ac:dyDescent="0.3">
      <c r="BB1694" s="39"/>
    </row>
    <row r="1695" spans="54:54" x14ac:dyDescent="0.3">
      <c r="BB1695" s="39"/>
    </row>
    <row r="1696" spans="54:54" x14ac:dyDescent="0.3">
      <c r="BB1696" s="39"/>
    </row>
    <row r="1697" spans="54:54" x14ac:dyDescent="0.3">
      <c r="BB1697" s="39"/>
    </row>
    <row r="1698" spans="54:54" x14ac:dyDescent="0.3">
      <c r="BB1698" s="39"/>
    </row>
    <row r="1699" spans="54:54" x14ac:dyDescent="0.3">
      <c r="BB1699" s="39"/>
    </row>
    <row r="1700" spans="54:54" x14ac:dyDescent="0.3">
      <c r="BB1700" s="39"/>
    </row>
    <row r="1701" spans="54:54" x14ac:dyDescent="0.3">
      <c r="BB1701" s="39"/>
    </row>
    <row r="1702" spans="54:54" x14ac:dyDescent="0.3">
      <c r="BB1702" s="39"/>
    </row>
    <row r="1703" spans="54:54" x14ac:dyDescent="0.3">
      <c r="BB1703" s="39"/>
    </row>
    <row r="1704" spans="54:54" x14ac:dyDescent="0.3">
      <c r="BB1704" s="39"/>
    </row>
    <row r="1705" spans="54:54" x14ac:dyDescent="0.3">
      <c r="BB1705" s="39"/>
    </row>
    <row r="1706" spans="54:54" x14ac:dyDescent="0.3">
      <c r="BB1706" s="39"/>
    </row>
    <row r="1707" spans="54:54" x14ac:dyDescent="0.3">
      <c r="BB1707" s="39"/>
    </row>
    <row r="1708" spans="54:54" x14ac:dyDescent="0.3">
      <c r="BB1708" s="39"/>
    </row>
    <row r="1709" spans="54:54" x14ac:dyDescent="0.3">
      <c r="BB1709" s="39"/>
    </row>
    <row r="1710" spans="54:54" x14ac:dyDescent="0.3">
      <c r="BB1710" s="39"/>
    </row>
    <row r="1711" spans="54:54" x14ac:dyDescent="0.3">
      <c r="BB1711" s="39"/>
    </row>
    <row r="1712" spans="54:54" x14ac:dyDescent="0.3">
      <c r="BB1712" s="39"/>
    </row>
    <row r="1713" spans="54:54" x14ac:dyDescent="0.3">
      <c r="BB1713" s="39"/>
    </row>
    <row r="1714" spans="54:54" x14ac:dyDescent="0.3">
      <c r="BB1714" s="39"/>
    </row>
    <row r="1715" spans="54:54" x14ac:dyDescent="0.3">
      <c r="BB1715" s="39"/>
    </row>
    <row r="1716" spans="54:54" x14ac:dyDescent="0.3">
      <c r="BB1716" s="39"/>
    </row>
    <row r="1717" spans="54:54" x14ac:dyDescent="0.3">
      <c r="BB1717" s="39"/>
    </row>
    <row r="1718" spans="54:54" x14ac:dyDescent="0.3">
      <c r="BB1718" s="39"/>
    </row>
    <row r="1719" spans="54:54" x14ac:dyDescent="0.3">
      <c r="BB1719" s="39"/>
    </row>
    <row r="1720" spans="54:54" x14ac:dyDescent="0.3">
      <c r="BB1720" s="39"/>
    </row>
    <row r="1721" spans="54:54" x14ac:dyDescent="0.3">
      <c r="BB1721" s="39"/>
    </row>
    <row r="1722" spans="54:54" x14ac:dyDescent="0.3">
      <c r="BB1722" s="39"/>
    </row>
    <row r="1723" spans="54:54" x14ac:dyDescent="0.3">
      <c r="BB1723" s="39"/>
    </row>
    <row r="1724" spans="54:54" x14ac:dyDescent="0.3">
      <c r="BB1724" s="39"/>
    </row>
    <row r="1725" spans="54:54" x14ac:dyDescent="0.3">
      <c r="BB1725" s="39"/>
    </row>
    <row r="1726" spans="54:54" x14ac:dyDescent="0.3">
      <c r="BB1726" s="39"/>
    </row>
    <row r="1727" spans="54:54" x14ac:dyDescent="0.3">
      <c r="BB1727" s="39"/>
    </row>
    <row r="1728" spans="54:54" x14ac:dyDescent="0.3">
      <c r="BB1728" s="39"/>
    </row>
    <row r="1729" spans="54:54" x14ac:dyDescent="0.3">
      <c r="BB1729" s="39"/>
    </row>
    <row r="1730" spans="54:54" x14ac:dyDescent="0.3">
      <c r="BB1730" s="39"/>
    </row>
    <row r="1731" spans="54:54" x14ac:dyDescent="0.3">
      <c r="BB1731" s="39"/>
    </row>
    <row r="1732" spans="54:54" x14ac:dyDescent="0.3">
      <c r="BB1732" s="39"/>
    </row>
    <row r="1733" spans="54:54" x14ac:dyDescent="0.3">
      <c r="BB1733" s="39"/>
    </row>
    <row r="1734" spans="54:54" x14ac:dyDescent="0.3">
      <c r="BB1734" s="39"/>
    </row>
    <row r="1735" spans="54:54" x14ac:dyDescent="0.3">
      <c r="BB1735" s="39"/>
    </row>
    <row r="1736" spans="54:54" x14ac:dyDescent="0.3">
      <c r="BB1736" s="39"/>
    </row>
    <row r="1737" spans="54:54" x14ac:dyDescent="0.3">
      <c r="BB1737" s="39"/>
    </row>
    <row r="1738" spans="54:54" x14ac:dyDescent="0.3">
      <c r="BB1738" s="39"/>
    </row>
    <row r="1739" spans="54:54" x14ac:dyDescent="0.3">
      <c r="BB1739" s="39"/>
    </row>
    <row r="1740" spans="54:54" x14ac:dyDescent="0.3">
      <c r="BB1740" s="39"/>
    </row>
    <row r="1741" spans="54:54" x14ac:dyDescent="0.3">
      <c r="BB1741" s="39"/>
    </row>
    <row r="1742" spans="54:54" x14ac:dyDescent="0.3">
      <c r="BB1742" s="39"/>
    </row>
    <row r="1743" spans="54:54" x14ac:dyDescent="0.3">
      <c r="BB1743" s="39"/>
    </row>
    <row r="1744" spans="54:54" x14ac:dyDescent="0.3">
      <c r="BB1744" s="39"/>
    </row>
    <row r="1745" spans="54:54" x14ac:dyDescent="0.3">
      <c r="BB1745" s="39"/>
    </row>
    <row r="1746" spans="54:54" x14ac:dyDescent="0.3">
      <c r="BB1746" s="39"/>
    </row>
    <row r="1747" spans="54:54" x14ac:dyDescent="0.3">
      <c r="BB1747" s="39"/>
    </row>
    <row r="1748" spans="54:54" x14ac:dyDescent="0.3">
      <c r="BB1748" s="39"/>
    </row>
    <row r="1749" spans="54:54" x14ac:dyDescent="0.3">
      <c r="BB1749" s="39"/>
    </row>
    <row r="1750" spans="54:54" x14ac:dyDescent="0.3">
      <c r="BB1750" s="39"/>
    </row>
    <row r="1751" spans="54:54" x14ac:dyDescent="0.3">
      <c r="BB1751" s="39"/>
    </row>
    <row r="1752" spans="54:54" x14ac:dyDescent="0.3">
      <c r="BB1752" s="39"/>
    </row>
    <row r="1753" spans="54:54" x14ac:dyDescent="0.3">
      <c r="BB1753" s="39"/>
    </row>
    <row r="1754" spans="54:54" x14ac:dyDescent="0.3">
      <c r="BB1754" s="39"/>
    </row>
    <row r="1755" spans="54:54" x14ac:dyDescent="0.3">
      <c r="BB1755" s="39"/>
    </row>
    <row r="1756" spans="54:54" x14ac:dyDescent="0.3">
      <c r="BB1756" s="39"/>
    </row>
    <row r="1757" spans="54:54" x14ac:dyDescent="0.3">
      <c r="BB1757" s="39"/>
    </row>
    <row r="1758" spans="54:54" x14ac:dyDescent="0.3">
      <c r="BB1758" s="39"/>
    </row>
    <row r="1759" spans="54:54" x14ac:dyDescent="0.3">
      <c r="BB1759" s="39"/>
    </row>
    <row r="1760" spans="54:54" x14ac:dyDescent="0.3">
      <c r="BB1760" s="39"/>
    </row>
    <row r="1761" spans="54:54" x14ac:dyDescent="0.3">
      <c r="BB1761" s="39"/>
    </row>
    <row r="1762" spans="54:54" x14ac:dyDescent="0.3">
      <c r="BB1762" s="39"/>
    </row>
    <row r="1763" spans="54:54" x14ac:dyDescent="0.3">
      <c r="BB1763" s="39"/>
    </row>
    <row r="1764" spans="54:54" x14ac:dyDescent="0.3">
      <c r="BB1764" s="39"/>
    </row>
    <row r="1765" spans="54:54" x14ac:dyDescent="0.3">
      <c r="BB1765" s="39"/>
    </row>
    <row r="1766" spans="54:54" x14ac:dyDescent="0.3">
      <c r="BB1766" s="39"/>
    </row>
    <row r="1767" spans="54:54" x14ac:dyDescent="0.3">
      <c r="BB1767" s="39"/>
    </row>
    <row r="1768" spans="54:54" x14ac:dyDescent="0.3">
      <c r="BB1768" s="39"/>
    </row>
    <row r="1769" spans="54:54" x14ac:dyDescent="0.3">
      <c r="BB1769" s="39"/>
    </row>
    <row r="1770" spans="54:54" x14ac:dyDescent="0.3">
      <c r="BB1770" s="39"/>
    </row>
    <row r="1771" spans="54:54" x14ac:dyDescent="0.3">
      <c r="BB1771" s="39"/>
    </row>
    <row r="1772" spans="54:54" x14ac:dyDescent="0.3">
      <c r="BB1772" s="39"/>
    </row>
    <row r="1773" spans="54:54" x14ac:dyDescent="0.3">
      <c r="BB1773" s="39"/>
    </row>
    <row r="1774" spans="54:54" x14ac:dyDescent="0.3">
      <c r="BB1774" s="39"/>
    </row>
    <row r="1775" spans="54:54" x14ac:dyDescent="0.3">
      <c r="BB1775" s="39"/>
    </row>
    <row r="1776" spans="54:54" x14ac:dyDescent="0.3">
      <c r="BB1776" s="39"/>
    </row>
    <row r="1777" spans="54:54" x14ac:dyDescent="0.3">
      <c r="BB1777" s="39"/>
    </row>
    <row r="1778" spans="54:54" x14ac:dyDescent="0.3">
      <c r="BB1778" s="39"/>
    </row>
    <row r="1779" spans="54:54" x14ac:dyDescent="0.3">
      <c r="BB1779" s="39"/>
    </row>
    <row r="1780" spans="54:54" x14ac:dyDescent="0.3">
      <c r="BB1780" s="39"/>
    </row>
    <row r="1781" spans="54:54" x14ac:dyDescent="0.3">
      <c r="BB1781" s="39"/>
    </row>
    <row r="1782" spans="54:54" x14ac:dyDescent="0.3">
      <c r="BB1782" s="39"/>
    </row>
    <row r="1783" spans="54:54" x14ac:dyDescent="0.3">
      <c r="BB1783" s="39"/>
    </row>
    <row r="1784" spans="54:54" x14ac:dyDescent="0.3">
      <c r="BB1784" s="39"/>
    </row>
    <row r="1785" spans="54:54" x14ac:dyDescent="0.3">
      <c r="BB1785" s="39"/>
    </row>
    <row r="1786" spans="54:54" x14ac:dyDescent="0.3">
      <c r="BB1786" s="39"/>
    </row>
    <row r="1787" spans="54:54" x14ac:dyDescent="0.3">
      <c r="BB1787" s="39"/>
    </row>
    <row r="1788" spans="54:54" x14ac:dyDescent="0.3">
      <c r="BB1788" s="39"/>
    </row>
    <row r="1789" spans="54:54" x14ac:dyDescent="0.3">
      <c r="BB1789" s="39"/>
    </row>
    <row r="1790" spans="54:54" x14ac:dyDescent="0.3">
      <c r="BB1790" s="39"/>
    </row>
    <row r="1791" spans="54:54" x14ac:dyDescent="0.3">
      <c r="BB1791" s="39"/>
    </row>
    <row r="1792" spans="54:54" x14ac:dyDescent="0.3">
      <c r="BB1792" s="39"/>
    </row>
    <row r="1793" spans="54:54" x14ac:dyDescent="0.3">
      <c r="BB1793" s="39"/>
    </row>
    <row r="1794" spans="54:54" x14ac:dyDescent="0.3">
      <c r="BB1794" s="39"/>
    </row>
    <row r="1795" spans="54:54" x14ac:dyDescent="0.3">
      <c r="BB1795" s="39"/>
    </row>
    <row r="1796" spans="54:54" x14ac:dyDescent="0.3">
      <c r="BB1796" s="39"/>
    </row>
    <row r="1797" spans="54:54" x14ac:dyDescent="0.3">
      <c r="BB1797" s="39"/>
    </row>
    <row r="1798" spans="54:54" x14ac:dyDescent="0.3">
      <c r="BB1798" s="39"/>
    </row>
    <row r="1799" spans="54:54" x14ac:dyDescent="0.3">
      <c r="BB1799" s="39"/>
    </row>
    <row r="1800" spans="54:54" x14ac:dyDescent="0.3">
      <c r="BB1800" s="39"/>
    </row>
    <row r="1801" spans="54:54" x14ac:dyDescent="0.3">
      <c r="BB1801" s="39"/>
    </row>
    <row r="1802" spans="54:54" x14ac:dyDescent="0.3">
      <c r="BB1802" s="39"/>
    </row>
    <row r="1803" spans="54:54" x14ac:dyDescent="0.3">
      <c r="BB1803" s="39"/>
    </row>
    <row r="1804" spans="54:54" x14ac:dyDescent="0.3">
      <c r="BB1804" s="39"/>
    </row>
    <row r="1805" spans="54:54" x14ac:dyDescent="0.3">
      <c r="BB1805" s="39"/>
    </row>
    <row r="1806" spans="54:54" x14ac:dyDescent="0.3">
      <c r="BB1806" s="39"/>
    </row>
    <row r="1807" spans="54:54" x14ac:dyDescent="0.3">
      <c r="BB1807" s="39"/>
    </row>
    <row r="1808" spans="54:54" x14ac:dyDescent="0.3">
      <c r="BB1808" s="39"/>
    </row>
    <row r="1809" spans="54:54" x14ac:dyDescent="0.3">
      <c r="BB1809" s="39"/>
    </row>
    <row r="1810" spans="54:54" x14ac:dyDescent="0.3">
      <c r="BB1810" s="39"/>
    </row>
    <row r="1811" spans="54:54" x14ac:dyDescent="0.3">
      <c r="BB1811" s="39"/>
    </row>
    <row r="1812" spans="54:54" x14ac:dyDescent="0.3">
      <c r="BB1812" s="39"/>
    </row>
    <row r="1813" spans="54:54" x14ac:dyDescent="0.3">
      <c r="BB1813" s="39"/>
    </row>
    <row r="1814" spans="54:54" x14ac:dyDescent="0.3">
      <c r="BB1814" s="39"/>
    </row>
    <row r="1815" spans="54:54" x14ac:dyDescent="0.3">
      <c r="BB1815" s="39"/>
    </row>
    <row r="1816" spans="54:54" x14ac:dyDescent="0.3">
      <c r="BB1816" s="39"/>
    </row>
    <row r="1817" spans="54:54" x14ac:dyDescent="0.3">
      <c r="BB1817" s="39"/>
    </row>
    <row r="1818" spans="54:54" x14ac:dyDescent="0.3">
      <c r="BB1818" s="39"/>
    </row>
    <row r="1819" spans="54:54" x14ac:dyDescent="0.3">
      <c r="BB1819" s="39"/>
    </row>
    <row r="1820" spans="54:54" x14ac:dyDescent="0.3">
      <c r="BB1820" s="39"/>
    </row>
    <row r="1821" spans="54:54" x14ac:dyDescent="0.3">
      <c r="BB1821" s="39"/>
    </row>
    <row r="1822" spans="54:54" x14ac:dyDescent="0.3">
      <c r="BB1822" s="39"/>
    </row>
    <row r="1823" spans="54:54" x14ac:dyDescent="0.3">
      <c r="BB1823" s="39"/>
    </row>
    <row r="1824" spans="54:54" x14ac:dyDescent="0.3">
      <c r="BB1824" s="39"/>
    </row>
    <row r="1825" spans="54:54" x14ac:dyDescent="0.3">
      <c r="BB1825" s="39"/>
    </row>
    <row r="1826" spans="54:54" x14ac:dyDescent="0.3">
      <c r="BB1826" s="39"/>
    </row>
    <row r="1827" spans="54:54" x14ac:dyDescent="0.3">
      <c r="BB1827" s="39"/>
    </row>
    <row r="1828" spans="54:54" x14ac:dyDescent="0.3">
      <c r="BB1828" s="39"/>
    </row>
    <row r="1829" spans="54:54" x14ac:dyDescent="0.3">
      <c r="BB1829" s="39"/>
    </row>
    <row r="1830" spans="54:54" x14ac:dyDescent="0.3">
      <c r="BB1830" s="39"/>
    </row>
    <row r="1831" spans="54:54" x14ac:dyDescent="0.3">
      <c r="BB1831" s="39"/>
    </row>
    <row r="1832" spans="54:54" x14ac:dyDescent="0.3">
      <c r="BB1832" s="39"/>
    </row>
    <row r="1833" spans="54:54" x14ac:dyDescent="0.3">
      <c r="BB1833" s="39"/>
    </row>
    <row r="1834" spans="54:54" x14ac:dyDescent="0.3">
      <c r="BB1834" s="39"/>
    </row>
    <row r="1835" spans="54:54" x14ac:dyDescent="0.3">
      <c r="BB1835" s="39"/>
    </row>
    <row r="1836" spans="54:54" x14ac:dyDescent="0.3">
      <c r="BB1836" s="39"/>
    </row>
    <row r="1837" spans="54:54" x14ac:dyDescent="0.3">
      <c r="BB1837" s="39"/>
    </row>
    <row r="1838" spans="54:54" x14ac:dyDescent="0.3">
      <c r="BB1838" s="39"/>
    </row>
    <row r="1839" spans="54:54" x14ac:dyDescent="0.3">
      <c r="BB1839" s="39"/>
    </row>
    <row r="1840" spans="54:54" x14ac:dyDescent="0.3">
      <c r="BB1840" s="39"/>
    </row>
    <row r="1841" spans="54:54" x14ac:dyDescent="0.3">
      <c r="BB1841" s="39"/>
    </row>
    <row r="1842" spans="54:54" x14ac:dyDescent="0.3">
      <c r="BB1842" s="39"/>
    </row>
    <row r="1843" spans="54:54" x14ac:dyDescent="0.3">
      <c r="BB1843" s="39"/>
    </row>
    <row r="1844" spans="54:54" x14ac:dyDescent="0.3">
      <c r="BB1844" s="39"/>
    </row>
    <row r="1845" spans="54:54" x14ac:dyDescent="0.3">
      <c r="BB1845" s="39"/>
    </row>
    <row r="1846" spans="54:54" x14ac:dyDescent="0.3">
      <c r="BB1846" s="39"/>
    </row>
    <row r="1847" spans="54:54" x14ac:dyDescent="0.3">
      <c r="BB1847" s="39"/>
    </row>
    <row r="1848" spans="54:54" x14ac:dyDescent="0.3">
      <c r="BB1848" s="39"/>
    </row>
    <row r="1849" spans="54:54" x14ac:dyDescent="0.3">
      <c r="BB1849" s="39"/>
    </row>
    <row r="1850" spans="54:54" x14ac:dyDescent="0.3">
      <c r="BB1850" s="39"/>
    </row>
    <row r="1851" spans="54:54" x14ac:dyDescent="0.3">
      <c r="BB1851" s="39"/>
    </row>
    <row r="1852" spans="54:54" x14ac:dyDescent="0.3">
      <c r="BB1852" s="39"/>
    </row>
    <row r="1853" spans="54:54" x14ac:dyDescent="0.3">
      <c r="BB1853" s="39"/>
    </row>
    <row r="1854" spans="54:54" x14ac:dyDescent="0.3">
      <c r="BB1854" s="39"/>
    </row>
    <row r="1855" spans="54:54" x14ac:dyDescent="0.3">
      <c r="BB1855" s="39"/>
    </row>
    <row r="1856" spans="54:54" x14ac:dyDescent="0.3">
      <c r="BB1856" s="39"/>
    </row>
    <row r="1857" spans="54:54" x14ac:dyDescent="0.3">
      <c r="BB1857" s="39"/>
    </row>
    <row r="1858" spans="54:54" x14ac:dyDescent="0.3">
      <c r="BB1858" s="39"/>
    </row>
    <row r="1859" spans="54:54" x14ac:dyDescent="0.3">
      <c r="BB1859" s="39"/>
    </row>
    <row r="1860" spans="54:54" x14ac:dyDescent="0.3">
      <c r="BB1860" s="39"/>
    </row>
    <row r="1861" spans="54:54" x14ac:dyDescent="0.3">
      <c r="BB1861" s="39"/>
    </row>
    <row r="1862" spans="54:54" x14ac:dyDescent="0.3">
      <c r="BB1862" s="39"/>
    </row>
    <row r="1863" spans="54:54" x14ac:dyDescent="0.3">
      <c r="BB1863" s="39"/>
    </row>
    <row r="1864" spans="54:54" x14ac:dyDescent="0.3">
      <c r="BB1864" s="39"/>
    </row>
    <row r="1865" spans="54:54" x14ac:dyDescent="0.3">
      <c r="BB1865" s="39"/>
    </row>
    <row r="1866" spans="54:54" x14ac:dyDescent="0.3">
      <c r="BB1866" s="39"/>
    </row>
    <row r="1867" spans="54:54" x14ac:dyDescent="0.3">
      <c r="BB1867" s="39"/>
    </row>
    <row r="1868" spans="54:54" x14ac:dyDescent="0.3">
      <c r="BB1868" s="39"/>
    </row>
    <row r="1869" spans="54:54" x14ac:dyDescent="0.3">
      <c r="BB1869" s="39"/>
    </row>
    <row r="1870" spans="54:54" x14ac:dyDescent="0.3">
      <c r="BB1870" s="39"/>
    </row>
    <row r="1871" spans="54:54" x14ac:dyDescent="0.3">
      <c r="BB1871" s="39"/>
    </row>
    <row r="1872" spans="54:54" x14ac:dyDescent="0.3">
      <c r="BB1872" s="39"/>
    </row>
    <row r="1873" spans="54:54" x14ac:dyDescent="0.3">
      <c r="BB1873" s="39"/>
    </row>
    <row r="1874" spans="54:54" x14ac:dyDescent="0.3">
      <c r="BB1874" s="39"/>
    </row>
    <row r="1875" spans="54:54" x14ac:dyDescent="0.3">
      <c r="BB1875" s="39"/>
    </row>
    <row r="1876" spans="54:54" x14ac:dyDescent="0.3">
      <c r="BB1876" s="39"/>
    </row>
    <row r="1877" spans="54:54" x14ac:dyDescent="0.3">
      <c r="BB1877" s="39"/>
    </row>
    <row r="1878" spans="54:54" x14ac:dyDescent="0.3">
      <c r="BB1878" s="39"/>
    </row>
    <row r="1879" spans="54:54" x14ac:dyDescent="0.3">
      <c r="BB1879" s="39"/>
    </row>
    <row r="1880" spans="54:54" x14ac:dyDescent="0.3">
      <c r="BB1880" s="39"/>
    </row>
    <row r="1881" spans="54:54" x14ac:dyDescent="0.3">
      <c r="BB1881" s="39"/>
    </row>
    <row r="1882" spans="54:54" x14ac:dyDescent="0.3">
      <c r="BB1882" s="39"/>
    </row>
    <row r="1883" spans="54:54" x14ac:dyDescent="0.3">
      <c r="BB1883" s="39"/>
    </row>
    <row r="1884" spans="54:54" x14ac:dyDescent="0.3">
      <c r="BB1884" s="39"/>
    </row>
    <row r="1885" spans="54:54" x14ac:dyDescent="0.3">
      <c r="BB1885" s="39"/>
    </row>
    <row r="1886" spans="54:54" x14ac:dyDescent="0.3">
      <c r="BB1886" s="39"/>
    </row>
    <row r="1887" spans="54:54" x14ac:dyDescent="0.3">
      <c r="BB1887" s="39"/>
    </row>
    <row r="1888" spans="54:54" x14ac:dyDescent="0.3">
      <c r="BB1888" s="39"/>
    </row>
    <row r="1889" spans="54:54" x14ac:dyDescent="0.3">
      <c r="BB1889" s="39"/>
    </row>
    <row r="1890" spans="54:54" x14ac:dyDescent="0.3">
      <c r="BB1890" s="39"/>
    </row>
    <row r="1891" spans="54:54" x14ac:dyDescent="0.3">
      <c r="BB1891" s="39"/>
    </row>
    <row r="1892" spans="54:54" x14ac:dyDescent="0.3">
      <c r="BB1892" s="39"/>
    </row>
    <row r="1893" spans="54:54" x14ac:dyDescent="0.3">
      <c r="BB1893" s="39"/>
    </row>
    <row r="1894" spans="54:54" x14ac:dyDescent="0.3">
      <c r="BB1894" s="39"/>
    </row>
    <row r="1895" spans="54:54" x14ac:dyDescent="0.3">
      <c r="BB1895" s="39"/>
    </row>
    <row r="1896" spans="54:54" x14ac:dyDescent="0.3">
      <c r="BB1896" s="39"/>
    </row>
    <row r="1897" spans="54:54" x14ac:dyDescent="0.3">
      <c r="BB1897" s="39"/>
    </row>
    <row r="1898" spans="54:54" x14ac:dyDescent="0.3">
      <c r="BB1898" s="39"/>
    </row>
    <row r="1899" spans="54:54" x14ac:dyDescent="0.3">
      <c r="BB1899" s="39"/>
    </row>
    <row r="1900" spans="54:54" x14ac:dyDescent="0.3">
      <c r="BB1900" s="39"/>
    </row>
    <row r="1901" spans="54:54" x14ac:dyDescent="0.3">
      <c r="BB1901" s="39"/>
    </row>
    <row r="1902" spans="54:54" x14ac:dyDescent="0.3">
      <c r="BB1902" s="39"/>
    </row>
    <row r="1903" spans="54:54" x14ac:dyDescent="0.3">
      <c r="BB1903" s="39"/>
    </row>
    <row r="1904" spans="54:54" x14ac:dyDescent="0.3">
      <c r="BB1904" s="39"/>
    </row>
    <row r="1905" spans="54:54" x14ac:dyDescent="0.3">
      <c r="BB1905" s="39"/>
    </row>
    <row r="1906" spans="54:54" x14ac:dyDescent="0.3">
      <c r="BB1906" s="39"/>
    </row>
    <row r="1907" spans="54:54" x14ac:dyDescent="0.3">
      <c r="BB1907" s="39"/>
    </row>
    <row r="1908" spans="54:54" x14ac:dyDescent="0.3">
      <c r="BB1908" s="39"/>
    </row>
    <row r="1909" spans="54:54" x14ac:dyDescent="0.3">
      <c r="BB1909" s="39"/>
    </row>
    <row r="1910" spans="54:54" x14ac:dyDescent="0.3">
      <c r="BB1910" s="39"/>
    </row>
    <row r="1911" spans="54:54" x14ac:dyDescent="0.3">
      <c r="BB1911" s="39"/>
    </row>
    <row r="1912" spans="54:54" x14ac:dyDescent="0.3">
      <c r="BB1912" s="39"/>
    </row>
    <row r="1913" spans="54:54" x14ac:dyDescent="0.3">
      <c r="BB1913" s="39"/>
    </row>
    <row r="1914" spans="54:54" x14ac:dyDescent="0.3">
      <c r="BB1914" s="39"/>
    </row>
    <row r="1915" spans="54:54" x14ac:dyDescent="0.3">
      <c r="BB1915" s="39"/>
    </row>
    <row r="1916" spans="54:54" x14ac:dyDescent="0.3">
      <c r="BB1916" s="39"/>
    </row>
    <row r="1917" spans="54:54" x14ac:dyDescent="0.3">
      <c r="BB1917" s="39"/>
    </row>
    <row r="1918" spans="54:54" x14ac:dyDescent="0.3">
      <c r="BB1918" s="39"/>
    </row>
    <row r="1919" spans="54:54" x14ac:dyDescent="0.3">
      <c r="BB1919" s="39"/>
    </row>
    <row r="1920" spans="54:54" x14ac:dyDescent="0.3">
      <c r="BB1920" s="39"/>
    </row>
    <row r="1921" spans="54:54" x14ac:dyDescent="0.3">
      <c r="BB1921" s="39"/>
    </row>
    <row r="1922" spans="54:54" x14ac:dyDescent="0.3">
      <c r="BB1922" s="39"/>
    </row>
    <row r="1923" spans="54:54" x14ac:dyDescent="0.3">
      <c r="BB1923" s="39"/>
    </row>
    <row r="1924" spans="54:54" x14ac:dyDescent="0.3">
      <c r="BB1924" s="39"/>
    </row>
    <row r="1925" spans="54:54" x14ac:dyDescent="0.3">
      <c r="BB1925" s="39"/>
    </row>
    <row r="1926" spans="54:54" x14ac:dyDescent="0.3">
      <c r="BB1926" s="39"/>
    </row>
    <row r="1927" spans="54:54" x14ac:dyDescent="0.3">
      <c r="BB1927" s="39"/>
    </row>
    <row r="1928" spans="54:54" x14ac:dyDescent="0.3">
      <c r="BB1928" s="39"/>
    </row>
    <row r="1929" spans="54:54" x14ac:dyDescent="0.3">
      <c r="BB1929" s="39"/>
    </row>
    <row r="1930" spans="54:54" x14ac:dyDescent="0.3">
      <c r="BB1930" s="39"/>
    </row>
    <row r="1931" spans="54:54" x14ac:dyDescent="0.3">
      <c r="BB1931" s="39"/>
    </row>
    <row r="1932" spans="54:54" x14ac:dyDescent="0.3">
      <c r="BB1932" s="39"/>
    </row>
    <row r="1933" spans="54:54" x14ac:dyDescent="0.3">
      <c r="BB1933" s="39"/>
    </row>
    <row r="1934" spans="54:54" x14ac:dyDescent="0.3">
      <c r="BB1934" s="39"/>
    </row>
    <row r="1935" spans="54:54" x14ac:dyDescent="0.3">
      <c r="BB1935" s="39"/>
    </row>
    <row r="1936" spans="54:54" x14ac:dyDescent="0.3">
      <c r="BB1936" s="39"/>
    </row>
    <row r="1937" spans="54:54" x14ac:dyDescent="0.3">
      <c r="BB1937" s="39"/>
    </row>
    <row r="1938" spans="54:54" x14ac:dyDescent="0.3">
      <c r="BB1938" s="39"/>
    </row>
    <row r="1939" spans="54:54" x14ac:dyDescent="0.3">
      <c r="BB1939" s="39"/>
    </row>
    <row r="1940" spans="54:54" x14ac:dyDescent="0.3">
      <c r="BB1940" s="39"/>
    </row>
    <row r="1941" spans="54:54" x14ac:dyDescent="0.3">
      <c r="BB1941" s="39"/>
    </row>
    <row r="1942" spans="54:54" x14ac:dyDescent="0.3">
      <c r="BB1942" s="39"/>
    </row>
    <row r="1943" spans="54:54" x14ac:dyDescent="0.3">
      <c r="BB1943" s="39"/>
    </row>
    <row r="1944" spans="54:54" x14ac:dyDescent="0.3">
      <c r="BB1944" s="39"/>
    </row>
    <row r="1945" spans="54:54" x14ac:dyDescent="0.3">
      <c r="BB1945" s="39"/>
    </row>
    <row r="1946" spans="54:54" x14ac:dyDescent="0.3">
      <c r="BB1946" s="39"/>
    </row>
    <row r="1947" spans="54:54" x14ac:dyDescent="0.3">
      <c r="BB1947" s="39"/>
    </row>
    <row r="1948" spans="54:54" x14ac:dyDescent="0.3">
      <c r="BB1948" s="39"/>
    </row>
    <row r="1949" spans="54:54" x14ac:dyDescent="0.3">
      <c r="BB1949" s="39"/>
    </row>
    <row r="1950" spans="54:54" x14ac:dyDescent="0.3">
      <c r="BB1950" s="39"/>
    </row>
    <row r="1951" spans="54:54" x14ac:dyDescent="0.3">
      <c r="BB1951" s="39"/>
    </row>
    <row r="1952" spans="54:54" x14ac:dyDescent="0.3">
      <c r="BB1952" s="39"/>
    </row>
    <row r="1953" spans="54:54" x14ac:dyDescent="0.3">
      <c r="BB1953" s="39"/>
    </row>
    <row r="1954" spans="54:54" x14ac:dyDescent="0.3">
      <c r="BB1954" s="39"/>
    </row>
    <row r="1955" spans="54:54" x14ac:dyDescent="0.3">
      <c r="BB1955" s="39"/>
    </row>
    <row r="1956" spans="54:54" x14ac:dyDescent="0.3">
      <c r="BB1956" s="39"/>
    </row>
    <row r="1957" spans="54:54" x14ac:dyDescent="0.3">
      <c r="BB1957" s="39"/>
    </row>
    <row r="1958" spans="54:54" x14ac:dyDescent="0.3">
      <c r="BB1958" s="39"/>
    </row>
    <row r="1959" spans="54:54" x14ac:dyDescent="0.3">
      <c r="BB1959" s="39"/>
    </row>
    <row r="1960" spans="54:54" x14ac:dyDescent="0.3">
      <c r="BB1960" s="39"/>
    </row>
    <row r="1961" spans="54:54" x14ac:dyDescent="0.3">
      <c r="BB1961" s="39"/>
    </row>
    <row r="1962" spans="54:54" x14ac:dyDescent="0.3">
      <c r="BB1962" s="39"/>
    </row>
    <row r="1963" spans="54:54" x14ac:dyDescent="0.3">
      <c r="BB1963" s="39"/>
    </row>
    <row r="1964" spans="54:54" x14ac:dyDescent="0.3">
      <c r="BB1964" s="39"/>
    </row>
    <row r="1965" spans="54:54" x14ac:dyDescent="0.3">
      <c r="BB1965" s="39"/>
    </row>
    <row r="1966" spans="54:54" x14ac:dyDescent="0.3">
      <c r="BB1966" s="39"/>
    </row>
    <row r="1967" spans="54:54" x14ac:dyDescent="0.3">
      <c r="BB1967" s="39"/>
    </row>
    <row r="1968" spans="54:54" x14ac:dyDescent="0.3">
      <c r="BB1968" s="39"/>
    </row>
    <row r="1969" spans="54:54" x14ac:dyDescent="0.3">
      <c r="BB1969" s="39"/>
    </row>
    <row r="1970" spans="54:54" x14ac:dyDescent="0.3">
      <c r="BB1970" s="39"/>
    </row>
    <row r="1971" spans="54:54" x14ac:dyDescent="0.3">
      <c r="BB1971" s="39"/>
    </row>
    <row r="1972" spans="54:54" x14ac:dyDescent="0.3">
      <c r="BB1972" s="39"/>
    </row>
    <row r="1973" spans="54:54" x14ac:dyDescent="0.3">
      <c r="BB1973" s="39"/>
    </row>
    <row r="1974" spans="54:54" x14ac:dyDescent="0.3">
      <c r="BB1974" s="39"/>
    </row>
    <row r="1975" spans="54:54" x14ac:dyDescent="0.3">
      <c r="BB1975" s="39"/>
    </row>
    <row r="1976" spans="54:54" x14ac:dyDescent="0.3">
      <c r="BB1976" s="39"/>
    </row>
    <row r="1977" spans="54:54" x14ac:dyDescent="0.3">
      <c r="BB1977" s="39"/>
    </row>
    <row r="1978" spans="54:54" x14ac:dyDescent="0.3">
      <c r="BB1978" s="39"/>
    </row>
    <row r="1979" spans="54:54" x14ac:dyDescent="0.3">
      <c r="BB1979" s="39"/>
    </row>
    <row r="1980" spans="54:54" x14ac:dyDescent="0.3">
      <c r="BB1980" s="39"/>
    </row>
    <row r="1981" spans="54:54" x14ac:dyDescent="0.3">
      <c r="BB1981" s="39"/>
    </row>
    <row r="1982" spans="54:54" x14ac:dyDescent="0.3">
      <c r="BB1982" s="39"/>
    </row>
    <row r="1983" spans="54:54" x14ac:dyDescent="0.3">
      <c r="BB1983" s="39"/>
    </row>
    <row r="1984" spans="54:54" x14ac:dyDescent="0.3">
      <c r="BB1984" s="39"/>
    </row>
    <row r="1985" spans="54:54" x14ac:dyDescent="0.3">
      <c r="BB1985" s="39"/>
    </row>
    <row r="1986" spans="54:54" x14ac:dyDescent="0.3">
      <c r="BB1986" s="39"/>
    </row>
    <row r="1987" spans="54:54" x14ac:dyDescent="0.3">
      <c r="BB1987" s="39"/>
    </row>
    <row r="1988" spans="54:54" x14ac:dyDescent="0.3">
      <c r="BB1988" s="39"/>
    </row>
    <row r="1989" spans="54:54" x14ac:dyDescent="0.3">
      <c r="BB1989" s="39"/>
    </row>
    <row r="1990" spans="54:54" x14ac:dyDescent="0.3">
      <c r="BB1990" s="39"/>
    </row>
    <row r="1991" spans="54:54" x14ac:dyDescent="0.3">
      <c r="BB1991" s="39"/>
    </row>
    <row r="1992" spans="54:54" x14ac:dyDescent="0.3">
      <c r="BB1992" s="39"/>
    </row>
    <row r="1993" spans="54:54" x14ac:dyDescent="0.3">
      <c r="BB1993" s="39"/>
    </row>
    <row r="1994" spans="54:54" x14ac:dyDescent="0.3">
      <c r="BB1994" s="39"/>
    </row>
    <row r="1995" spans="54:54" x14ac:dyDescent="0.3">
      <c r="BB1995" s="39"/>
    </row>
    <row r="1996" spans="54:54" x14ac:dyDescent="0.3">
      <c r="BB1996" s="39"/>
    </row>
    <row r="1997" spans="54:54" x14ac:dyDescent="0.3">
      <c r="BB1997" s="39"/>
    </row>
    <row r="1998" spans="54:54" x14ac:dyDescent="0.3">
      <c r="BB1998" s="39"/>
    </row>
    <row r="1999" spans="54:54" x14ac:dyDescent="0.3">
      <c r="BB1999" s="39"/>
    </row>
    <row r="2000" spans="54:54" x14ac:dyDescent="0.3">
      <c r="BB2000" s="39"/>
    </row>
    <row r="2001" spans="54:54" x14ac:dyDescent="0.3">
      <c r="BB2001" s="39"/>
    </row>
    <row r="2002" spans="54:54" x14ac:dyDescent="0.3">
      <c r="BB2002" s="39"/>
    </row>
    <row r="2003" spans="54:54" x14ac:dyDescent="0.3">
      <c r="BB2003" s="39"/>
    </row>
    <row r="2004" spans="54:54" x14ac:dyDescent="0.3">
      <c r="BB2004" s="39"/>
    </row>
    <row r="2005" spans="54:54" x14ac:dyDescent="0.3">
      <c r="BB2005" s="39"/>
    </row>
    <row r="2006" spans="54:54" x14ac:dyDescent="0.3">
      <c r="BB2006" s="39"/>
    </row>
    <row r="2007" spans="54:54" x14ac:dyDescent="0.3">
      <c r="BB2007" s="39"/>
    </row>
    <row r="2008" spans="54:54" x14ac:dyDescent="0.3">
      <c r="BB2008" s="39"/>
    </row>
    <row r="2009" spans="54:54" x14ac:dyDescent="0.3">
      <c r="BB2009" s="39"/>
    </row>
    <row r="2010" spans="54:54" x14ac:dyDescent="0.3">
      <c r="BB2010" s="39"/>
    </row>
    <row r="2011" spans="54:54" x14ac:dyDescent="0.3">
      <c r="BB2011" s="39"/>
    </row>
    <row r="2012" spans="54:54" x14ac:dyDescent="0.3">
      <c r="BB2012" s="39"/>
    </row>
    <row r="2013" spans="54:54" x14ac:dyDescent="0.3">
      <c r="BB2013" s="39"/>
    </row>
    <row r="2014" spans="54:54" x14ac:dyDescent="0.3">
      <c r="BB2014" s="39"/>
    </row>
    <row r="2015" spans="54:54" x14ac:dyDescent="0.3">
      <c r="BB2015" s="39"/>
    </row>
    <row r="2016" spans="54:54" x14ac:dyDescent="0.3">
      <c r="BB2016" s="39"/>
    </row>
    <row r="2017" spans="54:54" x14ac:dyDescent="0.3">
      <c r="BB2017" s="39"/>
    </row>
    <row r="2018" spans="54:54" x14ac:dyDescent="0.3">
      <c r="BB2018" s="39"/>
    </row>
    <row r="2019" spans="54:54" x14ac:dyDescent="0.3">
      <c r="BB2019" s="39"/>
    </row>
    <row r="2020" spans="54:54" x14ac:dyDescent="0.3">
      <c r="BB2020" s="39"/>
    </row>
    <row r="2021" spans="54:54" x14ac:dyDescent="0.3">
      <c r="BB2021" s="39"/>
    </row>
    <row r="2022" spans="54:54" x14ac:dyDescent="0.3">
      <c r="BB2022" s="39"/>
    </row>
    <row r="2023" spans="54:54" x14ac:dyDescent="0.3">
      <c r="BB2023" s="39"/>
    </row>
    <row r="2024" spans="54:54" x14ac:dyDescent="0.3">
      <c r="BB2024" s="39"/>
    </row>
    <row r="2025" spans="54:54" x14ac:dyDescent="0.3">
      <c r="BB2025" s="39"/>
    </row>
    <row r="2026" spans="54:54" x14ac:dyDescent="0.3">
      <c r="BB2026" s="39"/>
    </row>
    <row r="2027" spans="54:54" x14ac:dyDescent="0.3">
      <c r="BB2027" s="39"/>
    </row>
    <row r="2028" spans="54:54" x14ac:dyDescent="0.3">
      <c r="BB2028" s="39"/>
    </row>
    <row r="2029" spans="54:54" x14ac:dyDescent="0.3">
      <c r="BB2029" s="39"/>
    </row>
    <row r="2030" spans="54:54" x14ac:dyDescent="0.3">
      <c r="BB2030" s="39"/>
    </row>
    <row r="2031" spans="54:54" x14ac:dyDescent="0.3">
      <c r="BB2031" s="39"/>
    </row>
    <row r="2032" spans="54:54" x14ac:dyDescent="0.3">
      <c r="BB2032" s="39"/>
    </row>
    <row r="2033" spans="54:54" x14ac:dyDescent="0.3">
      <c r="BB2033" s="39"/>
    </row>
    <row r="2034" spans="54:54" x14ac:dyDescent="0.3">
      <c r="BB2034" s="39"/>
    </row>
    <row r="2035" spans="54:54" x14ac:dyDescent="0.3">
      <c r="BB2035" s="39"/>
    </row>
    <row r="2036" spans="54:54" x14ac:dyDescent="0.3">
      <c r="BB2036" s="39"/>
    </row>
    <row r="2037" spans="54:54" x14ac:dyDescent="0.3">
      <c r="BB2037" s="39"/>
    </row>
    <row r="2038" spans="54:54" x14ac:dyDescent="0.3">
      <c r="BB2038" s="39"/>
    </row>
    <row r="2039" spans="54:54" x14ac:dyDescent="0.3">
      <c r="BB2039" s="39"/>
    </row>
    <row r="2040" spans="54:54" x14ac:dyDescent="0.3">
      <c r="BB2040" s="39"/>
    </row>
    <row r="2041" spans="54:54" x14ac:dyDescent="0.3">
      <c r="BB2041" s="39"/>
    </row>
    <row r="2042" spans="54:54" x14ac:dyDescent="0.3">
      <c r="BB2042" s="39"/>
    </row>
    <row r="2043" spans="54:54" x14ac:dyDescent="0.3">
      <c r="BB2043" s="39"/>
    </row>
    <row r="2044" spans="54:54" x14ac:dyDescent="0.3">
      <c r="BB2044" s="39"/>
    </row>
    <row r="2045" spans="54:54" x14ac:dyDescent="0.3">
      <c r="BB2045" s="39"/>
    </row>
    <row r="2046" spans="54:54" x14ac:dyDescent="0.3">
      <c r="BB2046" s="39"/>
    </row>
    <row r="2047" spans="54:54" x14ac:dyDescent="0.3">
      <c r="BB2047" s="39"/>
    </row>
    <row r="2048" spans="54:54" x14ac:dyDescent="0.3">
      <c r="BB2048" s="39"/>
    </row>
    <row r="2049" spans="54:54" x14ac:dyDescent="0.3">
      <c r="BB2049" s="39"/>
    </row>
    <row r="2050" spans="54:54" x14ac:dyDescent="0.3">
      <c r="BB2050" s="39"/>
    </row>
    <row r="2051" spans="54:54" x14ac:dyDescent="0.3">
      <c r="BB2051" s="39"/>
    </row>
    <row r="2052" spans="54:54" x14ac:dyDescent="0.3">
      <c r="BB2052" s="39"/>
    </row>
    <row r="2053" spans="54:54" x14ac:dyDescent="0.3">
      <c r="BB2053" s="39"/>
    </row>
    <row r="2054" spans="54:54" x14ac:dyDescent="0.3">
      <c r="BB2054" s="39"/>
    </row>
    <row r="2055" spans="54:54" x14ac:dyDescent="0.3">
      <c r="BB2055" s="39"/>
    </row>
    <row r="2056" spans="54:54" x14ac:dyDescent="0.3">
      <c r="BB2056" s="39"/>
    </row>
    <row r="2057" spans="54:54" x14ac:dyDescent="0.3">
      <c r="BB2057" s="39"/>
    </row>
    <row r="2058" spans="54:54" x14ac:dyDescent="0.3">
      <c r="BB2058" s="39"/>
    </row>
    <row r="2059" spans="54:54" x14ac:dyDescent="0.3">
      <c r="BB2059" s="39"/>
    </row>
    <row r="2060" spans="54:54" x14ac:dyDescent="0.3">
      <c r="BB2060" s="39"/>
    </row>
    <row r="2061" spans="54:54" x14ac:dyDescent="0.3">
      <c r="BB2061" s="39"/>
    </row>
    <row r="2062" spans="54:54" x14ac:dyDescent="0.3">
      <c r="BB2062" s="39"/>
    </row>
    <row r="2063" spans="54:54" x14ac:dyDescent="0.3">
      <c r="BB2063" s="39"/>
    </row>
    <row r="2064" spans="54:54" x14ac:dyDescent="0.3">
      <c r="BB2064" s="39"/>
    </row>
    <row r="2065" spans="54:54" x14ac:dyDescent="0.3">
      <c r="BB2065" s="39"/>
    </row>
    <row r="2066" spans="54:54" x14ac:dyDescent="0.3">
      <c r="BB2066" s="39"/>
    </row>
    <row r="2067" spans="54:54" x14ac:dyDescent="0.3">
      <c r="BB2067" s="39"/>
    </row>
    <row r="2068" spans="54:54" x14ac:dyDescent="0.3">
      <c r="BB2068" s="39"/>
    </row>
    <row r="2069" spans="54:54" x14ac:dyDescent="0.3">
      <c r="BB2069" s="39"/>
    </row>
    <row r="2070" spans="54:54" x14ac:dyDescent="0.3">
      <c r="BB2070" s="39"/>
    </row>
    <row r="2071" spans="54:54" x14ac:dyDescent="0.3">
      <c r="BB2071" s="39"/>
    </row>
    <row r="2072" spans="54:54" x14ac:dyDescent="0.3">
      <c r="BB2072" s="39"/>
    </row>
    <row r="2073" spans="54:54" x14ac:dyDescent="0.3">
      <c r="BB2073" s="39"/>
    </row>
    <row r="2074" spans="54:54" x14ac:dyDescent="0.3">
      <c r="BB2074" s="39"/>
    </row>
    <row r="2075" spans="54:54" x14ac:dyDescent="0.3">
      <c r="BB2075" s="39"/>
    </row>
    <row r="2076" spans="54:54" x14ac:dyDescent="0.3">
      <c r="BB2076" s="39"/>
    </row>
    <row r="2077" spans="54:54" x14ac:dyDescent="0.3">
      <c r="BB2077" s="39"/>
    </row>
    <row r="2078" spans="54:54" x14ac:dyDescent="0.3">
      <c r="BB2078" s="39"/>
    </row>
    <row r="2079" spans="54:54" x14ac:dyDescent="0.3">
      <c r="BB2079" s="39"/>
    </row>
    <row r="2080" spans="54:54" x14ac:dyDescent="0.3">
      <c r="BB2080" s="39"/>
    </row>
    <row r="2081" spans="54:54" x14ac:dyDescent="0.3">
      <c r="BB2081" s="39"/>
    </row>
    <row r="2082" spans="54:54" x14ac:dyDescent="0.3">
      <c r="BB2082" s="39"/>
    </row>
    <row r="2083" spans="54:54" x14ac:dyDescent="0.3">
      <c r="BB2083" s="39"/>
    </row>
    <row r="2084" spans="54:54" x14ac:dyDescent="0.3">
      <c r="BB2084" s="39"/>
    </row>
    <row r="2085" spans="54:54" x14ac:dyDescent="0.3">
      <c r="BB2085" s="39"/>
    </row>
    <row r="2086" spans="54:54" x14ac:dyDescent="0.3">
      <c r="BB2086" s="39"/>
    </row>
    <row r="2087" spans="54:54" x14ac:dyDescent="0.3">
      <c r="BB2087" s="39"/>
    </row>
    <row r="2088" spans="54:54" x14ac:dyDescent="0.3">
      <c r="BB2088" s="39"/>
    </row>
    <row r="2089" spans="54:54" x14ac:dyDescent="0.3">
      <c r="BB2089" s="39"/>
    </row>
    <row r="2090" spans="54:54" x14ac:dyDescent="0.3">
      <c r="BB2090" s="39"/>
    </row>
    <row r="2091" spans="54:54" x14ac:dyDescent="0.3">
      <c r="BB2091" s="39"/>
    </row>
    <row r="2092" spans="54:54" x14ac:dyDescent="0.3">
      <c r="BB2092" s="39"/>
    </row>
    <row r="2093" spans="54:54" x14ac:dyDescent="0.3">
      <c r="BB2093" s="39"/>
    </row>
    <row r="2094" spans="54:54" x14ac:dyDescent="0.3">
      <c r="BB2094" s="39"/>
    </row>
    <row r="2095" spans="54:54" x14ac:dyDescent="0.3">
      <c r="BB2095" s="39"/>
    </row>
    <row r="2096" spans="54:54" x14ac:dyDescent="0.3">
      <c r="BB2096" s="39"/>
    </row>
    <row r="2097" spans="54:54" x14ac:dyDescent="0.3">
      <c r="BB2097" s="39"/>
    </row>
    <row r="2098" spans="54:54" x14ac:dyDescent="0.3">
      <c r="BB2098" s="39"/>
    </row>
    <row r="2099" spans="54:54" x14ac:dyDescent="0.3">
      <c r="BB2099" s="39"/>
    </row>
    <row r="2100" spans="54:54" x14ac:dyDescent="0.3">
      <c r="BB2100" s="39"/>
    </row>
    <row r="2101" spans="54:54" x14ac:dyDescent="0.3">
      <c r="BB2101" s="39"/>
    </row>
    <row r="2102" spans="54:54" x14ac:dyDescent="0.3">
      <c r="BB2102" s="39"/>
    </row>
    <row r="2103" spans="54:54" x14ac:dyDescent="0.3">
      <c r="BB2103" s="39"/>
    </row>
    <row r="2104" spans="54:54" x14ac:dyDescent="0.3">
      <c r="BB2104" s="39"/>
    </row>
    <row r="2105" spans="54:54" x14ac:dyDescent="0.3">
      <c r="BB2105" s="39"/>
    </row>
    <row r="2106" spans="54:54" x14ac:dyDescent="0.3">
      <c r="BB2106" s="39"/>
    </row>
    <row r="2107" spans="54:54" x14ac:dyDescent="0.3">
      <c r="BB2107" s="39"/>
    </row>
    <row r="2108" spans="54:54" x14ac:dyDescent="0.3">
      <c r="BB2108" s="39"/>
    </row>
    <row r="2109" spans="54:54" x14ac:dyDescent="0.3">
      <c r="BB2109" s="39"/>
    </row>
    <row r="2110" spans="54:54" x14ac:dyDescent="0.3">
      <c r="BB2110" s="39"/>
    </row>
    <row r="2111" spans="54:54" x14ac:dyDescent="0.3">
      <c r="BB2111" s="39"/>
    </row>
    <row r="2112" spans="54:54" x14ac:dyDescent="0.3">
      <c r="BB2112" s="39"/>
    </row>
    <row r="2113" spans="54:54" x14ac:dyDescent="0.3">
      <c r="BB2113" s="39"/>
    </row>
    <row r="2114" spans="54:54" x14ac:dyDescent="0.3">
      <c r="BB2114" s="39"/>
    </row>
    <row r="2115" spans="54:54" x14ac:dyDescent="0.3">
      <c r="BB2115" s="39"/>
    </row>
    <row r="2116" spans="54:54" x14ac:dyDescent="0.3">
      <c r="BB2116" s="39"/>
    </row>
    <row r="2117" spans="54:54" x14ac:dyDescent="0.3">
      <c r="BB2117" s="39"/>
    </row>
    <row r="2118" spans="54:54" x14ac:dyDescent="0.3">
      <c r="BB2118" s="39"/>
    </row>
    <row r="2119" spans="54:54" x14ac:dyDescent="0.3">
      <c r="BB2119" s="39"/>
    </row>
    <row r="2120" spans="54:54" x14ac:dyDescent="0.3">
      <c r="BB2120" s="39"/>
    </row>
    <row r="2121" spans="54:54" x14ac:dyDescent="0.3">
      <c r="BB2121" s="39"/>
    </row>
    <row r="2122" spans="54:54" x14ac:dyDescent="0.3">
      <c r="BB2122" s="39"/>
    </row>
    <row r="2123" spans="54:54" x14ac:dyDescent="0.3">
      <c r="BB2123" s="39"/>
    </row>
    <row r="2124" spans="54:54" x14ac:dyDescent="0.3">
      <c r="BB2124" s="39"/>
    </row>
    <row r="2125" spans="54:54" x14ac:dyDescent="0.3">
      <c r="BB2125" s="39"/>
    </row>
    <row r="2126" spans="54:54" x14ac:dyDescent="0.3">
      <c r="BB2126" s="39"/>
    </row>
    <row r="2127" spans="54:54" x14ac:dyDescent="0.3">
      <c r="BB2127" s="39"/>
    </row>
    <row r="2128" spans="54:54" x14ac:dyDescent="0.3">
      <c r="BB2128" s="39"/>
    </row>
    <row r="2129" spans="54:54" x14ac:dyDescent="0.3">
      <c r="BB2129" s="39"/>
    </row>
    <row r="2130" spans="54:54" x14ac:dyDescent="0.3">
      <c r="BB2130" s="39"/>
    </row>
    <row r="2131" spans="54:54" x14ac:dyDescent="0.3">
      <c r="BB2131" s="39"/>
    </row>
    <row r="2132" spans="54:54" x14ac:dyDescent="0.3">
      <c r="BB2132" s="39"/>
    </row>
  </sheetData>
  <autoFilter ref="A1:AC599" xr:uid="{00000000-0001-0000-0000-000000000000}"/>
  <phoneticPr fontId="15" type="noConversion"/>
  <conditionalFormatting sqref="D1">
    <cfRule type="containsText" dxfId="13" priority="2" operator="containsText" text="SILENCIO">
      <formula>NOT(ISERROR(SEARCH("SILENCIO",D1)))</formula>
    </cfRule>
    <cfRule type="containsText" dxfId="12" priority="3" operator="containsText" text="objeta">
      <formula>NOT(ISERROR(SEARCH("objeta",D1)))</formula>
    </cfRule>
  </conditionalFormatting>
  <conditionalFormatting sqref="E1">
    <cfRule type="containsText" dxfId="11" priority="1" operator="containsText" text="INACTIVA">
      <formula>NOT(ISERROR(SEARCH("INACTIVA",E1)))</formula>
    </cfRule>
  </conditionalFormatting>
  <conditionalFormatting sqref="B1">
    <cfRule type="duplicateValues" dxfId="10" priority="4"/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D220-4A83-42A2-AF99-AD539AB3442F}">
  <sheetPr codeName="Hoja2"/>
  <dimension ref="A1:V1011"/>
  <sheetViews>
    <sheetView workbookViewId="0">
      <selection activeCell="C13" sqref="C13"/>
    </sheetView>
  </sheetViews>
  <sheetFormatPr baseColWidth="10" defaultRowHeight="14.4" x14ac:dyDescent="0.3"/>
  <cols>
    <col min="1" max="1" width="21.5546875" bestFit="1" customWidth="1"/>
    <col min="2" max="2" width="89.44140625" bestFit="1" customWidth="1"/>
    <col min="3" max="4" width="11.5546875" style="37"/>
    <col min="5" max="5" width="13.33203125" customWidth="1"/>
    <col min="8" max="8" width="17.77734375" bestFit="1" customWidth="1"/>
    <col min="9" max="9" width="16.5546875" bestFit="1" customWidth="1"/>
  </cols>
  <sheetData>
    <row r="1" spans="1:4" ht="14.4" customHeight="1" x14ac:dyDescent="0.3">
      <c r="A1" s="151" t="s">
        <v>1636</v>
      </c>
      <c r="B1" s="151" t="s">
        <v>1637</v>
      </c>
      <c r="C1" s="152" t="s">
        <v>1793</v>
      </c>
      <c r="D1" s="152" t="s">
        <v>1794</v>
      </c>
    </row>
    <row r="2" spans="1:4" x14ac:dyDescent="0.3">
      <c r="A2" s="153">
        <v>800094164</v>
      </c>
      <c r="B2" s="153" t="s">
        <v>1493</v>
      </c>
      <c r="C2" s="152"/>
      <c r="D2" s="152"/>
    </row>
    <row r="3" spans="1:4" x14ac:dyDescent="0.3">
      <c r="A3" s="153">
        <v>800094755</v>
      </c>
      <c r="B3" s="153" t="s">
        <v>1494</v>
      </c>
      <c r="C3" s="152"/>
      <c r="D3" s="152"/>
    </row>
    <row r="4" spans="1:4" x14ac:dyDescent="0.3">
      <c r="A4" s="153">
        <v>800095514</v>
      </c>
      <c r="B4" s="153" t="s">
        <v>1495</v>
      </c>
      <c r="C4" s="152"/>
      <c r="D4" s="152"/>
    </row>
    <row r="5" spans="1:4" x14ac:dyDescent="0.3">
      <c r="A5" s="153">
        <v>800096558</v>
      </c>
      <c r="B5" s="153" t="s">
        <v>1496</v>
      </c>
      <c r="C5" s="152"/>
      <c r="D5" s="152"/>
    </row>
    <row r="6" spans="1:4" x14ac:dyDescent="0.3">
      <c r="A6" s="153">
        <v>800096734</v>
      </c>
      <c r="B6" s="153" t="s">
        <v>1497</v>
      </c>
      <c r="C6" s="152"/>
      <c r="D6" s="152"/>
    </row>
    <row r="7" spans="1:4" x14ac:dyDescent="0.3">
      <c r="A7" s="153">
        <v>800096761</v>
      </c>
      <c r="B7" s="153" t="s">
        <v>1498</v>
      </c>
      <c r="C7" s="152"/>
      <c r="D7" s="152"/>
    </row>
    <row r="8" spans="1:4" x14ac:dyDescent="0.3">
      <c r="A8" s="153">
        <v>800096807</v>
      </c>
      <c r="B8" s="153" t="s">
        <v>1499</v>
      </c>
      <c r="C8" s="152"/>
      <c r="D8" s="152"/>
    </row>
    <row r="9" spans="1:4" x14ac:dyDescent="0.3">
      <c r="A9" s="153">
        <v>800099223</v>
      </c>
      <c r="B9" s="153" t="s">
        <v>1500</v>
      </c>
      <c r="C9" s="152"/>
      <c r="D9" s="152"/>
    </row>
    <row r="10" spans="1:4" x14ac:dyDescent="0.3">
      <c r="A10" s="153">
        <v>800100048</v>
      </c>
      <c r="B10" s="153" t="s">
        <v>1501</v>
      </c>
      <c r="C10" s="152"/>
      <c r="D10" s="152"/>
    </row>
    <row r="11" spans="1:4" x14ac:dyDescent="0.3">
      <c r="A11" s="153">
        <v>800100050</v>
      </c>
      <c r="B11" s="153" t="s">
        <v>1502</v>
      </c>
      <c r="C11" s="152"/>
      <c r="D11" s="152"/>
    </row>
    <row r="12" spans="1:4" x14ac:dyDescent="0.3">
      <c r="A12" s="153">
        <v>800100053</v>
      </c>
      <c r="B12" s="153" t="s">
        <v>1503</v>
      </c>
      <c r="C12" s="152"/>
      <c r="D12" s="152"/>
    </row>
    <row r="13" spans="1:4" x14ac:dyDescent="0.3">
      <c r="A13" s="153">
        <v>800100136</v>
      </c>
      <c r="B13" s="153" t="s">
        <v>1504</v>
      </c>
      <c r="C13" s="152"/>
      <c r="D13" s="152"/>
    </row>
    <row r="14" spans="1:4" x14ac:dyDescent="0.3">
      <c r="A14" s="153">
        <v>800100521</v>
      </c>
      <c r="B14" s="153" t="s">
        <v>1505</v>
      </c>
      <c r="C14" s="152"/>
      <c r="D14" s="152"/>
    </row>
    <row r="15" spans="1:4" x14ac:dyDescent="0.3">
      <c r="A15" s="153">
        <v>800102838</v>
      </c>
      <c r="B15" s="153" t="s">
        <v>1506</v>
      </c>
      <c r="C15" s="152"/>
      <c r="D15" s="152"/>
    </row>
    <row r="16" spans="1:4" x14ac:dyDescent="0.3">
      <c r="A16" s="153">
        <v>800103021</v>
      </c>
      <c r="B16" s="153" t="s">
        <v>1507</v>
      </c>
      <c r="C16" s="152"/>
      <c r="D16" s="152"/>
    </row>
    <row r="17" spans="1:4" x14ac:dyDescent="0.3">
      <c r="A17" s="153">
        <v>800103913</v>
      </c>
      <c r="B17" s="153" t="s">
        <v>1508</v>
      </c>
      <c r="C17" s="152"/>
      <c r="D17" s="152"/>
    </row>
    <row r="18" spans="1:4" x14ac:dyDescent="0.3">
      <c r="A18" s="153">
        <v>800103920</v>
      </c>
      <c r="B18" s="153" t="s">
        <v>1509</v>
      </c>
      <c r="C18" s="152"/>
      <c r="D18" s="152"/>
    </row>
    <row r="19" spans="1:4" x14ac:dyDescent="0.3">
      <c r="A19" s="153">
        <v>800103923</v>
      </c>
      <c r="B19" s="153" t="s">
        <v>1510</v>
      </c>
      <c r="C19" s="152"/>
      <c r="D19" s="152"/>
    </row>
    <row r="20" spans="1:4" x14ac:dyDescent="0.3">
      <c r="A20" s="153">
        <v>800103927</v>
      </c>
      <c r="B20" s="153" t="s">
        <v>1511</v>
      </c>
      <c r="C20" s="152"/>
      <c r="D20" s="152"/>
    </row>
    <row r="21" spans="1:4" x14ac:dyDescent="0.3">
      <c r="A21" s="153">
        <v>800103935</v>
      </c>
      <c r="B21" s="153" t="s">
        <v>1512</v>
      </c>
      <c r="C21" s="152"/>
      <c r="D21" s="152"/>
    </row>
    <row r="22" spans="1:4" x14ac:dyDescent="0.3">
      <c r="A22" s="153">
        <v>800113389</v>
      </c>
      <c r="B22" s="153" t="s">
        <v>1513</v>
      </c>
      <c r="C22" s="152"/>
      <c r="D22" s="152"/>
    </row>
    <row r="23" spans="1:4" x14ac:dyDescent="0.3">
      <c r="A23" s="153">
        <v>800113672</v>
      </c>
      <c r="B23" s="153" t="s">
        <v>1514</v>
      </c>
      <c r="C23" s="152"/>
      <c r="D23" s="152"/>
    </row>
    <row r="24" spans="1:4" x14ac:dyDescent="0.3">
      <c r="A24" s="153">
        <v>800114312</v>
      </c>
      <c r="B24" s="153" t="s">
        <v>1515</v>
      </c>
      <c r="C24" s="152"/>
      <c r="D24" s="152"/>
    </row>
    <row r="25" spans="1:4" x14ac:dyDescent="0.3">
      <c r="A25" s="153">
        <v>800118954</v>
      </c>
      <c r="B25" s="153" t="s">
        <v>1516</v>
      </c>
      <c r="C25" s="152"/>
      <c r="D25" s="152"/>
    </row>
    <row r="26" spans="1:4" x14ac:dyDescent="0.3">
      <c r="A26" s="153">
        <v>800130465</v>
      </c>
      <c r="B26" s="153" t="s">
        <v>1517</v>
      </c>
      <c r="C26" s="152"/>
      <c r="D26" s="152"/>
    </row>
    <row r="27" spans="1:4" x14ac:dyDescent="0.3">
      <c r="A27" s="153">
        <v>800150168</v>
      </c>
      <c r="B27" s="153" t="s">
        <v>1518</v>
      </c>
      <c r="C27" s="152"/>
      <c r="D27" s="152"/>
    </row>
    <row r="28" spans="1:4" x14ac:dyDescent="0.3">
      <c r="A28" s="153">
        <v>800155633</v>
      </c>
      <c r="B28" s="153" t="s">
        <v>1519</v>
      </c>
      <c r="C28" s="152"/>
      <c r="D28" s="152"/>
    </row>
    <row r="29" spans="1:4" x14ac:dyDescent="0.3">
      <c r="A29" s="153">
        <v>800214750</v>
      </c>
      <c r="B29" s="153" t="s">
        <v>1520</v>
      </c>
      <c r="C29" s="152"/>
      <c r="D29" s="152"/>
    </row>
    <row r="30" spans="1:4" x14ac:dyDescent="0.3">
      <c r="A30" s="153">
        <v>800231235</v>
      </c>
      <c r="B30" s="153" t="s">
        <v>1521</v>
      </c>
      <c r="C30" s="152"/>
      <c r="D30" s="152"/>
    </row>
    <row r="31" spans="1:4" x14ac:dyDescent="0.3">
      <c r="A31" s="153">
        <v>802007670</v>
      </c>
      <c r="B31" s="153" t="s">
        <v>1522</v>
      </c>
      <c r="C31" s="152"/>
      <c r="D31" s="152"/>
    </row>
    <row r="32" spans="1:4" x14ac:dyDescent="0.3">
      <c r="A32" s="153">
        <v>809005065</v>
      </c>
      <c r="B32" s="153" t="s">
        <v>1523</v>
      </c>
      <c r="C32" s="152"/>
      <c r="D32" s="152"/>
    </row>
    <row r="33" spans="1:4" x14ac:dyDescent="0.3">
      <c r="A33" s="153">
        <v>814002561</v>
      </c>
      <c r="B33" s="153" t="s">
        <v>1524</v>
      </c>
      <c r="C33" s="152"/>
      <c r="D33" s="152"/>
    </row>
    <row r="34" spans="1:4" x14ac:dyDescent="0.3">
      <c r="A34" s="153">
        <v>830053105</v>
      </c>
      <c r="B34" s="153" t="s">
        <v>1525</v>
      </c>
      <c r="C34" s="152"/>
      <c r="D34" s="152"/>
    </row>
    <row r="35" spans="1:4" x14ac:dyDescent="0.3">
      <c r="A35" s="153">
        <v>845000021</v>
      </c>
      <c r="B35" s="153" t="s">
        <v>1526</v>
      </c>
      <c r="C35" s="152"/>
      <c r="D35" s="152"/>
    </row>
    <row r="36" spans="1:4" x14ac:dyDescent="0.3">
      <c r="A36" s="153">
        <v>860015929</v>
      </c>
      <c r="B36" s="153" t="s">
        <v>1527</v>
      </c>
      <c r="C36" s="152"/>
      <c r="D36" s="152"/>
    </row>
    <row r="37" spans="1:4" x14ac:dyDescent="0.3">
      <c r="A37" s="153">
        <v>860041163</v>
      </c>
      <c r="B37" s="153" t="s">
        <v>1528</v>
      </c>
      <c r="C37" s="152"/>
      <c r="D37" s="152"/>
    </row>
    <row r="38" spans="1:4" x14ac:dyDescent="0.3">
      <c r="A38" s="153">
        <v>890000432</v>
      </c>
      <c r="B38" s="153" t="s">
        <v>1529</v>
      </c>
      <c r="C38" s="152"/>
      <c r="D38" s="152"/>
    </row>
    <row r="39" spans="1:4" x14ac:dyDescent="0.3">
      <c r="A39" s="153">
        <v>890000439</v>
      </c>
      <c r="B39" s="153" t="s">
        <v>1530</v>
      </c>
      <c r="C39" s="152"/>
      <c r="D39" s="152"/>
    </row>
    <row r="40" spans="1:4" x14ac:dyDescent="0.3">
      <c r="A40" s="153">
        <v>890000441</v>
      </c>
      <c r="B40" s="153" t="s">
        <v>1531</v>
      </c>
      <c r="C40" s="152"/>
      <c r="D40" s="152"/>
    </row>
    <row r="41" spans="1:4" x14ac:dyDescent="0.3">
      <c r="A41" s="153">
        <v>890000464</v>
      </c>
      <c r="B41" s="153" t="s">
        <v>1532</v>
      </c>
      <c r="C41" s="152"/>
      <c r="D41" s="152"/>
    </row>
    <row r="42" spans="1:4" x14ac:dyDescent="0.3">
      <c r="A42" s="153">
        <v>890001044</v>
      </c>
      <c r="B42" s="153" t="s">
        <v>1533</v>
      </c>
      <c r="C42" s="152"/>
      <c r="D42" s="152"/>
    </row>
    <row r="43" spans="1:4" x14ac:dyDescent="0.3">
      <c r="A43" s="153">
        <v>890001127</v>
      </c>
      <c r="B43" s="153" t="s">
        <v>1534</v>
      </c>
      <c r="C43" s="152"/>
      <c r="D43" s="152"/>
    </row>
    <row r="44" spans="1:4" x14ac:dyDescent="0.3">
      <c r="A44" s="153">
        <v>890001639</v>
      </c>
      <c r="B44" s="153" t="s">
        <v>1535</v>
      </c>
      <c r="C44" s="152"/>
      <c r="D44" s="152"/>
    </row>
    <row r="45" spans="1:4" x14ac:dyDescent="0.3">
      <c r="A45" s="153">
        <v>890102006</v>
      </c>
      <c r="B45" s="153" t="s">
        <v>46</v>
      </c>
      <c r="C45" s="152"/>
      <c r="D45" s="152"/>
    </row>
    <row r="46" spans="1:4" x14ac:dyDescent="0.3">
      <c r="A46" s="153">
        <v>890102009</v>
      </c>
      <c r="B46" s="153" t="s">
        <v>1536</v>
      </c>
      <c r="C46" s="152"/>
      <c r="D46" s="152"/>
    </row>
    <row r="47" spans="1:4" x14ac:dyDescent="0.3">
      <c r="A47" s="153">
        <v>890102018</v>
      </c>
      <c r="B47" s="153" t="s">
        <v>47</v>
      </c>
      <c r="C47" s="152"/>
      <c r="D47" s="152"/>
    </row>
    <row r="48" spans="1:4" x14ac:dyDescent="0.3">
      <c r="A48" s="153">
        <v>890102257</v>
      </c>
      <c r="B48" s="153" t="s">
        <v>1537</v>
      </c>
      <c r="C48" s="152"/>
      <c r="D48" s="152"/>
    </row>
    <row r="49" spans="1:4" x14ac:dyDescent="0.3">
      <c r="A49" s="153">
        <v>890103010</v>
      </c>
      <c r="B49" s="153" t="s">
        <v>1538</v>
      </c>
      <c r="C49" s="152"/>
      <c r="D49" s="152"/>
    </row>
    <row r="50" spans="1:4" x14ac:dyDescent="0.3">
      <c r="A50" s="153">
        <v>890201213</v>
      </c>
      <c r="B50" s="153" t="s">
        <v>1539</v>
      </c>
      <c r="C50" s="152"/>
      <c r="D50" s="152"/>
    </row>
    <row r="51" spans="1:4" x14ac:dyDescent="0.3">
      <c r="A51" s="153">
        <v>890201222</v>
      </c>
      <c r="B51" s="153" t="s">
        <v>1540</v>
      </c>
      <c r="C51" s="152"/>
      <c r="D51" s="152"/>
    </row>
    <row r="52" spans="1:4" x14ac:dyDescent="0.3">
      <c r="A52" s="153">
        <v>890201230</v>
      </c>
      <c r="B52" s="153" t="s">
        <v>1541</v>
      </c>
      <c r="C52" s="152"/>
      <c r="D52" s="152"/>
    </row>
    <row r="53" spans="1:4" x14ac:dyDescent="0.3">
      <c r="A53" s="153">
        <v>890201235</v>
      </c>
      <c r="B53" s="153" t="s">
        <v>1542</v>
      </c>
      <c r="C53" s="152"/>
      <c r="D53" s="152"/>
    </row>
    <row r="54" spans="1:4" x14ac:dyDescent="0.3">
      <c r="A54" s="153">
        <v>890201235</v>
      </c>
      <c r="B54" s="153" t="s">
        <v>1638</v>
      </c>
      <c r="C54" s="152"/>
      <c r="D54" s="152"/>
    </row>
    <row r="55" spans="1:4" x14ac:dyDescent="0.3">
      <c r="A55" s="153">
        <v>890201488</v>
      </c>
      <c r="B55" s="153" t="s">
        <v>45</v>
      </c>
      <c r="C55" s="152"/>
      <c r="D55" s="152"/>
    </row>
    <row r="56" spans="1:4" x14ac:dyDescent="0.3">
      <c r="A56" s="153">
        <v>890201538</v>
      </c>
      <c r="B56" s="153" t="s">
        <v>1543</v>
      </c>
      <c r="C56" s="152"/>
      <c r="D56" s="152"/>
    </row>
    <row r="57" spans="1:4" x14ac:dyDescent="0.3">
      <c r="A57" s="153">
        <v>890201900</v>
      </c>
      <c r="B57" s="153" t="s">
        <v>1544</v>
      </c>
      <c r="C57" s="152"/>
      <c r="D57" s="152"/>
    </row>
    <row r="58" spans="1:4" x14ac:dyDescent="0.3">
      <c r="A58" s="153">
        <v>890204802</v>
      </c>
      <c r="B58" s="153" t="s">
        <v>1545</v>
      </c>
      <c r="C58" s="152"/>
      <c r="D58" s="152"/>
    </row>
    <row r="59" spans="1:4" ht="28.8" customHeight="1" x14ac:dyDescent="0.3">
      <c r="A59" s="153">
        <v>890205063</v>
      </c>
      <c r="B59" s="153" t="s">
        <v>1546</v>
      </c>
      <c r="C59" s="152"/>
      <c r="D59" s="152"/>
    </row>
    <row r="60" spans="1:4" x14ac:dyDescent="0.3">
      <c r="A60" s="153">
        <v>890206167</v>
      </c>
      <c r="B60" s="153" t="s">
        <v>1547</v>
      </c>
      <c r="C60" s="152"/>
      <c r="D60" s="152"/>
    </row>
    <row r="61" spans="1:4" x14ac:dyDescent="0.3">
      <c r="A61" s="153">
        <v>890270833</v>
      </c>
      <c r="B61" s="153" t="s">
        <v>1548</v>
      </c>
      <c r="C61" s="152"/>
      <c r="D61" s="152"/>
    </row>
    <row r="62" spans="1:4" x14ac:dyDescent="0.3">
      <c r="A62" s="153">
        <v>890303461</v>
      </c>
      <c r="B62" s="153" t="s">
        <v>1549</v>
      </c>
      <c r="C62" s="152"/>
      <c r="D62" s="152"/>
    </row>
    <row r="63" spans="1:4" x14ac:dyDescent="0.3">
      <c r="A63" s="153">
        <v>890304155</v>
      </c>
      <c r="B63" s="153" t="s">
        <v>1550</v>
      </c>
      <c r="C63" s="152"/>
      <c r="D63" s="152"/>
    </row>
    <row r="64" spans="1:4" x14ac:dyDescent="0.3">
      <c r="A64" s="153">
        <v>890312840</v>
      </c>
      <c r="B64" s="153" t="s">
        <v>1551</v>
      </c>
      <c r="C64" s="152"/>
      <c r="D64" s="152"/>
    </row>
    <row r="65" spans="1:4" x14ac:dyDescent="0.3">
      <c r="A65" s="153">
        <v>890399003</v>
      </c>
      <c r="B65" s="153" t="s">
        <v>1552</v>
      </c>
      <c r="C65" s="152"/>
      <c r="D65" s="152"/>
    </row>
    <row r="66" spans="1:4" x14ac:dyDescent="0.3">
      <c r="A66" s="153">
        <v>890399010</v>
      </c>
      <c r="B66" s="153" t="s">
        <v>1553</v>
      </c>
      <c r="C66" s="152"/>
      <c r="D66" s="152"/>
    </row>
    <row r="67" spans="1:4" x14ac:dyDescent="0.3">
      <c r="A67" s="153">
        <v>890399011</v>
      </c>
      <c r="B67" s="153" t="s">
        <v>1554</v>
      </c>
      <c r="C67" s="152"/>
      <c r="D67" s="152"/>
    </row>
    <row r="68" spans="1:4" x14ac:dyDescent="0.3">
      <c r="A68" s="153">
        <v>890399027</v>
      </c>
      <c r="B68" s="153" t="s">
        <v>1555</v>
      </c>
      <c r="C68" s="152"/>
      <c r="D68" s="152"/>
    </row>
    <row r="69" spans="1:4" x14ac:dyDescent="0.3">
      <c r="A69" s="153">
        <v>890399029</v>
      </c>
      <c r="B69" s="153" t="s">
        <v>1556</v>
      </c>
      <c r="C69" s="152"/>
      <c r="D69" s="152"/>
    </row>
    <row r="70" spans="1:4" x14ac:dyDescent="0.3">
      <c r="A70" s="153">
        <v>890399030</v>
      </c>
      <c r="B70" s="153" t="s">
        <v>1557</v>
      </c>
      <c r="C70" s="152"/>
      <c r="D70" s="152"/>
    </row>
    <row r="71" spans="1:4" x14ac:dyDescent="0.3">
      <c r="A71" s="153">
        <v>890399045</v>
      </c>
      <c r="B71" s="153" t="s">
        <v>1558</v>
      </c>
      <c r="C71" s="152"/>
      <c r="D71" s="152"/>
    </row>
    <row r="72" spans="1:4" x14ac:dyDescent="0.3">
      <c r="A72" s="153">
        <v>890480059</v>
      </c>
      <c r="B72" s="153" t="s">
        <v>1559</v>
      </c>
      <c r="C72" s="152"/>
      <c r="D72" s="152"/>
    </row>
    <row r="73" spans="1:4" x14ac:dyDescent="0.3">
      <c r="A73" s="153">
        <v>890480059</v>
      </c>
      <c r="B73" s="153" t="s">
        <v>1639</v>
      </c>
      <c r="C73" s="152"/>
      <c r="D73" s="152"/>
    </row>
    <row r="74" spans="1:4" x14ac:dyDescent="0.3">
      <c r="A74" s="153">
        <v>890480123</v>
      </c>
      <c r="B74" s="153" t="s">
        <v>1560</v>
      </c>
      <c r="C74" s="152"/>
      <c r="D74" s="152"/>
    </row>
    <row r="75" spans="1:4" x14ac:dyDescent="0.3">
      <c r="A75" s="153">
        <v>890481149</v>
      </c>
      <c r="B75" s="153" t="s">
        <v>1561</v>
      </c>
      <c r="C75" s="152"/>
      <c r="D75" s="152"/>
    </row>
    <row r="76" spans="1:4" x14ac:dyDescent="0.3">
      <c r="A76" s="153">
        <v>890500622</v>
      </c>
      <c r="B76" s="153" t="s">
        <v>1562</v>
      </c>
      <c r="C76" s="152"/>
      <c r="D76" s="152"/>
    </row>
    <row r="77" spans="1:4" x14ac:dyDescent="0.3">
      <c r="A77" s="153">
        <v>890500641</v>
      </c>
      <c r="B77" s="153" t="s">
        <v>1563</v>
      </c>
      <c r="C77" s="152"/>
      <c r="D77" s="152"/>
    </row>
    <row r="78" spans="1:4" x14ac:dyDescent="0.3">
      <c r="A78" s="153">
        <v>890501422</v>
      </c>
      <c r="B78" s="153" t="s">
        <v>1564</v>
      </c>
      <c r="C78" s="152"/>
      <c r="D78" s="152"/>
    </row>
    <row r="79" spans="1:4" x14ac:dyDescent="0.3">
      <c r="A79" s="153">
        <v>890501434</v>
      </c>
      <c r="B79" s="153" t="s">
        <v>1565</v>
      </c>
      <c r="C79" s="152"/>
      <c r="D79" s="152"/>
    </row>
    <row r="80" spans="1:4" x14ac:dyDescent="0.3">
      <c r="A80" s="153">
        <v>890700961</v>
      </c>
      <c r="B80" s="153" t="s">
        <v>1566</v>
      </c>
      <c r="C80" s="152"/>
      <c r="D80" s="152"/>
    </row>
    <row r="81" spans="1:4" x14ac:dyDescent="0.3">
      <c r="A81" s="153">
        <v>890702015</v>
      </c>
      <c r="B81" s="153" t="s">
        <v>1567</v>
      </c>
      <c r="C81" s="152"/>
      <c r="D81" s="152"/>
    </row>
    <row r="82" spans="1:4" x14ac:dyDescent="0.3">
      <c r="A82" s="153">
        <v>890702034</v>
      </c>
      <c r="B82" s="153" t="s">
        <v>1568</v>
      </c>
      <c r="C82" s="152"/>
      <c r="D82" s="152"/>
    </row>
    <row r="83" spans="1:4" x14ac:dyDescent="0.3">
      <c r="A83" s="153">
        <v>890706355</v>
      </c>
      <c r="B83" s="153" t="s">
        <v>1513</v>
      </c>
      <c r="C83" s="152"/>
      <c r="D83" s="152"/>
    </row>
    <row r="84" spans="1:4" x14ac:dyDescent="0.3">
      <c r="A84" s="153">
        <v>890800128</v>
      </c>
      <c r="B84" s="153" t="s">
        <v>1569</v>
      </c>
      <c r="C84" s="152"/>
      <c r="D84" s="152"/>
    </row>
    <row r="85" spans="1:4" x14ac:dyDescent="0.3">
      <c r="A85" s="153">
        <v>890801026</v>
      </c>
      <c r="B85" s="153" t="s">
        <v>1570</v>
      </c>
      <c r="C85" s="152"/>
      <c r="D85" s="152"/>
    </row>
    <row r="86" spans="1:4" x14ac:dyDescent="0.3">
      <c r="A86" s="153">
        <v>890801052</v>
      </c>
      <c r="B86" s="153" t="s">
        <v>1571</v>
      </c>
      <c r="C86" s="152"/>
      <c r="D86" s="152"/>
    </row>
    <row r="87" spans="1:4" x14ac:dyDescent="0.3">
      <c r="A87" s="153">
        <v>890801053</v>
      </c>
      <c r="B87" s="153" t="s">
        <v>1573</v>
      </c>
      <c r="C87" s="152"/>
      <c r="D87" s="152"/>
    </row>
    <row r="88" spans="1:4" x14ac:dyDescent="0.3">
      <c r="A88" s="153">
        <v>890900286</v>
      </c>
      <c r="B88" s="153" t="s">
        <v>1574</v>
      </c>
      <c r="C88" s="152"/>
      <c r="D88" s="152"/>
    </row>
    <row r="89" spans="1:4" x14ac:dyDescent="0.3">
      <c r="A89" s="153">
        <v>890900286</v>
      </c>
      <c r="B89" s="153" t="s">
        <v>1640</v>
      </c>
      <c r="C89" s="152"/>
      <c r="D89" s="152"/>
    </row>
    <row r="90" spans="1:4" x14ac:dyDescent="0.3">
      <c r="A90" s="153">
        <v>890904646</v>
      </c>
      <c r="B90" s="153" t="s">
        <v>1575</v>
      </c>
      <c r="C90" s="152"/>
      <c r="D90" s="152"/>
    </row>
    <row r="91" spans="1:4" x14ac:dyDescent="0.3">
      <c r="A91" s="153">
        <v>890904996</v>
      </c>
      <c r="B91" s="153" t="s">
        <v>1576</v>
      </c>
      <c r="C91" s="152"/>
      <c r="D91" s="152"/>
    </row>
    <row r="92" spans="1:4" x14ac:dyDescent="0.3">
      <c r="A92" s="153">
        <v>890905055</v>
      </c>
      <c r="B92" s="153" t="s">
        <v>1577</v>
      </c>
      <c r="C92" s="152"/>
      <c r="D92" s="152"/>
    </row>
    <row r="93" spans="1:4" x14ac:dyDescent="0.3">
      <c r="A93" s="153">
        <v>890905065</v>
      </c>
      <c r="B93" s="153" t="s">
        <v>1578</v>
      </c>
      <c r="C93" s="152"/>
      <c r="D93" s="152"/>
    </row>
    <row r="94" spans="1:4" x14ac:dyDescent="0.3">
      <c r="A94" s="153">
        <v>890905166</v>
      </c>
      <c r="B94" s="153" t="s">
        <v>1579</v>
      </c>
      <c r="C94" s="152"/>
      <c r="D94" s="152"/>
    </row>
    <row r="95" spans="1:4" x14ac:dyDescent="0.3">
      <c r="A95" s="153">
        <v>890905211</v>
      </c>
      <c r="B95" s="153" t="s">
        <v>1580</v>
      </c>
      <c r="C95" s="152"/>
      <c r="D95" s="152"/>
    </row>
    <row r="96" spans="1:4" x14ac:dyDescent="0.3">
      <c r="A96" s="153">
        <v>890980093</v>
      </c>
      <c r="B96" s="153" t="s">
        <v>1581</v>
      </c>
      <c r="C96" s="152"/>
      <c r="D96" s="152"/>
    </row>
    <row r="97" spans="1:4" x14ac:dyDescent="0.3">
      <c r="A97" s="153">
        <v>890980136</v>
      </c>
      <c r="B97" s="153" t="s">
        <v>1582</v>
      </c>
      <c r="C97" s="152"/>
      <c r="D97" s="152"/>
    </row>
    <row r="98" spans="1:4" x14ac:dyDescent="0.3">
      <c r="A98" s="153">
        <v>890980179</v>
      </c>
      <c r="B98" s="153" t="s">
        <v>1583</v>
      </c>
      <c r="C98" s="152"/>
      <c r="D98" s="152"/>
    </row>
    <row r="99" spans="1:4" x14ac:dyDescent="0.3">
      <c r="A99" s="153">
        <v>890980344</v>
      </c>
      <c r="B99" s="153" t="s">
        <v>1584</v>
      </c>
      <c r="C99" s="152"/>
      <c r="D99" s="152"/>
    </row>
    <row r="100" spans="1:4" x14ac:dyDescent="0.3">
      <c r="A100" s="153">
        <v>891180001</v>
      </c>
      <c r="B100" s="153" t="s">
        <v>1585</v>
      </c>
      <c r="C100" s="152"/>
      <c r="D100" s="152"/>
    </row>
    <row r="101" spans="1:4" x14ac:dyDescent="0.3">
      <c r="A101" s="153">
        <v>891180009</v>
      </c>
      <c r="B101" s="153" t="s">
        <v>1586</v>
      </c>
      <c r="C101" s="152"/>
      <c r="D101" s="152"/>
    </row>
    <row r="102" spans="1:4" x14ac:dyDescent="0.3">
      <c r="A102" s="153">
        <v>891280000</v>
      </c>
      <c r="B102" s="153" t="s">
        <v>1587</v>
      </c>
      <c r="C102" s="152"/>
      <c r="D102" s="152"/>
    </row>
    <row r="103" spans="1:4" x14ac:dyDescent="0.3">
      <c r="A103" s="153">
        <v>891380007</v>
      </c>
      <c r="B103" s="153" t="s">
        <v>1588</v>
      </c>
      <c r="C103" s="152"/>
      <c r="D103" s="152"/>
    </row>
    <row r="104" spans="1:4" x14ac:dyDescent="0.3">
      <c r="A104" s="153">
        <v>891380007</v>
      </c>
      <c r="B104" s="153" t="s">
        <v>1641</v>
      </c>
      <c r="C104" s="152"/>
      <c r="D104" s="152"/>
    </row>
    <row r="105" spans="1:4" x14ac:dyDescent="0.3">
      <c r="A105" s="153">
        <v>891380033</v>
      </c>
      <c r="B105" s="153" t="s">
        <v>1589</v>
      </c>
      <c r="C105" s="152"/>
      <c r="D105" s="152"/>
    </row>
    <row r="106" spans="1:4" x14ac:dyDescent="0.3">
      <c r="A106" s="153">
        <v>891380036</v>
      </c>
      <c r="B106" s="153" t="s">
        <v>1590</v>
      </c>
      <c r="C106" s="152"/>
      <c r="D106" s="152"/>
    </row>
    <row r="107" spans="1:4" x14ac:dyDescent="0.3">
      <c r="A107" s="153">
        <v>891380054</v>
      </c>
      <c r="B107" s="153" t="s">
        <v>1591</v>
      </c>
      <c r="C107" s="152"/>
      <c r="D107" s="152"/>
    </row>
    <row r="108" spans="1:4" x14ac:dyDescent="0.3">
      <c r="A108" s="153">
        <v>891480030</v>
      </c>
      <c r="B108" s="153" t="s">
        <v>1592</v>
      </c>
      <c r="C108" s="152"/>
      <c r="D108" s="152"/>
    </row>
    <row r="109" spans="1:4" x14ac:dyDescent="0.3">
      <c r="A109" s="153">
        <v>891480085</v>
      </c>
      <c r="B109" s="153" t="s">
        <v>1593</v>
      </c>
      <c r="C109" s="152"/>
      <c r="D109" s="152"/>
    </row>
    <row r="110" spans="1:4" x14ac:dyDescent="0.3">
      <c r="A110" s="153">
        <v>891500269</v>
      </c>
      <c r="B110" s="153" t="s">
        <v>1594</v>
      </c>
      <c r="C110" s="152"/>
      <c r="D110" s="152"/>
    </row>
    <row r="111" spans="1:4" x14ac:dyDescent="0.3">
      <c r="A111" s="153">
        <v>891500580</v>
      </c>
      <c r="B111" s="153" t="s">
        <v>1595</v>
      </c>
      <c r="C111" s="152"/>
      <c r="D111" s="152"/>
    </row>
    <row r="112" spans="1:4" x14ac:dyDescent="0.3">
      <c r="A112" s="153">
        <v>891502188</v>
      </c>
      <c r="B112" s="153" t="s">
        <v>1596</v>
      </c>
      <c r="C112" s="152"/>
      <c r="D112" s="152"/>
    </row>
    <row r="113" spans="1:4" x14ac:dyDescent="0.3">
      <c r="A113" s="153">
        <v>891580002</v>
      </c>
      <c r="B113" s="153" t="s">
        <v>1597</v>
      </c>
      <c r="C113" s="152"/>
      <c r="D113" s="152"/>
    </row>
    <row r="114" spans="1:4" x14ac:dyDescent="0.3">
      <c r="A114" s="153">
        <v>891580006</v>
      </c>
      <c r="B114" s="153" t="s">
        <v>1598</v>
      </c>
      <c r="C114" s="152"/>
      <c r="D114" s="152"/>
    </row>
    <row r="115" spans="1:4" x14ac:dyDescent="0.3">
      <c r="A115" s="153">
        <v>891580016</v>
      </c>
      <c r="B115" s="153" t="s">
        <v>1599</v>
      </c>
      <c r="C115" s="152"/>
      <c r="D115" s="152"/>
    </row>
    <row r="116" spans="1:4" x14ac:dyDescent="0.3">
      <c r="A116" s="153">
        <v>891680010</v>
      </c>
      <c r="B116" s="153" t="s">
        <v>1600</v>
      </c>
      <c r="C116" s="152"/>
      <c r="D116" s="152"/>
    </row>
    <row r="117" spans="1:4" x14ac:dyDescent="0.3">
      <c r="A117" s="153">
        <v>891680011</v>
      </c>
      <c r="B117" s="153" t="s">
        <v>1601</v>
      </c>
      <c r="C117" s="152"/>
      <c r="D117" s="152"/>
    </row>
    <row r="118" spans="1:4" x14ac:dyDescent="0.3">
      <c r="A118" s="153">
        <v>891680067</v>
      </c>
      <c r="B118" s="153" t="s">
        <v>1602</v>
      </c>
      <c r="C118" s="152"/>
      <c r="D118" s="152"/>
    </row>
    <row r="119" spans="1:4" x14ac:dyDescent="0.3">
      <c r="A119" s="153">
        <v>891780009</v>
      </c>
      <c r="B119" s="153" t="s">
        <v>1603</v>
      </c>
      <c r="C119" s="152"/>
      <c r="D119" s="152"/>
    </row>
    <row r="120" spans="1:4" x14ac:dyDescent="0.3">
      <c r="A120" s="153">
        <v>891780058</v>
      </c>
      <c r="B120" s="153" t="s">
        <v>1604</v>
      </c>
      <c r="C120" s="152"/>
      <c r="D120" s="152"/>
    </row>
    <row r="121" spans="1:4" x14ac:dyDescent="0.3">
      <c r="A121" s="153">
        <v>891800498</v>
      </c>
      <c r="B121" s="153" t="s">
        <v>1605</v>
      </c>
      <c r="C121" s="152"/>
      <c r="D121" s="152"/>
    </row>
    <row r="122" spans="1:4" x14ac:dyDescent="0.3">
      <c r="A122" s="153">
        <v>891800549</v>
      </c>
      <c r="B122" s="153" t="s">
        <v>1606</v>
      </c>
      <c r="C122" s="152"/>
      <c r="D122" s="152"/>
    </row>
    <row r="123" spans="1:4" x14ac:dyDescent="0.3">
      <c r="A123" s="153">
        <v>891855017</v>
      </c>
      <c r="B123" s="153" t="s">
        <v>1607</v>
      </c>
      <c r="C123" s="152"/>
      <c r="D123" s="152"/>
    </row>
    <row r="124" spans="1:4" x14ac:dyDescent="0.3">
      <c r="A124" s="153">
        <v>891855130</v>
      </c>
      <c r="B124" s="153" t="s">
        <v>1608</v>
      </c>
      <c r="C124" s="152"/>
      <c r="D124" s="152"/>
    </row>
    <row r="125" spans="1:4" x14ac:dyDescent="0.3">
      <c r="A125" s="153">
        <v>891900268</v>
      </c>
      <c r="B125" s="153" t="s">
        <v>1609</v>
      </c>
      <c r="C125" s="152"/>
      <c r="D125" s="152"/>
    </row>
    <row r="126" spans="1:4" x14ac:dyDescent="0.3">
      <c r="A126" s="153">
        <v>891900272</v>
      </c>
      <c r="B126" s="153" t="s">
        <v>1610</v>
      </c>
      <c r="C126" s="152"/>
      <c r="D126" s="152"/>
    </row>
    <row r="127" spans="1:4" x14ac:dyDescent="0.3">
      <c r="A127" s="153">
        <v>891900493</v>
      </c>
      <c r="B127" s="153" t="s">
        <v>1611</v>
      </c>
      <c r="C127" s="152"/>
      <c r="D127" s="152"/>
    </row>
    <row r="128" spans="1:4" x14ac:dyDescent="0.3">
      <c r="A128" s="153">
        <v>891900945</v>
      </c>
      <c r="B128" s="153" t="s">
        <v>1612</v>
      </c>
      <c r="C128" s="152"/>
      <c r="D128" s="152"/>
    </row>
    <row r="129" spans="1:4" x14ac:dyDescent="0.3">
      <c r="A129" s="153">
        <v>891901158</v>
      </c>
      <c r="B129" s="153" t="s">
        <v>1613</v>
      </c>
      <c r="C129" s="152"/>
      <c r="D129" s="152"/>
    </row>
    <row r="130" spans="1:4" x14ac:dyDescent="0.3">
      <c r="A130" s="153">
        <v>892000148</v>
      </c>
      <c r="B130" s="153" t="s">
        <v>1614</v>
      </c>
      <c r="C130" s="152"/>
      <c r="D130" s="152"/>
    </row>
    <row r="131" spans="1:4" x14ac:dyDescent="0.3">
      <c r="A131" s="153">
        <v>892000265</v>
      </c>
      <c r="B131" s="153" t="s">
        <v>1615</v>
      </c>
      <c r="C131" s="152"/>
      <c r="D131" s="152"/>
    </row>
    <row r="132" spans="1:4" x14ac:dyDescent="0.3">
      <c r="A132" s="153">
        <v>892099324</v>
      </c>
      <c r="B132" s="153" t="s">
        <v>1616</v>
      </c>
      <c r="C132" s="152"/>
      <c r="D132" s="152"/>
    </row>
    <row r="133" spans="1:4" x14ac:dyDescent="0.3">
      <c r="A133" s="153">
        <v>892115003</v>
      </c>
      <c r="B133" s="153" t="s">
        <v>1617</v>
      </c>
      <c r="C133" s="152"/>
      <c r="D133" s="152"/>
    </row>
    <row r="134" spans="1:4" x14ac:dyDescent="0.3">
      <c r="A134" s="153">
        <v>892115004</v>
      </c>
      <c r="B134" s="153" t="s">
        <v>1618</v>
      </c>
      <c r="C134" s="152"/>
      <c r="D134" s="152"/>
    </row>
    <row r="135" spans="1:4" x14ac:dyDescent="0.3">
      <c r="A135" s="153">
        <v>892115007</v>
      </c>
      <c r="B135" s="153" t="s">
        <v>1619</v>
      </c>
      <c r="C135" s="152"/>
      <c r="D135" s="152"/>
    </row>
    <row r="136" spans="1:4" x14ac:dyDescent="0.3">
      <c r="A136" s="153">
        <v>892115015</v>
      </c>
      <c r="B136" s="153" t="s">
        <v>1620</v>
      </c>
      <c r="C136" s="152"/>
      <c r="D136" s="152"/>
    </row>
    <row r="137" spans="1:4" x14ac:dyDescent="0.3">
      <c r="A137" s="153">
        <v>892280021</v>
      </c>
      <c r="B137" s="153" t="s">
        <v>1621</v>
      </c>
      <c r="C137" s="152"/>
      <c r="D137" s="152"/>
    </row>
    <row r="138" spans="1:4" x14ac:dyDescent="0.3">
      <c r="A138" s="153">
        <v>892300211</v>
      </c>
      <c r="B138" s="153" t="s">
        <v>1622</v>
      </c>
      <c r="C138" s="152"/>
      <c r="D138" s="152"/>
    </row>
    <row r="139" spans="1:4" x14ac:dyDescent="0.3">
      <c r="A139" s="153">
        <v>892300548</v>
      </c>
      <c r="B139" s="153" t="s">
        <v>1623</v>
      </c>
      <c r="C139" s="152"/>
      <c r="D139" s="152"/>
    </row>
    <row r="140" spans="1:4" x14ac:dyDescent="0.3">
      <c r="A140" s="153">
        <v>892399994</v>
      </c>
      <c r="B140" s="153" t="s">
        <v>1624</v>
      </c>
      <c r="C140" s="152"/>
      <c r="D140" s="152"/>
    </row>
    <row r="141" spans="1:4" x14ac:dyDescent="0.3">
      <c r="A141" s="153">
        <v>892399999</v>
      </c>
      <c r="B141" s="153" t="s">
        <v>1622</v>
      </c>
      <c r="C141" s="152"/>
      <c r="D141" s="152"/>
    </row>
    <row r="142" spans="1:4" x14ac:dyDescent="0.3">
      <c r="A142" s="153">
        <v>892400038</v>
      </c>
      <c r="B142" s="153" t="s">
        <v>1625</v>
      </c>
      <c r="C142" s="152"/>
      <c r="D142" s="152"/>
    </row>
    <row r="143" spans="1:4" x14ac:dyDescent="0.3">
      <c r="A143" s="153">
        <v>899999072</v>
      </c>
      <c r="B143" s="153" t="s">
        <v>1626</v>
      </c>
      <c r="C143" s="152"/>
      <c r="D143" s="152"/>
    </row>
    <row r="144" spans="1:4" x14ac:dyDescent="0.3">
      <c r="A144" s="153">
        <v>899999082</v>
      </c>
      <c r="B144" s="153" t="s">
        <v>1627</v>
      </c>
      <c r="C144" s="152"/>
      <c r="D144" s="152"/>
    </row>
    <row r="145" spans="1:4" x14ac:dyDescent="0.3">
      <c r="A145" s="153">
        <v>899999114</v>
      </c>
      <c r="B145" s="153" t="s">
        <v>1628</v>
      </c>
      <c r="C145" s="152"/>
      <c r="D145" s="152"/>
    </row>
    <row r="146" spans="1:4" x14ac:dyDescent="0.3">
      <c r="A146" s="153">
        <v>899999114</v>
      </c>
      <c r="B146" s="153" t="s">
        <v>1642</v>
      </c>
      <c r="C146" s="152"/>
      <c r="D146" s="152"/>
    </row>
    <row r="147" spans="1:4" x14ac:dyDescent="0.3">
      <c r="A147" s="153">
        <v>899999115</v>
      </c>
      <c r="B147" s="153" t="s">
        <v>1631</v>
      </c>
      <c r="C147" s="152"/>
      <c r="D147" s="152"/>
    </row>
    <row r="148" spans="1:4" x14ac:dyDescent="0.3">
      <c r="A148" s="153">
        <v>899999230</v>
      </c>
      <c r="B148" s="153" t="s">
        <v>1632</v>
      </c>
      <c r="C148" s="152"/>
      <c r="D148" s="152"/>
    </row>
    <row r="149" spans="1:4" x14ac:dyDescent="0.3">
      <c r="A149" s="153">
        <v>899999318</v>
      </c>
      <c r="B149" s="153" t="s">
        <v>1633</v>
      </c>
      <c r="C149" s="152"/>
      <c r="D149" s="152"/>
    </row>
    <row r="150" spans="1:4" x14ac:dyDescent="0.3">
      <c r="A150" s="153">
        <v>899999450</v>
      </c>
      <c r="B150" s="153" t="s">
        <v>1634</v>
      </c>
      <c r="C150" s="152"/>
      <c r="D150" s="152"/>
    </row>
    <row r="151" spans="1:4" x14ac:dyDescent="0.3">
      <c r="A151" s="153">
        <v>899999814</v>
      </c>
      <c r="B151" s="153" t="s">
        <v>1635</v>
      </c>
      <c r="C151" s="152"/>
      <c r="D151" s="152"/>
    </row>
    <row r="599" spans="6:22" x14ac:dyDescent="0.3">
      <c r="F599" s="62"/>
      <c r="V599" s="31"/>
    </row>
    <row r="600" spans="6:22" x14ac:dyDescent="0.3">
      <c r="F600" s="62"/>
      <c r="V600" s="31"/>
    </row>
    <row r="601" spans="6:22" x14ac:dyDescent="0.3">
      <c r="F601" s="62"/>
      <c r="V601" s="31"/>
    </row>
    <row r="602" spans="6:22" x14ac:dyDescent="0.3">
      <c r="F602" s="62"/>
      <c r="V602" s="31"/>
    </row>
    <row r="603" spans="6:22" x14ac:dyDescent="0.3">
      <c r="F603" s="62"/>
      <c r="V603" s="31"/>
    </row>
    <row r="604" spans="6:22" x14ac:dyDescent="0.3">
      <c r="F604" s="62"/>
      <c r="V604" s="31"/>
    </row>
    <row r="605" spans="6:22" x14ac:dyDescent="0.3">
      <c r="F605" s="62"/>
      <c r="V605" s="31"/>
    </row>
    <row r="606" spans="6:22" x14ac:dyDescent="0.3">
      <c r="F606" s="62"/>
      <c r="V606" s="31"/>
    </row>
    <row r="607" spans="6:22" x14ac:dyDescent="0.3">
      <c r="F607" s="62"/>
      <c r="V607" s="31"/>
    </row>
    <row r="608" spans="6:22" x14ac:dyDescent="0.3">
      <c r="F608" s="62"/>
      <c r="V608" s="31"/>
    </row>
    <row r="609" spans="6:22" x14ac:dyDescent="0.3">
      <c r="F609" s="62"/>
      <c r="V609" s="31"/>
    </row>
    <row r="610" spans="6:22" x14ac:dyDescent="0.3">
      <c r="F610" s="62"/>
      <c r="V610" s="31"/>
    </row>
    <row r="611" spans="6:22" x14ac:dyDescent="0.3">
      <c r="F611" s="62"/>
      <c r="V611" s="31"/>
    </row>
    <row r="612" spans="6:22" x14ac:dyDescent="0.3">
      <c r="F612" s="62"/>
      <c r="V612" s="31"/>
    </row>
    <row r="613" spans="6:22" x14ac:dyDescent="0.3">
      <c r="F613" s="62"/>
      <c r="V613" s="31"/>
    </row>
    <row r="614" spans="6:22" x14ac:dyDescent="0.3">
      <c r="F614" s="62"/>
      <c r="V614" s="31"/>
    </row>
    <row r="615" spans="6:22" x14ac:dyDescent="0.3">
      <c r="F615" s="62"/>
      <c r="V615" s="31"/>
    </row>
    <row r="616" spans="6:22" x14ac:dyDescent="0.3">
      <c r="F616" s="62"/>
      <c r="V616" s="31"/>
    </row>
    <row r="617" spans="6:22" x14ac:dyDescent="0.3">
      <c r="F617" s="62"/>
      <c r="V617" s="31"/>
    </row>
    <row r="618" spans="6:22" x14ac:dyDescent="0.3">
      <c r="F618" s="62"/>
      <c r="V618" s="31"/>
    </row>
    <row r="619" spans="6:22" x14ac:dyDescent="0.3">
      <c r="F619" s="62"/>
      <c r="V619" s="31"/>
    </row>
    <row r="620" spans="6:22" x14ac:dyDescent="0.3">
      <c r="F620" s="62"/>
      <c r="V620" s="31"/>
    </row>
    <row r="621" spans="6:22" x14ac:dyDescent="0.3">
      <c r="F621" s="62"/>
      <c r="V621" s="31"/>
    </row>
    <row r="622" spans="6:22" x14ac:dyDescent="0.3">
      <c r="F622" s="62"/>
      <c r="V622" s="31"/>
    </row>
    <row r="623" spans="6:22" x14ac:dyDescent="0.3">
      <c r="F623" s="62"/>
      <c r="V623" s="31"/>
    </row>
    <row r="624" spans="6:22" x14ac:dyDescent="0.3">
      <c r="F624" s="62"/>
      <c r="V624" s="31"/>
    </row>
    <row r="625" spans="6:22" x14ac:dyDescent="0.3">
      <c r="F625" s="62"/>
      <c r="V625" s="31"/>
    </row>
    <row r="626" spans="6:22" x14ac:dyDescent="0.3">
      <c r="F626" s="62"/>
      <c r="V626" s="31"/>
    </row>
    <row r="627" spans="6:22" x14ac:dyDescent="0.3">
      <c r="F627" s="62"/>
      <c r="V627" s="31"/>
    </row>
    <row r="628" spans="6:22" x14ac:dyDescent="0.3">
      <c r="F628" s="62"/>
      <c r="V628" s="31"/>
    </row>
    <row r="629" spans="6:22" x14ac:dyDescent="0.3">
      <c r="F629" s="62"/>
      <c r="V629" s="31"/>
    </row>
    <row r="630" spans="6:22" x14ac:dyDescent="0.3">
      <c r="F630" s="62"/>
      <c r="V630" s="31"/>
    </row>
    <row r="631" spans="6:22" x14ac:dyDescent="0.3">
      <c r="F631" s="62"/>
      <c r="V631" s="31"/>
    </row>
    <row r="632" spans="6:22" x14ac:dyDescent="0.3">
      <c r="F632" s="62"/>
      <c r="V632" s="31"/>
    </row>
    <row r="633" spans="6:22" x14ac:dyDescent="0.3">
      <c r="F633" s="62"/>
      <c r="V633" s="31"/>
    </row>
    <row r="634" spans="6:22" x14ac:dyDescent="0.3">
      <c r="F634" s="62"/>
      <c r="V634" s="31"/>
    </row>
    <row r="635" spans="6:22" x14ac:dyDescent="0.3">
      <c r="F635" s="62"/>
      <c r="V635" s="31"/>
    </row>
    <row r="636" spans="6:22" x14ac:dyDescent="0.3">
      <c r="F636" s="62"/>
      <c r="V636" s="31"/>
    </row>
    <row r="637" spans="6:22" x14ac:dyDescent="0.3">
      <c r="F637" s="62"/>
      <c r="V637" s="31"/>
    </row>
    <row r="638" spans="6:22" x14ac:dyDescent="0.3">
      <c r="F638" s="62"/>
      <c r="V638" s="31"/>
    </row>
    <row r="639" spans="6:22" x14ac:dyDescent="0.3">
      <c r="F639" s="62"/>
      <c r="V639" s="31"/>
    </row>
    <row r="640" spans="6:22" x14ac:dyDescent="0.3">
      <c r="F640" s="62"/>
      <c r="V640" s="31"/>
    </row>
    <row r="641" spans="6:22" x14ac:dyDescent="0.3">
      <c r="F641" s="62"/>
      <c r="V641" s="31"/>
    </row>
    <row r="642" spans="6:22" x14ac:dyDescent="0.3">
      <c r="F642" s="62"/>
      <c r="V642" s="31"/>
    </row>
    <row r="643" spans="6:22" x14ac:dyDescent="0.3">
      <c r="F643" s="62"/>
      <c r="V643" s="31"/>
    </row>
    <row r="644" spans="6:22" x14ac:dyDescent="0.3">
      <c r="F644" s="62"/>
      <c r="V644" s="31"/>
    </row>
    <row r="645" spans="6:22" x14ac:dyDescent="0.3">
      <c r="F645" s="62"/>
      <c r="V645" s="31"/>
    </row>
    <row r="646" spans="6:22" x14ac:dyDescent="0.3">
      <c r="F646" s="62"/>
      <c r="V646" s="31"/>
    </row>
    <row r="647" spans="6:22" x14ac:dyDescent="0.3">
      <c r="F647" s="62"/>
      <c r="V647" s="31"/>
    </row>
    <row r="648" spans="6:22" x14ac:dyDescent="0.3">
      <c r="F648" s="62"/>
      <c r="V648" s="31"/>
    </row>
    <row r="649" spans="6:22" x14ac:dyDescent="0.3">
      <c r="F649" s="62"/>
      <c r="V649" s="31"/>
    </row>
    <row r="650" spans="6:22" x14ac:dyDescent="0.3">
      <c r="F650" s="62"/>
      <c r="V650" s="31"/>
    </row>
    <row r="651" spans="6:22" x14ac:dyDescent="0.3">
      <c r="F651" s="62"/>
      <c r="V651" s="31"/>
    </row>
    <row r="652" spans="6:22" x14ac:dyDescent="0.3">
      <c r="F652" s="62"/>
      <c r="V652" s="31"/>
    </row>
    <row r="653" spans="6:22" x14ac:dyDescent="0.3">
      <c r="F653" s="62"/>
      <c r="V653" s="31"/>
    </row>
    <row r="654" spans="6:22" x14ac:dyDescent="0.3">
      <c r="F654" s="62"/>
      <c r="V654" s="31"/>
    </row>
    <row r="655" spans="6:22" x14ac:dyDescent="0.3">
      <c r="F655" s="62"/>
      <c r="V655" s="31"/>
    </row>
    <row r="656" spans="6:22" x14ac:dyDescent="0.3">
      <c r="F656" s="62"/>
      <c r="V656" s="31"/>
    </row>
    <row r="657" spans="6:22" x14ac:dyDescent="0.3">
      <c r="F657" s="62"/>
      <c r="V657" s="31"/>
    </row>
    <row r="658" spans="6:22" x14ac:dyDescent="0.3">
      <c r="F658" s="62"/>
      <c r="V658" s="31"/>
    </row>
    <row r="659" spans="6:22" x14ac:dyDescent="0.3">
      <c r="F659" s="62"/>
      <c r="V659" s="31"/>
    </row>
    <row r="660" spans="6:22" x14ac:dyDescent="0.3">
      <c r="F660" s="62"/>
      <c r="V660" s="31"/>
    </row>
    <row r="661" spans="6:22" x14ac:dyDescent="0.3">
      <c r="F661" s="62"/>
      <c r="V661" s="31"/>
    </row>
    <row r="662" spans="6:22" x14ac:dyDescent="0.3">
      <c r="F662" s="62"/>
      <c r="V662" s="31"/>
    </row>
    <row r="663" spans="6:22" x14ac:dyDescent="0.3">
      <c r="F663" s="62"/>
      <c r="V663" s="31"/>
    </row>
    <row r="664" spans="6:22" x14ac:dyDescent="0.3">
      <c r="F664" s="62"/>
      <c r="V664" s="31"/>
    </row>
    <row r="665" spans="6:22" x14ac:dyDescent="0.3">
      <c r="F665" s="62"/>
      <c r="V665" s="31"/>
    </row>
    <row r="666" spans="6:22" x14ac:dyDescent="0.3">
      <c r="F666" s="62"/>
      <c r="V666" s="31"/>
    </row>
    <row r="667" spans="6:22" x14ac:dyDescent="0.3">
      <c r="F667" s="62"/>
      <c r="V667" s="31"/>
    </row>
    <row r="668" spans="6:22" x14ac:dyDescent="0.3">
      <c r="F668" s="62"/>
      <c r="V668" s="31"/>
    </row>
    <row r="669" spans="6:22" x14ac:dyDescent="0.3">
      <c r="F669" s="62"/>
      <c r="V669" s="31"/>
    </row>
    <row r="670" spans="6:22" x14ac:dyDescent="0.3">
      <c r="F670" s="62"/>
      <c r="V670" s="31"/>
    </row>
    <row r="671" spans="6:22" x14ac:dyDescent="0.3">
      <c r="F671" s="62"/>
      <c r="V671" s="31"/>
    </row>
    <row r="672" spans="6:22" x14ac:dyDescent="0.3">
      <c r="F672" s="62"/>
      <c r="V672" s="31"/>
    </row>
    <row r="673" spans="6:22" x14ac:dyDescent="0.3">
      <c r="F673" s="62"/>
      <c r="V673" s="31"/>
    </row>
    <row r="674" spans="6:22" x14ac:dyDescent="0.3">
      <c r="F674" s="62"/>
      <c r="V674" s="31"/>
    </row>
    <row r="675" spans="6:22" x14ac:dyDescent="0.3">
      <c r="F675" s="62"/>
      <c r="V675" s="31"/>
    </row>
    <row r="676" spans="6:22" x14ac:dyDescent="0.3">
      <c r="F676" s="62"/>
      <c r="V676" s="31"/>
    </row>
    <row r="677" spans="6:22" x14ac:dyDescent="0.3">
      <c r="F677" s="62"/>
      <c r="V677" s="31"/>
    </row>
    <row r="678" spans="6:22" x14ac:dyDescent="0.3">
      <c r="F678" s="62"/>
      <c r="V678" s="31"/>
    </row>
    <row r="679" spans="6:22" x14ac:dyDescent="0.3">
      <c r="F679" s="62"/>
      <c r="V679" s="31"/>
    </row>
    <row r="680" spans="6:22" x14ac:dyDescent="0.3">
      <c r="F680" s="62"/>
      <c r="V680" s="31"/>
    </row>
    <row r="681" spans="6:22" x14ac:dyDescent="0.3">
      <c r="F681" s="62"/>
      <c r="V681" s="31"/>
    </row>
    <row r="682" spans="6:22" x14ac:dyDescent="0.3">
      <c r="F682" s="62"/>
      <c r="V682" s="31"/>
    </row>
    <row r="683" spans="6:22" x14ac:dyDescent="0.3">
      <c r="F683" s="62"/>
      <c r="V683" s="31"/>
    </row>
    <row r="684" spans="6:22" x14ac:dyDescent="0.3">
      <c r="F684" s="62"/>
      <c r="V684" s="31"/>
    </row>
    <row r="685" spans="6:22" x14ac:dyDescent="0.3">
      <c r="F685" s="62"/>
      <c r="V685" s="31"/>
    </row>
    <row r="686" spans="6:22" x14ac:dyDescent="0.3">
      <c r="F686" s="62"/>
      <c r="V686" s="31"/>
    </row>
    <row r="687" spans="6:22" x14ac:dyDescent="0.3">
      <c r="F687" s="62"/>
      <c r="V687" s="31"/>
    </row>
    <row r="688" spans="6:22" x14ac:dyDescent="0.3">
      <c r="F688" s="62"/>
      <c r="V688" s="31"/>
    </row>
    <row r="689" spans="6:22" x14ac:dyDescent="0.3">
      <c r="F689" s="62"/>
      <c r="V689" s="31"/>
    </row>
    <row r="690" spans="6:22" x14ac:dyDescent="0.3">
      <c r="F690" s="62"/>
      <c r="V690" s="31"/>
    </row>
    <row r="691" spans="6:22" x14ac:dyDescent="0.3">
      <c r="F691" s="62"/>
      <c r="V691" s="31"/>
    </row>
    <row r="692" spans="6:22" x14ac:dyDescent="0.3">
      <c r="F692" s="62"/>
      <c r="V692" s="31"/>
    </row>
    <row r="693" spans="6:22" x14ac:dyDescent="0.3">
      <c r="F693" s="62"/>
      <c r="V693" s="31"/>
    </row>
    <row r="694" spans="6:22" x14ac:dyDescent="0.3">
      <c r="F694" s="62"/>
      <c r="V694" s="31"/>
    </row>
    <row r="695" spans="6:22" x14ac:dyDescent="0.3">
      <c r="F695" s="62"/>
      <c r="V695" s="31"/>
    </row>
    <row r="696" spans="6:22" x14ac:dyDescent="0.3">
      <c r="F696" s="62"/>
      <c r="V696" s="31"/>
    </row>
    <row r="697" spans="6:22" x14ac:dyDescent="0.3">
      <c r="F697" s="62"/>
      <c r="V697" s="31"/>
    </row>
    <row r="698" spans="6:22" x14ac:dyDescent="0.3">
      <c r="F698" s="62"/>
      <c r="V698" s="31"/>
    </row>
    <row r="699" spans="6:22" x14ac:dyDescent="0.3">
      <c r="F699" s="62"/>
      <c r="V699" s="31"/>
    </row>
    <row r="700" spans="6:22" x14ac:dyDescent="0.3">
      <c r="F700" s="62"/>
      <c r="V700" s="31"/>
    </row>
    <row r="701" spans="6:22" x14ac:dyDescent="0.3">
      <c r="F701" s="62"/>
      <c r="V701" s="31"/>
    </row>
    <row r="702" spans="6:22" x14ac:dyDescent="0.3">
      <c r="F702" s="62"/>
      <c r="V702" s="31"/>
    </row>
    <row r="703" spans="6:22" x14ac:dyDescent="0.3">
      <c r="F703" s="62"/>
      <c r="V703" s="31"/>
    </row>
    <row r="704" spans="6:22" x14ac:dyDescent="0.3">
      <c r="F704" s="62"/>
      <c r="V704" s="31"/>
    </row>
    <row r="705" spans="6:22" x14ac:dyDescent="0.3">
      <c r="F705" s="62"/>
      <c r="V705" s="31"/>
    </row>
    <row r="706" spans="6:22" x14ac:dyDescent="0.3">
      <c r="F706" s="62"/>
      <c r="V706" s="31"/>
    </row>
    <row r="707" spans="6:22" x14ac:dyDescent="0.3">
      <c r="F707" s="62"/>
      <c r="V707" s="31"/>
    </row>
    <row r="708" spans="6:22" x14ac:dyDescent="0.3">
      <c r="F708" s="62"/>
      <c r="V708" s="31"/>
    </row>
    <row r="709" spans="6:22" x14ac:dyDescent="0.3">
      <c r="F709" s="62"/>
      <c r="V709" s="31"/>
    </row>
    <row r="710" spans="6:22" x14ac:dyDescent="0.3">
      <c r="F710" s="62"/>
      <c r="V710" s="31"/>
    </row>
    <row r="711" spans="6:22" x14ac:dyDescent="0.3">
      <c r="F711" s="62"/>
      <c r="V711" s="31"/>
    </row>
    <row r="712" spans="6:22" x14ac:dyDescent="0.3">
      <c r="F712" s="62"/>
      <c r="V712" s="31"/>
    </row>
    <row r="713" spans="6:22" x14ac:dyDescent="0.3">
      <c r="F713" s="62"/>
      <c r="V713" s="31"/>
    </row>
    <row r="714" spans="6:22" x14ac:dyDescent="0.3">
      <c r="F714" s="62"/>
      <c r="V714" s="31"/>
    </row>
    <row r="715" spans="6:22" x14ac:dyDescent="0.3">
      <c r="F715" s="62"/>
      <c r="V715" s="31"/>
    </row>
    <row r="716" spans="6:22" x14ac:dyDescent="0.3">
      <c r="F716" s="62"/>
      <c r="V716" s="31"/>
    </row>
    <row r="717" spans="6:22" x14ac:dyDescent="0.3">
      <c r="F717" s="62"/>
      <c r="V717" s="31"/>
    </row>
    <row r="718" spans="6:22" x14ac:dyDescent="0.3">
      <c r="F718" s="62"/>
      <c r="V718" s="31"/>
    </row>
    <row r="719" spans="6:22" x14ac:dyDescent="0.3">
      <c r="F719" s="62"/>
      <c r="V719" s="31"/>
    </row>
    <row r="720" spans="6:22" x14ac:dyDescent="0.3">
      <c r="F720" s="62"/>
      <c r="V720" s="31"/>
    </row>
    <row r="721" spans="6:22" x14ac:dyDescent="0.3">
      <c r="F721" s="62"/>
      <c r="V721" s="31"/>
    </row>
    <row r="722" spans="6:22" x14ac:dyDescent="0.3">
      <c r="F722" s="62"/>
      <c r="V722" s="31"/>
    </row>
    <row r="723" spans="6:22" x14ac:dyDescent="0.3">
      <c r="F723" s="62"/>
      <c r="V723" s="31"/>
    </row>
    <row r="724" spans="6:22" x14ac:dyDescent="0.3">
      <c r="F724" s="62"/>
      <c r="V724" s="31"/>
    </row>
    <row r="725" spans="6:22" x14ac:dyDescent="0.3">
      <c r="F725" s="62"/>
      <c r="V725" s="31"/>
    </row>
    <row r="726" spans="6:22" x14ac:dyDescent="0.3">
      <c r="F726" s="62"/>
      <c r="V726" s="31"/>
    </row>
    <row r="727" spans="6:22" x14ac:dyDescent="0.3">
      <c r="F727" s="62"/>
      <c r="V727" s="31"/>
    </row>
    <row r="728" spans="6:22" x14ac:dyDescent="0.3">
      <c r="F728" s="62"/>
      <c r="V728" s="31"/>
    </row>
    <row r="729" spans="6:22" x14ac:dyDescent="0.3">
      <c r="F729" s="62"/>
      <c r="V729" s="31"/>
    </row>
    <row r="730" spans="6:22" x14ac:dyDescent="0.3">
      <c r="F730" s="62"/>
      <c r="V730" s="31"/>
    </row>
    <row r="731" spans="6:22" x14ac:dyDescent="0.3">
      <c r="F731" s="62"/>
      <c r="V731" s="31"/>
    </row>
    <row r="732" spans="6:22" x14ac:dyDescent="0.3">
      <c r="F732" s="62"/>
      <c r="V732" s="31"/>
    </row>
    <row r="733" spans="6:22" x14ac:dyDescent="0.3">
      <c r="F733" s="62"/>
      <c r="V733" s="31"/>
    </row>
    <row r="734" spans="6:22" x14ac:dyDescent="0.3">
      <c r="F734" s="62"/>
      <c r="V734" s="31"/>
    </row>
    <row r="735" spans="6:22" x14ac:dyDescent="0.3">
      <c r="F735" s="62"/>
      <c r="V735" s="31"/>
    </row>
    <row r="736" spans="6:22" x14ac:dyDescent="0.3">
      <c r="F736" s="62"/>
      <c r="V736" s="31"/>
    </row>
    <row r="737" spans="6:22" x14ac:dyDescent="0.3">
      <c r="F737" s="62"/>
      <c r="V737" s="31"/>
    </row>
    <row r="738" spans="6:22" x14ac:dyDescent="0.3">
      <c r="F738" s="62"/>
      <c r="V738" s="31"/>
    </row>
    <row r="739" spans="6:22" x14ac:dyDescent="0.3">
      <c r="F739" s="62"/>
      <c r="V739" s="31"/>
    </row>
    <row r="740" spans="6:22" x14ac:dyDescent="0.3">
      <c r="F740" s="62"/>
      <c r="V740" s="31"/>
    </row>
    <row r="741" spans="6:22" x14ac:dyDescent="0.3">
      <c r="F741" s="62"/>
      <c r="V741" s="31"/>
    </row>
    <row r="742" spans="6:22" x14ac:dyDescent="0.3">
      <c r="F742" s="62"/>
      <c r="V742" s="31"/>
    </row>
    <row r="743" spans="6:22" x14ac:dyDescent="0.3">
      <c r="F743" s="62"/>
      <c r="V743" s="31"/>
    </row>
    <row r="744" spans="6:22" x14ac:dyDescent="0.3">
      <c r="F744" s="62"/>
      <c r="V744" s="31"/>
    </row>
    <row r="745" spans="6:22" x14ac:dyDescent="0.3">
      <c r="F745" s="62"/>
      <c r="V745" s="31"/>
    </row>
    <row r="746" spans="6:22" x14ac:dyDescent="0.3">
      <c r="F746" s="62"/>
      <c r="V746" s="31"/>
    </row>
    <row r="747" spans="6:22" x14ac:dyDescent="0.3">
      <c r="F747" s="62"/>
      <c r="V747" s="31"/>
    </row>
    <row r="748" spans="6:22" x14ac:dyDescent="0.3">
      <c r="F748" s="62"/>
      <c r="V748" s="31"/>
    </row>
    <row r="749" spans="6:22" x14ac:dyDescent="0.3">
      <c r="F749" s="62"/>
      <c r="V749" s="31"/>
    </row>
    <row r="750" spans="6:22" x14ac:dyDescent="0.3">
      <c r="F750" s="62"/>
      <c r="V750" s="31"/>
    </row>
    <row r="751" spans="6:22" x14ac:dyDescent="0.3">
      <c r="F751" s="62"/>
      <c r="V751" s="31"/>
    </row>
    <row r="752" spans="6:22" x14ac:dyDescent="0.3">
      <c r="F752" s="62"/>
      <c r="V752" s="31"/>
    </row>
    <row r="753" spans="6:22" x14ac:dyDescent="0.3">
      <c r="F753" s="62"/>
      <c r="V753" s="31"/>
    </row>
    <row r="754" spans="6:22" x14ac:dyDescent="0.3">
      <c r="F754" s="62"/>
      <c r="V754" s="31"/>
    </row>
    <row r="755" spans="6:22" x14ac:dyDescent="0.3">
      <c r="F755" s="62"/>
      <c r="V755" s="31"/>
    </row>
    <row r="756" spans="6:22" x14ac:dyDescent="0.3">
      <c r="F756" s="62"/>
      <c r="V756" s="31"/>
    </row>
    <row r="757" spans="6:22" x14ac:dyDescent="0.3">
      <c r="F757" s="62"/>
      <c r="V757" s="31"/>
    </row>
    <row r="758" spans="6:22" x14ac:dyDescent="0.3">
      <c r="F758" s="62"/>
      <c r="V758" s="31"/>
    </row>
    <row r="759" spans="6:22" x14ac:dyDescent="0.3">
      <c r="F759" s="62"/>
      <c r="V759" s="31"/>
    </row>
    <row r="760" spans="6:22" x14ac:dyDescent="0.3">
      <c r="F760" s="62"/>
      <c r="V760" s="31"/>
    </row>
    <row r="761" spans="6:22" x14ac:dyDescent="0.3">
      <c r="F761" s="62"/>
      <c r="V761" s="31"/>
    </row>
    <row r="762" spans="6:22" x14ac:dyDescent="0.3">
      <c r="F762" s="62"/>
      <c r="V762" s="31"/>
    </row>
    <row r="763" spans="6:22" x14ac:dyDescent="0.3">
      <c r="F763" s="62"/>
      <c r="V763" s="31"/>
    </row>
    <row r="764" spans="6:22" x14ac:dyDescent="0.3">
      <c r="F764" s="62"/>
      <c r="V764" s="31"/>
    </row>
    <row r="765" spans="6:22" x14ac:dyDescent="0.3">
      <c r="F765" s="62"/>
      <c r="V765" s="31"/>
    </row>
    <row r="766" spans="6:22" x14ac:dyDescent="0.3">
      <c r="F766" s="62"/>
      <c r="V766" s="31"/>
    </row>
    <row r="767" spans="6:22" x14ac:dyDescent="0.3">
      <c r="F767" s="62"/>
      <c r="V767" s="31"/>
    </row>
    <row r="768" spans="6:22" x14ac:dyDescent="0.3">
      <c r="F768" s="62"/>
      <c r="V768" s="31"/>
    </row>
    <row r="769" spans="6:22" x14ac:dyDescent="0.3">
      <c r="F769" s="62"/>
      <c r="V769" s="31"/>
    </row>
    <row r="770" spans="6:22" x14ac:dyDescent="0.3">
      <c r="F770" s="62"/>
      <c r="V770" s="31"/>
    </row>
    <row r="771" spans="6:22" x14ac:dyDescent="0.3">
      <c r="F771" s="62"/>
      <c r="V771" s="31"/>
    </row>
    <row r="772" spans="6:22" x14ac:dyDescent="0.3">
      <c r="F772" s="62"/>
      <c r="V772" s="31"/>
    </row>
    <row r="773" spans="6:22" x14ac:dyDescent="0.3">
      <c r="F773" s="62"/>
      <c r="V773" s="31"/>
    </row>
    <row r="774" spans="6:22" x14ac:dyDescent="0.3">
      <c r="F774" s="62"/>
      <c r="V774" s="31"/>
    </row>
    <row r="775" spans="6:22" x14ac:dyDescent="0.3">
      <c r="F775" s="62"/>
      <c r="V775" s="31"/>
    </row>
    <row r="776" spans="6:22" x14ac:dyDescent="0.3">
      <c r="F776" s="62"/>
      <c r="V776" s="31"/>
    </row>
    <row r="777" spans="6:22" x14ac:dyDescent="0.3">
      <c r="F777" s="62"/>
      <c r="V777" s="31"/>
    </row>
    <row r="778" spans="6:22" x14ac:dyDescent="0.3">
      <c r="F778" s="62"/>
      <c r="V778" s="31"/>
    </row>
    <row r="779" spans="6:22" x14ac:dyDescent="0.3">
      <c r="F779" s="62"/>
      <c r="V779" s="31"/>
    </row>
    <row r="780" spans="6:22" x14ac:dyDescent="0.3">
      <c r="F780" s="62"/>
      <c r="V780" s="31"/>
    </row>
    <row r="781" spans="6:22" x14ac:dyDescent="0.3">
      <c r="F781" s="62"/>
      <c r="V781" s="31"/>
    </row>
    <row r="782" spans="6:22" x14ac:dyDescent="0.3">
      <c r="F782" s="62"/>
      <c r="V782" s="31"/>
    </row>
    <row r="783" spans="6:22" x14ac:dyDescent="0.3">
      <c r="F783" s="62"/>
      <c r="V783" s="31"/>
    </row>
    <row r="784" spans="6:22" x14ac:dyDescent="0.3">
      <c r="F784" s="62"/>
      <c r="V784" s="31"/>
    </row>
    <row r="785" spans="6:22" x14ac:dyDescent="0.3">
      <c r="F785" s="62"/>
      <c r="V785" s="31"/>
    </row>
    <row r="786" spans="6:22" x14ac:dyDescent="0.3">
      <c r="F786" s="62"/>
      <c r="V786" s="31"/>
    </row>
    <row r="787" spans="6:22" x14ac:dyDescent="0.3">
      <c r="F787" s="62"/>
      <c r="V787" s="31"/>
    </row>
    <row r="788" spans="6:22" x14ac:dyDescent="0.3">
      <c r="F788" s="62"/>
      <c r="V788" s="31"/>
    </row>
    <row r="789" spans="6:22" x14ac:dyDescent="0.3">
      <c r="F789" s="62"/>
      <c r="V789" s="31"/>
    </row>
    <row r="790" spans="6:22" x14ac:dyDescent="0.3">
      <c r="F790" s="62"/>
      <c r="V790" s="31"/>
    </row>
    <row r="791" spans="6:22" x14ac:dyDescent="0.3">
      <c r="F791" s="62"/>
      <c r="V791" s="31"/>
    </row>
    <row r="792" spans="6:22" x14ac:dyDescent="0.3">
      <c r="F792" s="62"/>
      <c r="V792" s="31"/>
    </row>
    <row r="793" spans="6:22" x14ac:dyDescent="0.3">
      <c r="F793" s="62"/>
      <c r="V793" s="31"/>
    </row>
    <row r="794" spans="6:22" x14ac:dyDescent="0.3">
      <c r="F794" s="62"/>
      <c r="V794" s="31"/>
    </row>
    <row r="795" spans="6:22" x14ac:dyDescent="0.3">
      <c r="F795" s="62"/>
      <c r="V795" s="31"/>
    </row>
    <row r="796" spans="6:22" x14ac:dyDescent="0.3">
      <c r="F796" s="62"/>
      <c r="V796" s="31"/>
    </row>
    <row r="797" spans="6:22" x14ac:dyDescent="0.3">
      <c r="F797" s="62"/>
      <c r="V797" s="31"/>
    </row>
    <row r="798" spans="6:22" x14ac:dyDescent="0.3">
      <c r="F798" s="62"/>
      <c r="V798" s="31"/>
    </row>
    <row r="799" spans="6:22" x14ac:dyDescent="0.3">
      <c r="F799" s="62"/>
      <c r="V799" s="31"/>
    </row>
    <row r="800" spans="6:22" x14ac:dyDescent="0.3">
      <c r="F800" s="62"/>
      <c r="V800" s="31"/>
    </row>
    <row r="801" spans="6:22" x14ac:dyDescent="0.3">
      <c r="F801" s="62"/>
      <c r="V801" s="31"/>
    </row>
    <row r="802" spans="6:22" x14ac:dyDescent="0.3">
      <c r="F802" s="62"/>
      <c r="V802" s="31"/>
    </row>
    <row r="803" spans="6:22" x14ac:dyDescent="0.3">
      <c r="F803" s="62"/>
      <c r="V803" s="31"/>
    </row>
    <row r="804" spans="6:22" x14ac:dyDescent="0.3">
      <c r="F804" s="62"/>
      <c r="V804" s="31"/>
    </row>
    <row r="805" spans="6:22" x14ac:dyDescent="0.3">
      <c r="F805" s="62"/>
      <c r="V805" s="31"/>
    </row>
    <row r="806" spans="6:22" x14ac:dyDescent="0.3">
      <c r="F806" s="62"/>
      <c r="V806" s="31"/>
    </row>
    <row r="807" spans="6:22" x14ac:dyDescent="0.3">
      <c r="F807" s="62"/>
      <c r="V807" s="31"/>
    </row>
    <row r="808" spans="6:22" x14ac:dyDescent="0.3">
      <c r="F808" s="62"/>
      <c r="V808" s="31"/>
    </row>
    <row r="809" spans="6:22" x14ac:dyDescent="0.3">
      <c r="F809" s="62"/>
      <c r="V809" s="31"/>
    </row>
    <row r="810" spans="6:22" x14ac:dyDescent="0.3">
      <c r="F810" s="62"/>
      <c r="V810" s="31"/>
    </row>
    <row r="811" spans="6:22" x14ac:dyDescent="0.3">
      <c r="F811" s="62"/>
      <c r="V811" s="31"/>
    </row>
    <row r="812" spans="6:22" x14ac:dyDescent="0.3">
      <c r="F812" s="62"/>
      <c r="V812" s="31"/>
    </row>
    <row r="813" spans="6:22" x14ac:dyDescent="0.3">
      <c r="F813" s="62"/>
      <c r="V813" s="31"/>
    </row>
    <row r="814" spans="6:22" x14ac:dyDescent="0.3">
      <c r="F814" s="62"/>
      <c r="V814" s="31"/>
    </row>
    <row r="815" spans="6:22" x14ac:dyDescent="0.3">
      <c r="F815" s="62"/>
      <c r="V815" s="31"/>
    </row>
    <row r="816" spans="6:22" x14ac:dyDescent="0.3">
      <c r="F816" s="62"/>
      <c r="V816" s="31"/>
    </row>
    <row r="817" spans="6:22" x14ac:dyDescent="0.3">
      <c r="F817" s="62"/>
      <c r="V817" s="31"/>
    </row>
    <row r="818" spans="6:22" x14ac:dyDescent="0.3">
      <c r="F818" s="62"/>
      <c r="V818" s="31"/>
    </row>
    <row r="819" spans="6:22" x14ac:dyDescent="0.3">
      <c r="F819" s="62"/>
      <c r="V819" s="31"/>
    </row>
    <row r="820" spans="6:22" x14ac:dyDescent="0.3">
      <c r="F820" s="62"/>
      <c r="V820" s="31"/>
    </row>
    <row r="821" spans="6:22" x14ac:dyDescent="0.3">
      <c r="F821" s="62"/>
      <c r="V821" s="31"/>
    </row>
    <row r="822" spans="6:22" x14ac:dyDescent="0.3">
      <c r="F822" s="62"/>
      <c r="V822" s="31"/>
    </row>
    <row r="823" spans="6:22" x14ac:dyDescent="0.3">
      <c r="F823" s="62"/>
      <c r="V823" s="31"/>
    </row>
    <row r="824" spans="6:22" x14ac:dyDescent="0.3">
      <c r="F824" s="62"/>
      <c r="V824" s="31"/>
    </row>
    <row r="825" spans="6:22" x14ac:dyDescent="0.3">
      <c r="F825" s="62"/>
      <c r="V825" s="31"/>
    </row>
    <row r="826" spans="6:22" x14ac:dyDescent="0.3">
      <c r="F826" s="62"/>
      <c r="V826" s="31"/>
    </row>
    <row r="827" spans="6:22" x14ac:dyDescent="0.3">
      <c r="F827" s="62"/>
      <c r="V827" s="31"/>
    </row>
    <row r="828" spans="6:22" x14ac:dyDescent="0.3">
      <c r="F828" s="62"/>
      <c r="V828" s="31"/>
    </row>
    <row r="829" spans="6:22" x14ac:dyDescent="0.3">
      <c r="F829" s="62"/>
      <c r="V829" s="31"/>
    </row>
    <row r="830" spans="6:22" x14ac:dyDescent="0.3">
      <c r="F830" s="62"/>
      <c r="V830" s="31"/>
    </row>
    <row r="831" spans="6:22" x14ac:dyDescent="0.3">
      <c r="F831" s="62"/>
      <c r="V831" s="31"/>
    </row>
    <row r="832" spans="6:22" x14ac:dyDescent="0.3">
      <c r="F832" s="62"/>
      <c r="V832" s="31"/>
    </row>
    <row r="833" spans="6:22" x14ac:dyDescent="0.3">
      <c r="F833" s="62"/>
      <c r="V833" s="31"/>
    </row>
    <row r="834" spans="6:22" x14ac:dyDescent="0.3">
      <c r="F834" s="62"/>
      <c r="V834" s="31"/>
    </row>
    <row r="835" spans="6:22" x14ac:dyDescent="0.3">
      <c r="F835" s="62"/>
      <c r="V835" s="31"/>
    </row>
    <row r="836" spans="6:22" x14ac:dyDescent="0.3">
      <c r="F836" s="62"/>
      <c r="V836" s="31"/>
    </row>
    <row r="837" spans="6:22" x14ac:dyDescent="0.3">
      <c r="F837" s="62"/>
      <c r="V837" s="31"/>
    </row>
    <row r="838" spans="6:22" x14ac:dyDescent="0.3">
      <c r="F838" s="62"/>
      <c r="V838" s="31"/>
    </row>
    <row r="839" spans="6:22" x14ac:dyDescent="0.3">
      <c r="F839" s="62"/>
      <c r="V839" s="31"/>
    </row>
    <row r="840" spans="6:22" x14ac:dyDescent="0.3">
      <c r="F840" s="62"/>
      <c r="V840" s="31"/>
    </row>
    <row r="841" spans="6:22" x14ac:dyDescent="0.3">
      <c r="F841" s="62"/>
      <c r="V841" s="31"/>
    </row>
    <row r="842" spans="6:22" x14ac:dyDescent="0.3">
      <c r="F842" s="62"/>
      <c r="V842" s="31"/>
    </row>
    <row r="843" spans="6:22" x14ac:dyDescent="0.3">
      <c r="F843" s="62"/>
      <c r="V843" s="31"/>
    </row>
    <row r="844" spans="6:22" x14ac:dyDescent="0.3">
      <c r="F844" s="62"/>
      <c r="V844" s="31"/>
    </row>
    <row r="845" spans="6:22" x14ac:dyDescent="0.3">
      <c r="F845" s="62"/>
      <c r="V845" s="31"/>
    </row>
    <row r="846" spans="6:22" x14ac:dyDescent="0.3">
      <c r="F846" s="62"/>
      <c r="V846" s="31"/>
    </row>
    <row r="847" spans="6:22" x14ac:dyDescent="0.3">
      <c r="F847" s="62"/>
      <c r="V847" s="31"/>
    </row>
    <row r="848" spans="6:22" x14ac:dyDescent="0.3">
      <c r="F848" s="62"/>
      <c r="V848" s="31"/>
    </row>
    <row r="849" spans="6:22" x14ac:dyDescent="0.3">
      <c r="F849" s="62"/>
      <c r="V849" s="31"/>
    </row>
    <row r="850" spans="6:22" x14ac:dyDescent="0.3">
      <c r="F850" s="62"/>
      <c r="V850" s="31"/>
    </row>
    <row r="851" spans="6:22" x14ac:dyDescent="0.3">
      <c r="F851" s="62"/>
      <c r="V851" s="31"/>
    </row>
    <row r="852" spans="6:22" x14ac:dyDescent="0.3">
      <c r="F852" s="62"/>
      <c r="V852" s="31"/>
    </row>
    <row r="853" spans="6:22" x14ac:dyDescent="0.3">
      <c r="F853" s="62"/>
      <c r="V853" s="31"/>
    </row>
    <row r="854" spans="6:22" x14ac:dyDescent="0.3">
      <c r="F854" s="62"/>
      <c r="V854" s="31"/>
    </row>
    <row r="855" spans="6:22" x14ac:dyDescent="0.3">
      <c r="F855" s="62"/>
      <c r="V855" s="31"/>
    </row>
    <row r="856" spans="6:22" x14ac:dyDescent="0.3">
      <c r="F856" s="62"/>
      <c r="V856" s="31"/>
    </row>
    <row r="857" spans="6:22" x14ac:dyDescent="0.3">
      <c r="F857" s="62"/>
      <c r="V857" s="31"/>
    </row>
    <row r="858" spans="6:22" x14ac:dyDescent="0.3">
      <c r="F858" s="62"/>
      <c r="V858" s="31"/>
    </row>
    <row r="859" spans="6:22" x14ac:dyDescent="0.3">
      <c r="F859" s="62"/>
      <c r="V859" s="31"/>
    </row>
    <row r="860" spans="6:22" x14ac:dyDescent="0.3">
      <c r="F860" s="62"/>
      <c r="V860" s="31"/>
    </row>
    <row r="861" spans="6:22" x14ac:dyDescent="0.3">
      <c r="F861" s="62"/>
      <c r="V861" s="31"/>
    </row>
    <row r="862" spans="6:22" x14ac:dyDescent="0.3">
      <c r="F862" s="62"/>
      <c r="V862" s="31"/>
    </row>
    <row r="863" spans="6:22" x14ac:dyDescent="0.3">
      <c r="F863" s="62"/>
      <c r="V863" s="31"/>
    </row>
    <row r="864" spans="6:22" x14ac:dyDescent="0.3">
      <c r="F864" s="62"/>
      <c r="V864" s="31"/>
    </row>
    <row r="865" spans="6:22" x14ac:dyDescent="0.3">
      <c r="F865" s="62"/>
      <c r="V865" s="31"/>
    </row>
    <row r="866" spans="6:22" x14ac:dyDescent="0.3">
      <c r="F866" s="62"/>
      <c r="V866" s="31"/>
    </row>
    <row r="867" spans="6:22" x14ac:dyDescent="0.3">
      <c r="F867" s="62"/>
      <c r="V867" s="31"/>
    </row>
    <row r="868" spans="6:22" x14ac:dyDescent="0.3">
      <c r="F868" s="62"/>
      <c r="V868" s="31"/>
    </row>
    <row r="869" spans="6:22" x14ac:dyDescent="0.3">
      <c r="F869" s="62"/>
      <c r="V869" s="31"/>
    </row>
    <row r="870" spans="6:22" x14ac:dyDescent="0.3">
      <c r="F870" s="62"/>
      <c r="V870" s="31"/>
    </row>
    <row r="871" spans="6:22" x14ac:dyDescent="0.3">
      <c r="F871" s="62"/>
      <c r="V871" s="31"/>
    </row>
    <row r="872" spans="6:22" x14ac:dyDescent="0.3">
      <c r="F872" s="62"/>
      <c r="V872" s="31"/>
    </row>
    <row r="873" spans="6:22" x14ac:dyDescent="0.3">
      <c r="F873" s="62"/>
      <c r="V873" s="31"/>
    </row>
    <row r="874" spans="6:22" x14ac:dyDescent="0.3">
      <c r="F874" s="62"/>
      <c r="V874" s="31"/>
    </row>
    <row r="875" spans="6:22" x14ac:dyDescent="0.3">
      <c r="F875" s="62"/>
      <c r="V875" s="31"/>
    </row>
    <row r="876" spans="6:22" x14ac:dyDescent="0.3">
      <c r="F876" s="62"/>
      <c r="V876" s="31"/>
    </row>
    <row r="877" spans="6:22" x14ac:dyDescent="0.3">
      <c r="F877" s="62"/>
      <c r="V877" s="31"/>
    </row>
    <row r="878" spans="6:22" x14ac:dyDescent="0.3">
      <c r="F878" s="62"/>
      <c r="V878" s="31"/>
    </row>
    <row r="879" spans="6:22" x14ac:dyDescent="0.3">
      <c r="F879" s="62"/>
      <c r="V879" s="31"/>
    </row>
    <row r="880" spans="6:22" x14ac:dyDescent="0.3">
      <c r="F880" s="62"/>
      <c r="V880" s="31"/>
    </row>
    <row r="881" spans="6:22" x14ac:dyDescent="0.3">
      <c r="F881" s="62"/>
      <c r="V881" s="31"/>
    </row>
    <row r="882" spans="6:22" x14ac:dyDescent="0.3">
      <c r="F882" s="62"/>
      <c r="V882" s="31"/>
    </row>
    <row r="883" spans="6:22" x14ac:dyDescent="0.3">
      <c r="F883" s="62"/>
      <c r="V883" s="31"/>
    </row>
    <row r="884" spans="6:22" x14ac:dyDescent="0.3">
      <c r="F884" s="62"/>
      <c r="V884" s="31"/>
    </row>
    <row r="885" spans="6:22" x14ac:dyDescent="0.3">
      <c r="F885" s="62"/>
      <c r="V885" s="31"/>
    </row>
    <row r="886" spans="6:22" x14ac:dyDescent="0.3">
      <c r="F886" s="62"/>
      <c r="V886" s="31"/>
    </row>
    <row r="887" spans="6:22" x14ac:dyDescent="0.3">
      <c r="F887" s="62"/>
      <c r="V887" s="31"/>
    </row>
    <row r="888" spans="6:22" x14ac:dyDescent="0.3">
      <c r="F888" s="62"/>
      <c r="V888" s="31"/>
    </row>
    <row r="889" spans="6:22" x14ac:dyDescent="0.3">
      <c r="F889" s="62"/>
      <c r="V889" s="31"/>
    </row>
    <row r="890" spans="6:22" x14ac:dyDescent="0.3">
      <c r="F890" s="62"/>
      <c r="V890" s="31"/>
    </row>
    <row r="891" spans="6:22" x14ac:dyDescent="0.3">
      <c r="F891" s="62"/>
      <c r="V891" s="31"/>
    </row>
    <row r="892" spans="6:22" x14ac:dyDescent="0.3">
      <c r="F892" s="62"/>
      <c r="V892" s="31"/>
    </row>
    <row r="893" spans="6:22" x14ac:dyDescent="0.3">
      <c r="F893" s="62"/>
      <c r="V893" s="31"/>
    </row>
    <row r="894" spans="6:22" x14ac:dyDescent="0.3">
      <c r="F894" s="62"/>
      <c r="V894" s="31"/>
    </row>
    <row r="895" spans="6:22" x14ac:dyDescent="0.3">
      <c r="F895" s="62"/>
      <c r="V895" s="31"/>
    </row>
    <row r="896" spans="6:22" x14ac:dyDescent="0.3">
      <c r="F896" s="62"/>
      <c r="V896" s="31"/>
    </row>
    <row r="897" spans="6:22" x14ac:dyDescent="0.3">
      <c r="F897" s="62"/>
      <c r="V897" s="31"/>
    </row>
    <row r="898" spans="6:22" x14ac:dyDescent="0.3">
      <c r="F898" s="62"/>
      <c r="V898" s="31"/>
    </row>
    <row r="899" spans="6:22" x14ac:dyDescent="0.3">
      <c r="F899" s="62"/>
      <c r="V899" s="31"/>
    </row>
    <row r="900" spans="6:22" x14ac:dyDescent="0.3">
      <c r="F900" s="62"/>
      <c r="V900" s="31"/>
    </row>
    <row r="901" spans="6:22" x14ac:dyDescent="0.3">
      <c r="F901" s="62"/>
      <c r="V901" s="31"/>
    </row>
    <row r="902" spans="6:22" x14ac:dyDescent="0.3">
      <c r="F902" s="62"/>
      <c r="V902" s="31"/>
    </row>
    <row r="903" spans="6:22" x14ac:dyDescent="0.3">
      <c r="F903" s="62"/>
      <c r="V903" s="31"/>
    </row>
    <row r="904" spans="6:22" x14ac:dyDescent="0.3">
      <c r="F904" s="62"/>
      <c r="V904" s="31"/>
    </row>
    <row r="905" spans="6:22" x14ac:dyDescent="0.3">
      <c r="F905" s="62"/>
      <c r="V905" s="31"/>
    </row>
    <row r="906" spans="6:22" x14ac:dyDescent="0.3">
      <c r="F906" s="62"/>
      <c r="V906" s="31"/>
    </row>
    <row r="907" spans="6:22" x14ac:dyDescent="0.3">
      <c r="F907" s="62"/>
      <c r="V907" s="31"/>
    </row>
    <row r="908" spans="6:22" x14ac:dyDescent="0.3">
      <c r="F908" s="62"/>
      <c r="V908" s="31"/>
    </row>
    <row r="909" spans="6:22" x14ac:dyDescent="0.3">
      <c r="F909" s="62"/>
      <c r="V909" s="31"/>
    </row>
    <row r="910" spans="6:22" x14ac:dyDescent="0.3">
      <c r="F910" s="62"/>
      <c r="V910" s="31"/>
    </row>
    <row r="911" spans="6:22" x14ac:dyDescent="0.3">
      <c r="F911" s="62"/>
      <c r="V911" s="31"/>
    </row>
    <row r="912" spans="6:22" x14ac:dyDescent="0.3">
      <c r="F912" s="62"/>
      <c r="V912" s="31"/>
    </row>
    <row r="913" spans="6:22" x14ac:dyDescent="0.3">
      <c r="F913" s="62"/>
      <c r="V913" s="31"/>
    </row>
    <row r="914" spans="6:22" x14ac:dyDescent="0.3">
      <c r="F914" s="62"/>
      <c r="V914" s="31"/>
    </row>
    <row r="915" spans="6:22" x14ac:dyDescent="0.3">
      <c r="F915" s="62"/>
      <c r="V915" s="31"/>
    </row>
    <row r="916" spans="6:22" x14ac:dyDescent="0.3">
      <c r="F916" s="62"/>
      <c r="V916" s="31"/>
    </row>
    <row r="917" spans="6:22" x14ac:dyDescent="0.3">
      <c r="F917" s="62"/>
      <c r="V917" s="31"/>
    </row>
    <row r="918" spans="6:22" x14ac:dyDescent="0.3">
      <c r="F918" s="62"/>
      <c r="V918" s="31"/>
    </row>
    <row r="919" spans="6:22" x14ac:dyDescent="0.3">
      <c r="F919" s="62"/>
      <c r="V919" s="31"/>
    </row>
    <row r="920" spans="6:22" x14ac:dyDescent="0.3">
      <c r="F920" s="62"/>
      <c r="V920" s="31"/>
    </row>
    <row r="921" spans="6:22" x14ac:dyDescent="0.3">
      <c r="F921" s="62"/>
      <c r="V921" s="31"/>
    </row>
    <row r="922" spans="6:22" x14ac:dyDescent="0.3">
      <c r="F922" s="62"/>
      <c r="V922" s="31"/>
    </row>
    <row r="923" spans="6:22" x14ac:dyDescent="0.3">
      <c r="F923" s="62"/>
      <c r="V923" s="31"/>
    </row>
    <row r="924" spans="6:22" x14ac:dyDescent="0.3">
      <c r="F924" s="62"/>
      <c r="V924" s="31"/>
    </row>
    <row r="925" spans="6:22" x14ac:dyDescent="0.3">
      <c r="F925" s="62"/>
      <c r="V925" s="31"/>
    </row>
    <row r="926" spans="6:22" x14ac:dyDescent="0.3">
      <c r="F926" s="62"/>
      <c r="V926" s="31"/>
    </row>
    <row r="927" spans="6:22" x14ac:dyDescent="0.3">
      <c r="F927" s="62"/>
      <c r="V927" s="31"/>
    </row>
    <row r="928" spans="6:22" x14ac:dyDescent="0.3">
      <c r="F928" s="62"/>
      <c r="V928" s="31"/>
    </row>
    <row r="929" spans="6:22" x14ac:dyDescent="0.3">
      <c r="F929" s="62"/>
      <c r="V929" s="31"/>
    </row>
    <row r="930" spans="6:22" x14ac:dyDescent="0.3">
      <c r="F930" s="62"/>
      <c r="V930" s="31"/>
    </row>
    <row r="931" spans="6:22" x14ac:dyDescent="0.3">
      <c r="F931" s="62"/>
      <c r="V931" s="31"/>
    </row>
    <row r="932" spans="6:22" x14ac:dyDescent="0.3">
      <c r="F932" s="62"/>
      <c r="V932" s="31"/>
    </row>
    <row r="933" spans="6:22" x14ac:dyDescent="0.3">
      <c r="F933" s="62"/>
      <c r="V933" s="31"/>
    </row>
    <row r="934" spans="6:22" x14ac:dyDescent="0.3">
      <c r="F934" s="62"/>
      <c r="V934" s="31"/>
    </row>
    <row r="935" spans="6:22" x14ac:dyDescent="0.3">
      <c r="F935" s="62"/>
      <c r="V935" s="31"/>
    </row>
    <row r="936" spans="6:22" x14ac:dyDescent="0.3">
      <c r="F936" s="62"/>
      <c r="V936" s="31"/>
    </row>
    <row r="937" spans="6:22" x14ac:dyDescent="0.3">
      <c r="F937" s="62"/>
      <c r="V937" s="31"/>
    </row>
    <row r="938" spans="6:22" x14ac:dyDescent="0.3">
      <c r="F938" s="62"/>
      <c r="V938" s="31"/>
    </row>
    <row r="939" spans="6:22" x14ac:dyDescent="0.3">
      <c r="F939" s="62"/>
      <c r="V939" s="31"/>
    </row>
    <row r="940" spans="6:22" x14ac:dyDescent="0.3">
      <c r="F940" s="62"/>
      <c r="V940" s="31"/>
    </row>
    <row r="941" spans="6:22" x14ac:dyDescent="0.3">
      <c r="F941" s="62"/>
      <c r="V941" s="31"/>
    </row>
    <row r="942" spans="6:22" x14ac:dyDescent="0.3">
      <c r="F942" s="62"/>
      <c r="V942" s="31"/>
    </row>
    <row r="943" spans="6:22" x14ac:dyDescent="0.3">
      <c r="F943" s="62"/>
      <c r="V943" s="31"/>
    </row>
    <row r="944" spans="6:22" x14ac:dyDescent="0.3">
      <c r="F944" s="62"/>
      <c r="V944" s="31"/>
    </row>
    <row r="945" spans="6:22" x14ac:dyDescent="0.3">
      <c r="F945" s="62"/>
      <c r="V945" s="31"/>
    </row>
    <row r="946" spans="6:22" x14ac:dyDescent="0.3">
      <c r="F946" s="62"/>
      <c r="V946" s="31"/>
    </row>
    <row r="947" spans="6:22" x14ac:dyDescent="0.3">
      <c r="F947" s="62"/>
      <c r="V947" s="31"/>
    </row>
    <row r="948" spans="6:22" x14ac:dyDescent="0.3">
      <c r="F948" s="62"/>
      <c r="V948" s="31"/>
    </row>
    <row r="949" spans="6:22" x14ac:dyDescent="0.3">
      <c r="F949" s="62"/>
      <c r="V949" s="31"/>
    </row>
    <row r="950" spans="6:22" x14ac:dyDescent="0.3">
      <c r="F950" s="62"/>
      <c r="V950" s="31"/>
    </row>
    <row r="951" spans="6:22" x14ac:dyDescent="0.3">
      <c r="F951" s="62"/>
      <c r="V951" s="31"/>
    </row>
    <row r="952" spans="6:22" x14ac:dyDescent="0.3">
      <c r="F952" s="62"/>
      <c r="V952" s="31"/>
    </row>
    <row r="953" spans="6:22" x14ac:dyDescent="0.3">
      <c r="F953" s="62"/>
      <c r="V953" s="31"/>
    </row>
    <row r="954" spans="6:22" x14ac:dyDescent="0.3">
      <c r="F954" s="62"/>
      <c r="V954" s="31"/>
    </row>
    <row r="955" spans="6:22" x14ac:dyDescent="0.3">
      <c r="F955" s="62"/>
      <c r="V955" s="31"/>
    </row>
    <row r="956" spans="6:22" x14ac:dyDescent="0.3">
      <c r="F956" s="62"/>
      <c r="V956" s="31"/>
    </row>
    <row r="957" spans="6:22" x14ac:dyDescent="0.3">
      <c r="F957" s="62"/>
      <c r="V957" s="31"/>
    </row>
    <row r="958" spans="6:22" x14ac:dyDescent="0.3">
      <c r="F958" s="62"/>
      <c r="V958" s="31"/>
    </row>
    <row r="959" spans="6:22" x14ac:dyDescent="0.3">
      <c r="F959" s="62"/>
      <c r="V959" s="31"/>
    </row>
    <row r="960" spans="6:22" x14ac:dyDescent="0.3">
      <c r="F960" s="62"/>
      <c r="V960" s="31"/>
    </row>
    <row r="961" spans="6:22" x14ac:dyDescent="0.3">
      <c r="F961" s="62"/>
      <c r="V961" s="31"/>
    </row>
    <row r="962" spans="6:22" x14ac:dyDescent="0.3">
      <c r="F962" s="62"/>
      <c r="V962" s="31"/>
    </row>
    <row r="963" spans="6:22" x14ac:dyDescent="0.3">
      <c r="F963" s="62"/>
      <c r="V963" s="31"/>
    </row>
    <row r="964" spans="6:22" x14ac:dyDescent="0.3">
      <c r="F964" s="62"/>
      <c r="V964" s="31"/>
    </row>
    <row r="965" spans="6:22" x14ac:dyDescent="0.3">
      <c r="F965" s="62"/>
      <c r="V965" s="31"/>
    </row>
    <row r="966" spans="6:22" x14ac:dyDescent="0.3">
      <c r="F966" s="62"/>
      <c r="V966" s="31"/>
    </row>
    <row r="967" spans="6:22" x14ac:dyDescent="0.3">
      <c r="F967" s="62"/>
      <c r="V967" s="31"/>
    </row>
    <row r="968" spans="6:22" x14ac:dyDescent="0.3">
      <c r="F968" s="62"/>
      <c r="V968" s="31"/>
    </row>
    <row r="969" spans="6:22" x14ac:dyDescent="0.3">
      <c r="F969" s="62"/>
      <c r="V969" s="31"/>
    </row>
    <row r="970" spans="6:22" x14ac:dyDescent="0.3">
      <c r="F970" s="62"/>
      <c r="V970" s="31"/>
    </row>
    <row r="971" spans="6:22" x14ac:dyDescent="0.3">
      <c r="F971" s="62"/>
      <c r="V971" s="31"/>
    </row>
    <row r="972" spans="6:22" x14ac:dyDescent="0.3">
      <c r="F972" s="62"/>
      <c r="V972" s="31"/>
    </row>
    <row r="973" spans="6:22" x14ac:dyDescent="0.3">
      <c r="F973" s="62"/>
      <c r="V973" s="31"/>
    </row>
    <row r="974" spans="6:22" x14ac:dyDescent="0.3">
      <c r="F974" s="62"/>
      <c r="V974" s="31"/>
    </row>
    <row r="975" spans="6:22" x14ac:dyDescent="0.3">
      <c r="F975" s="62"/>
      <c r="V975" s="31"/>
    </row>
    <row r="976" spans="6:22" x14ac:dyDescent="0.3">
      <c r="F976" s="62"/>
      <c r="V976" s="31"/>
    </row>
    <row r="977" spans="6:22" x14ac:dyDescent="0.3">
      <c r="F977" s="62"/>
      <c r="V977" s="31"/>
    </row>
    <row r="978" spans="6:22" x14ac:dyDescent="0.3">
      <c r="F978" s="62"/>
      <c r="V978" s="31"/>
    </row>
    <row r="979" spans="6:22" x14ac:dyDescent="0.3">
      <c r="F979" s="62"/>
      <c r="V979" s="31"/>
    </row>
    <row r="980" spans="6:22" x14ac:dyDescent="0.3">
      <c r="F980" s="62"/>
      <c r="V980" s="31"/>
    </row>
    <row r="981" spans="6:22" x14ac:dyDescent="0.3">
      <c r="F981" s="62"/>
      <c r="V981" s="31"/>
    </row>
    <row r="982" spans="6:22" x14ac:dyDescent="0.3">
      <c r="F982" s="62"/>
      <c r="V982" s="31"/>
    </row>
    <row r="983" spans="6:22" x14ac:dyDescent="0.3">
      <c r="F983" s="62"/>
      <c r="V983" s="31"/>
    </row>
    <row r="984" spans="6:22" x14ac:dyDescent="0.3">
      <c r="F984" s="62"/>
      <c r="V984" s="31"/>
    </row>
    <row r="985" spans="6:22" x14ac:dyDescent="0.3">
      <c r="F985" s="62"/>
      <c r="V985" s="31"/>
    </row>
    <row r="986" spans="6:22" x14ac:dyDescent="0.3">
      <c r="F986" s="62"/>
      <c r="V986" s="31"/>
    </row>
    <row r="987" spans="6:22" x14ac:dyDescent="0.3">
      <c r="F987" s="62"/>
      <c r="V987" s="31"/>
    </row>
    <row r="988" spans="6:22" x14ac:dyDescent="0.3">
      <c r="F988" s="62"/>
      <c r="V988" s="31"/>
    </row>
    <row r="989" spans="6:22" x14ac:dyDescent="0.3">
      <c r="F989" s="62"/>
      <c r="V989" s="31"/>
    </row>
    <row r="990" spans="6:22" x14ac:dyDescent="0.3">
      <c r="F990" s="62"/>
      <c r="V990" s="31"/>
    </row>
    <row r="991" spans="6:22" x14ac:dyDescent="0.3">
      <c r="F991" s="62"/>
      <c r="V991" s="31"/>
    </row>
    <row r="992" spans="6:22" x14ac:dyDescent="0.3">
      <c r="F992" s="62"/>
      <c r="V992" s="31"/>
    </row>
    <row r="993" spans="6:22" x14ac:dyDescent="0.3">
      <c r="F993" s="62"/>
      <c r="V993" s="31"/>
    </row>
    <row r="994" spans="6:22" x14ac:dyDescent="0.3">
      <c r="F994" s="62"/>
      <c r="V994" s="31"/>
    </row>
    <row r="995" spans="6:22" x14ac:dyDescent="0.3">
      <c r="F995" s="62"/>
      <c r="V995" s="31"/>
    </row>
    <row r="996" spans="6:22" x14ac:dyDescent="0.3">
      <c r="F996" s="62"/>
      <c r="V996" s="31"/>
    </row>
    <row r="997" spans="6:22" x14ac:dyDescent="0.3">
      <c r="F997" s="62"/>
      <c r="V997" s="31"/>
    </row>
    <row r="998" spans="6:22" x14ac:dyDescent="0.3">
      <c r="F998" s="62"/>
      <c r="V998" s="31"/>
    </row>
    <row r="999" spans="6:22" x14ac:dyDescent="0.3">
      <c r="F999" s="62"/>
      <c r="V999" s="31"/>
    </row>
    <row r="1000" spans="6:22" x14ac:dyDescent="0.3">
      <c r="F1000" s="62"/>
      <c r="V1000" s="31"/>
    </row>
    <row r="1001" spans="6:22" x14ac:dyDescent="0.3">
      <c r="F1001" s="62"/>
      <c r="V1001" s="31"/>
    </row>
    <row r="1002" spans="6:22" x14ac:dyDescent="0.3">
      <c r="F1002" s="62"/>
      <c r="V1002" s="31"/>
    </row>
    <row r="1003" spans="6:22" x14ac:dyDescent="0.3">
      <c r="F1003" s="62"/>
      <c r="V1003" s="31"/>
    </row>
    <row r="1004" spans="6:22" x14ac:dyDescent="0.3">
      <c r="F1004" s="62"/>
      <c r="V1004" s="31"/>
    </row>
    <row r="1005" spans="6:22" x14ac:dyDescent="0.3">
      <c r="F1005" s="62"/>
      <c r="V1005" s="31"/>
    </row>
    <row r="1006" spans="6:22" x14ac:dyDescent="0.3">
      <c r="F1006" s="62"/>
      <c r="V1006" s="31"/>
    </row>
    <row r="1007" spans="6:22" x14ac:dyDescent="0.3">
      <c r="F1007" s="62"/>
      <c r="V1007" s="31"/>
    </row>
    <row r="1008" spans="6:22" x14ac:dyDescent="0.3">
      <c r="F1008" s="62"/>
      <c r="V1008" s="31"/>
    </row>
    <row r="1009" spans="6:22" x14ac:dyDescent="0.3">
      <c r="F1009" s="62"/>
      <c r="V1009" s="31"/>
    </row>
    <row r="1010" spans="6:22" x14ac:dyDescent="0.3">
      <c r="F1010" s="62"/>
      <c r="V1010" s="31"/>
    </row>
    <row r="1011" spans="6:22" x14ac:dyDescent="0.3">
      <c r="F1011" s="62"/>
      <c r="V1011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CB93-0BCE-44A4-8756-22D62B5EB6DF}">
  <sheetPr codeName="Hoja5931">
    <pageSetUpPr fitToPage="1"/>
  </sheetPr>
  <dimension ref="A1:W664"/>
  <sheetViews>
    <sheetView zoomScale="70" zoomScaleNormal="90" workbookViewId="0">
      <selection activeCell="B26" sqref="B26"/>
    </sheetView>
  </sheetViews>
  <sheetFormatPr baseColWidth="10" defaultRowHeight="14.4" x14ac:dyDescent="0.3"/>
  <cols>
    <col min="1" max="1" width="17.5546875" style="33" bestFit="1" customWidth="1"/>
    <col min="2" max="2" width="18.5546875" bestFit="1" customWidth="1"/>
    <col min="3" max="3" width="21.44140625" bestFit="1" customWidth="1"/>
    <col min="4" max="4" width="13.21875" style="28" bestFit="1" customWidth="1"/>
    <col min="6" max="6" width="16" style="28" bestFit="1" customWidth="1"/>
    <col min="7" max="7" width="14.21875" style="26" customWidth="1"/>
    <col min="8" max="8" width="14.6640625" style="28" customWidth="1"/>
    <col min="9" max="9" width="21.21875" bestFit="1" customWidth="1"/>
    <col min="10" max="10" width="14.77734375" style="28" customWidth="1"/>
    <col min="11" max="11" width="14.33203125" bestFit="1" customWidth="1"/>
    <col min="12" max="12" width="15.33203125" bestFit="1" customWidth="1"/>
    <col min="23" max="23" width="11.5546875" style="28"/>
  </cols>
  <sheetData>
    <row r="1" spans="1:23" ht="14.4" customHeight="1" x14ac:dyDescent="0.3">
      <c r="A1" s="183" t="s">
        <v>1876</v>
      </c>
      <c r="B1" s="183"/>
      <c r="C1" s="183"/>
      <c r="D1" s="183"/>
      <c r="E1" s="183"/>
      <c r="F1" s="184"/>
      <c r="G1" s="183"/>
      <c r="H1" s="183"/>
      <c r="I1" s="183"/>
      <c r="J1" s="183"/>
      <c r="K1" s="183"/>
      <c r="L1" s="183"/>
      <c r="M1" s="5"/>
    </row>
    <row r="2" spans="1:23" x14ac:dyDescent="0.3">
      <c r="A2" s="187" t="s">
        <v>1795</v>
      </c>
      <c r="B2" s="187"/>
      <c r="C2" s="187"/>
      <c r="D2" s="187"/>
      <c r="E2" s="187"/>
      <c r="F2" s="188"/>
      <c r="G2" s="187"/>
      <c r="H2" s="187"/>
      <c r="I2" s="187"/>
      <c r="J2" s="187"/>
      <c r="K2" s="187"/>
      <c r="L2" s="187"/>
      <c r="M2" s="2"/>
    </row>
    <row r="3" spans="1:23" x14ac:dyDescent="0.3">
      <c r="A3" s="32" t="s">
        <v>0</v>
      </c>
      <c r="B3" s="189"/>
      <c r="C3" s="189"/>
      <c r="D3" s="189"/>
      <c r="E3" s="189"/>
      <c r="F3" s="190"/>
      <c r="G3" s="189"/>
      <c r="H3" s="191"/>
      <c r="I3" s="7" t="s">
        <v>24</v>
      </c>
      <c r="J3" s="196"/>
      <c r="K3" s="196"/>
      <c r="L3" s="8" t="s">
        <v>25</v>
      </c>
      <c r="M3" s="3"/>
    </row>
    <row r="4" spans="1:23" x14ac:dyDescent="0.3">
      <c r="A4" s="32" t="s">
        <v>26</v>
      </c>
      <c r="B4" s="192"/>
      <c r="C4" s="193"/>
      <c r="D4" s="193"/>
      <c r="E4" s="193"/>
      <c r="F4" s="194"/>
      <c r="G4" s="193"/>
      <c r="H4" s="193"/>
      <c r="I4" s="7" t="s">
        <v>27</v>
      </c>
      <c r="J4" s="196"/>
      <c r="K4" s="196"/>
      <c r="L4" s="7" t="s">
        <v>28</v>
      </c>
      <c r="M4" s="3"/>
    </row>
    <row r="5" spans="1:23" x14ac:dyDescent="0.3">
      <c r="A5" s="32" t="s">
        <v>29</v>
      </c>
      <c r="B5" s="189"/>
      <c r="C5" s="189"/>
      <c r="D5" s="189"/>
      <c r="E5" s="195"/>
      <c r="F5" s="195"/>
      <c r="G5" s="189"/>
      <c r="H5" s="189"/>
      <c r="I5" s="7" t="s">
        <v>24</v>
      </c>
      <c r="J5" s="196"/>
      <c r="K5" s="196"/>
      <c r="L5" s="8"/>
      <c r="M5" s="3"/>
    </row>
    <row r="6" spans="1:23" x14ac:dyDescent="0.3">
      <c r="A6" s="32" t="s">
        <v>26</v>
      </c>
      <c r="B6" s="196"/>
      <c r="C6" s="197"/>
      <c r="D6" s="197"/>
      <c r="E6" s="198"/>
      <c r="F6" s="198"/>
      <c r="G6" s="197"/>
      <c r="H6" s="197"/>
      <c r="I6" s="7"/>
      <c r="J6" s="30"/>
      <c r="K6" s="6"/>
      <c r="L6" s="8"/>
      <c r="M6" s="3"/>
    </row>
    <row r="7" spans="1:23" x14ac:dyDescent="0.3">
      <c r="E7" s="33"/>
      <c r="M7" s="3"/>
    </row>
    <row r="8" spans="1:23" x14ac:dyDescent="0.3">
      <c r="A8" s="34" t="s">
        <v>30</v>
      </c>
      <c r="B8" s="42"/>
      <c r="C8" s="4" t="s">
        <v>8</v>
      </c>
      <c r="D8" s="42"/>
      <c r="E8" s="185" t="s">
        <v>31</v>
      </c>
      <c r="F8" s="186"/>
      <c r="G8" s="27" t="s">
        <v>32</v>
      </c>
      <c r="H8" s="29" t="s">
        <v>33</v>
      </c>
      <c r="I8" s="4" t="s">
        <v>34</v>
      </c>
      <c r="J8" s="29" t="s">
        <v>35</v>
      </c>
      <c r="K8" s="4" t="s">
        <v>36</v>
      </c>
      <c r="M8" s="3"/>
    </row>
    <row r="9" spans="1:23" x14ac:dyDescent="0.3">
      <c r="A9" s="213">
        <v>0</v>
      </c>
      <c r="B9" s="42"/>
      <c r="C9" s="214"/>
      <c r="D9" s="42"/>
      <c r="E9" s="218"/>
      <c r="F9" s="218"/>
      <c r="G9" s="215">
        <f>H16</f>
        <v>0</v>
      </c>
      <c r="H9" s="215">
        <v>1698991.0767716728</v>
      </c>
      <c r="I9" s="215">
        <f>H59</f>
        <v>0</v>
      </c>
      <c r="J9" s="216"/>
      <c r="K9" s="217"/>
      <c r="L9" s="37"/>
      <c r="M9" s="3"/>
    </row>
    <row r="10" spans="1:23" s="228" customFormat="1" x14ac:dyDescent="0.3">
      <c r="A10" s="219"/>
      <c r="B10" s="207"/>
      <c r="C10" s="220"/>
      <c r="D10" s="207"/>
      <c r="E10" s="221"/>
      <c r="F10" s="222"/>
      <c r="G10" s="223"/>
      <c r="H10" s="222"/>
      <c r="I10" s="224"/>
      <c r="J10" s="222"/>
      <c r="K10" s="225"/>
      <c r="L10" s="226"/>
      <c r="M10" s="227"/>
      <c r="W10" s="229"/>
    </row>
    <row r="11" spans="1:23" ht="36" customHeight="1" x14ac:dyDescent="0.3">
      <c r="A11" s="209" t="s">
        <v>1920</v>
      </c>
      <c r="B11" s="210" t="s">
        <v>38</v>
      </c>
      <c r="C11" s="210" t="s">
        <v>39</v>
      </c>
      <c r="D11" s="211" t="s">
        <v>1921</v>
      </c>
      <c r="E11" s="209" t="s">
        <v>1922</v>
      </c>
      <c r="F11" s="211" t="s">
        <v>40</v>
      </c>
      <c r="G11" s="210" t="s">
        <v>55</v>
      </c>
      <c r="H11" s="211" t="s">
        <v>56</v>
      </c>
      <c r="I11" s="210" t="s">
        <v>41</v>
      </c>
      <c r="J11" s="211" t="s">
        <v>42</v>
      </c>
      <c r="K11" s="212" t="s">
        <v>43</v>
      </c>
      <c r="L11" s="212" t="s">
        <v>44</v>
      </c>
      <c r="M11" s="3"/>
    </row>
    <row r="12" spans="1:23" ht="16.8" customHeight="1" x14ac:dyDescent="0.3">
      <c r="A12" s="200"/>
      <c r="B12" s="201"/>
      <c r="C12" s="201"/>
      <c r="D12" s="202"/>
      <c r="E12" s="200"/>
      <c r="F12" s="202"/>
      <c r="G12" s="203"/>
      <c r="H12" s="202"/>
      <c r="I12" s="201"/>
      <c r="J12" s="202"/>
      <c r="K12" s="204"/>
      <c r="L12" s="204"/>
      <c r="M12" s="3"/>
    </row>
    <row r="13" spans="1:23" ht="14.4" customHeight="1" x14ac:dyDescent="0.3">
      <c r="A13" s="251"/>
      <c r="B13" s="206"/>
      <c r="C13" s="206"/>
      <c r="D13" s="207"/>
      <c r="E13" s="251"/>
      <c r="F13" s="207"/>
      <c r="G13" s="208"/>
      <c r="H13" s="207"/>
      <c r="I13" s="251"/>
      <c r="J13" s="207"/>
      <c r="K13" s="207"/>
      <c r="L13" s="207"/>
      <c r="M13" s="3"/>
    </row>
    <row r="14" spans="1:23" ht="14.4" customHeight="1" x14ac:dyDescent="0.3">
      <c r="A14" s="252"/>
      <c r="B14" s="231"/>
      <c r="C14" s="231"/>
      <c r="D14" s="232"/>
      <c r="E14" s="252"/>
      <c r="F14" s="232"/>
      <c r="G14" s="233"/>
      <c r="H14" s="234"/>
      <c r="I14" s="251"/>
      <c r="J14" s="207"/>
      <c r="K14" s="232"/>
      <c r="L14" s="207"/>
    </row>
    <row r="15" spans="1:23" ht="14.4" customHeight="1" x14ac:dyDescent="0.3">
      <c r="A15" s="252"/>
      <c r="B15" s="231"/>
      <c r="C15" s="231"/>
      <c r="D15" s="232"/>
      <c r="E15" s="252"/>
      <c r="F15" s="232"/>
      <c r="G15" s="233"/>
      <c r="H15" s="234"/>
      <c r="I15" s="251"/>
      <c r="J15" s="207"/>
      <c r="K15" s="232"/>
      <c r="L15" s="207"/>
    </row>
    <row r="16" spans="1:23" ht="14.4" customHeight="1" x14ac:dyDescent="0.3">
      <c r="A16" s="252"/>
      <c r="B16" s="231"/>
      <c r="C16" s="231"/>
      <c r="D16" s="232"/>
      <c r="E16" s="252"/>
      <c r="F16" s="232"/>
      <c r="G16" s="233"/>
      <c r="H16" s="234"/>
      <c r="I16" s="251"/>
      <c r="J16" s="207"/>
      <c r="K16" s="232"/>
      <c r="L16" s="207"/>
    </row>
    <row r="17" spans="1:12" ht="14.4" customHeight="1" x14ac:dyDescent="0.3">
      <c r="A17" s="230"/>
      <c r="B17" s="231"/>
      <c r="C17" s="231"/>
      <c r="D17" s="232"/>
      <c r="E17" s="230"/>
      <c r="F17" s="232"/>
      <c r="G17" s="233"/>
      <c r="H17" s="234"/>
      <c r="I17" s="235"/>
      <c r="J17" s="236"/>
      <c r="K17" s="237"/>
      <c r="L17" s="236"/>
    </row>
    <row r="18" spans="1:12" ht="14.4" customHeight="1" x14ac:dyDescent="0.3">
      <c r="A18" s="230"/>
      <c r="B18" s="230"/>
      <c r="C18" s="230"/>
      <c r="D18" s="232"/>
      <c r="E18" s="230"/>
      <c r="F18" s="232"/>
      <c r="G18" s="232"/>
      <c r="H18" s="232"/>
      <c r="I18" s="235"/>
      <c r="J18" s="236"/>
      <c r="K18" s="237"/>
      <c r="L18" s="236"/>
    </row>
    <row r="19" spans="1:12" ht="14.4" customHeight="1" x14ac:dyDescent="0.3">
      <c r="A19" s="230"/>
      <c r="B19" s="230"/>
      <c r="C19" s="230"/>
      <c r="D19" s="232"/>
      <c r="E19" s="230"/>
      <c r="F19" s="232"/>
      <c r="G19" s="230"/>
      <c r="H19" s="232"/>
      <c r="I19" s="235"/>
      <c r="J19" s="236"/>
      <c r="K19" s="238"/>
      <c r="L19" s="236"/>
    </row>
    <row r="20" spans="1:12" ht="14.4" customHeight="1" x14ac:dyDescent="0.3">
      <c r="A20" s="230"/>
      <c r="B20" s="230"/>
      <c r="C20" s="230"/>
      <c r="D20" s="232"/>
      <c r="E20" s="230"/>
      <c r="F20" s="232"/>
      <c r="G20" s="232"/>
      <c r="H20" s="232"/>
      <c r="I20" s="235"/>
      <c r="J20" s="236"/>
      <c r="K20" s="238"/>
      <c r="L20" s="236"/>
    </row>
    <row r="21" spans="1:12" ht="14.4" customHeight="1" x14ac:dyDescent="0.3">
      <c r="A21" s="230"/>
      <c r="B21" s="232"/>
      <c r="C21" s="232"/>
      <c r="D21" s="232"/>
      <c r="E21" s="230"/>
      <c r="F21" s="232"/>
      <c r="G21" s="233"/>
      <c r="H21" s="232"/>
      <c r="I21" s="239"/>
      <c r="J21" s="236"/>
      <c r="K21" s="238"/>
      <c r="L21" s="236"/>
    </row>
    <row r="22" spans="1:12" ht="14.4" customHeight="1" x14ac:dyDescent="0.3">
      <c r="A22" s="230"/>
      <c r="B22" s="232"/>
      <c r="C22" s="232"/>
      <c r="D22" s="232"/>
      <c r="E22" s="240"/>
      <c r="F22" s="234"/>
      <c r="G22" s="241"/>
      <c r="H22" s="234"/>
      <c r="I22" s="242"/>
      <c r="J22" s="207"/>
      <c r="K22" s="234"/>
      <c r="L22" s="207"/>
    </row>
    <row r="23" spans="1:12" ht="14.4" customHeight="1" x14ac:dyDescent="0.3">
      <c r="A23" s="243"/>
      <c r="B23" s="207"/>
      <c r="C23" s="207"/>
      <c r="D23" s="232"/>
      <c r="E23" s="205"/>
      <c r="F23" s="207"/>
      <c r="G23" s="244"/>
      <c r="H23" s="207"/>
      <c r="I23" s="242"/>
      <c r="J23" s="207"/>
      <c r="K23" s="234"/>
      <c r="L23" s="207"/>
    </row>
    <row r="24" spans="1:12" ht="14.4" customHeight="1" x14ac:dyDescent="0.3">
      <c r="A24" s="243"/>
      <c r="B24" s="207"/>
      <c r="C24" s="207"/>
      <c r="D24" s="232"/>
      <c r="E24" s="205"/>
      <c r="F24" s="207"/>
      <c r="G24" s="208"/>
      <c r="H24" s="207"/>
      <c r="I24" s="242"/>
      <c r="J24" s="207"/>
      <c r="K24" s="234"/>
      <c r="L24" s="207"/>
    </row>
    <row r="25" spans="1:12" ht="14.4" customHeight="1" x14ac:dyDescent="0.3">
      <c r="A25" s="243"/>
      <c r="B25" s="207"/>
      <c r="C25" s="207"/>
      <c r="D25" s="232"/>
      <c r="E25" s="205"/>
      <c r="F25" s="207"/>
      <c r="G25" s="244"/>
      <c r="H25" s="245"/>
      <c r="I25" s="242"/>
      <c r="J25" s="207"/>
      <c r="K25" s="234"/>
      <c r="L25" s="207"/>
    </row>
    <row r="26" spans="1:12" ht="14.4" customHeight="1" x14ac:dyDescent="0.3">
      <c r="A26" s="246"/>
      <c r="B26" s="245"/>
      <c r="C26" s="245"/>
      <c r="D26" s="245"/>
      <c r="E26" s="247"/>
      <c r="F26" s="245"/>
      <c r="G26" s="244"/>
      <c r="H26" s="245"/>
      <c r="I26" s="245"/>
      <c r="J26" s="207"/>
      <c r="K26" s="234"/>
      <c r="L26" s="207"/>
    </row>
    <row r="27" spans="1:12" ht="14.4" customHeight="1" x14ac:dyDescent="0.3">
      <c r="A27" s="246"/>
      <c r="B27" s="245"/>
      <c r="C27" s="245"/>
      <c r="D27" s="245"/>
      <c r="E27" s="247"/>
      <c r="F27" s="245"/>
      <c r="G27" s="244"/>
      <c r="H27" s="245"/>
      <c r="I27" s="245"/>
      <c r="J27" s="207"/>
      <c r="K27" s="234"/>
      <c r="L27" s="207"/>
    </row>
    <row r="28" spans="1:12" x14ac:dyDescent="0.3">
      <c r="A28" s="246"/>
      <c r="B28" s="245"/>
      <c r="C28" s="245"/>
      <c r="D28" s="245"/>
      <c r="E28" s="246"/>
      <c r="F28" s="245"/>
      <c r="G28" s="244"/>
      <c r="H28" s="245"/>
      <c r="I28" s="245"/>
      <c r="J28" s="207"/>
      <c r="K28" s="234"/>
      <c r="L28" s="207"/>
    </row>
    <row r="29" spans="1:12" x14ac:dyDescent="0.3">
      <c r="A29" s="246"/>
      <c r="B29" s="245"/>
      <c r="C29" s="245"/>
      <c r="D29" s="245"/>
      <c r="E29" s="246"/>
      <c r="F29" s="245"/>
      <c r="G29" s="244"/>
      <c r="H29" s="245"/>
      <c r="I29" s="245"/>
      <c r="J29" s="207"/>
      <c r="K29" s="234"/>
      <c r="L29" s="207"/>
    </row>
    <row r="30" spans="1:12" x14ac:dyDescent="0.3">
      <c r="A30" s="243"/>
      <c r="B30" s="207"/>
      <c r="C30" s="207"/>
      <c r="D30" s="232"/>
      <c r="E30" s="205"/>
      <c r="F30" s="207"/>
      <c r="G30" s="244"/>
      <c r="H30" s="245"/>
      <c r="I30" s="205"/>
      <c r="J30" s="207"/>
      <c r="K30" s="234"/>
      <c r="L30" s="207"/>
    </row>
    <row r="31" spans="1:12" x14ac:dyDescent="0.3">
      <c r="A31" s="246"/>
      <c r="B31" s="245"/>
      <c r="C31" s="245"/>
      <c r="D31" s="245"/>
      <c r="E31" s="247"/>
      <c r="F31" s="245"/>
      <c r="G31" s="244"/>
      <c r="H31" s="245"/>
      <c r="I31" s="245"/>
      <c r="J31" s="207"/>
      <c r="K31" s="207"/>
      <c r="L31" s="207"/>
    </row>
    <row r="32" spans="1:12" ht="14.4" customHeight="1" x14ac:dyDescent="0.3">
      <c r="A32" s="246"/>
      <c r="B32" s="245"/>
      <c r="C32" s="245"/>
      <c r="D32" s="245"/>
      <c r="E32" s="247"/>
      <c r="F32" s="245"/>
      <c r="G32" s="244"/>
      <c r="H32" s="245"/>
      <c r="I32" s="248"/>
      <c r="J32" s="236"/>
      <c r="K32" s="236"/>
      <c r="L32" s="236"/>
    </row>
    <row r="33" spans="1:13" ht="14.4" customHeight="1" x14ac:dyDescent="0.3">
      <c r="A33" s="246"/>
      <c r="B33" s="245"/>
      <c r="C33" s="245"/>
      <c r="D33" s="245"/>
      <c r="E33" s="247"/>
      <c r="F33" s="245"/>
      <c r="G33" s="244"/>
      <c r="H33" s="245"/>
      <c r="I33" s="248"/>
      <c r="J33" s="236"/>
      <c r="K33" s="236"/>
      <c r="L33" s="236"/>
    </row>
    <row r="34" spans="1:13" ht="14.4" customHeight="1" x14ac:dyDescent="0.3">
      <c r="A34" s="243"/>
      <c r="B34" s="207"/>
      <c r="C34" s="207"/>
      <c r="D34" s="232"/>
      <c r="E34" s="219"/>
      <c r="F34" s="207"/>
      <c r="G34" s="208"/>
      <c r="H34" s="207"/>
      <c r="I34" s="205"/>
      <c r="J34" s="207"/>
      <c r="K34" s="207"/>
      <c r="L34" s="207"/>
    </row>
    <row r="35" spans="1:13" x14ac:dyDescent="0.3">
      <c r="A35" s="243"/>
      <c r="B35" s="207"/>
      <c r="C35" s="207"/>
      <c r="D35" s="232"/>
      <c r="E35" s="219"/>
      <c r="F35" s="207"/>
      <c r="G35" s="208"/>
      <c r="H35" s="207"/>
      <c r="I35" s="235"/>
      <c r="J35" s="236"/>
      <c r="K35" s="236"/>
      <c r="L35" s="236"/>
      <c r="M35" s="33"/>
    </row>
    <row r="36" spans="1:13" x14ac:dyDescent="0.3">
      <c r="A36" s="243"/>
      <c r="B36" s="249"/>
      <c r="C36" s="249"/>
      <c r="D36" s="232"/>
      <c r="E36" s="219"/>
      <c r="F36" s="207"/>
      <c r="G36" s="208"/>
      <c r="H36" s="249"/>
      <c r="I36" s="250"/>
      <c r="J36" s="207"/>
      <c r="K36" s="207"/>
      <c r="L36" s="207"/>
    </row>
    <row r="37" spans="1:13" x14ac:dyDescent="0.3">
      <c r="A37" s="243"/>
      <c r="B37" s="207"/>
      <c r="C37" s="207"/>
      <c r="D37" s="232"/>
      <c r="E37" s="219"/>
      <c r="F37" s="207"/>
      <c r="G37" s="244"/>
      <c r="H37" s="245"/>
      <c r="I37" s="207"/>
      <c r="J37" s="207"/>
      <c r="K37" s="207"/>
      <c r="L37" s="207"/>
    </row>
    <row r="38" spans="1:13" x14ac:dyDescent="0.3">
      <c r="A38" s="246"/>
      <c r="B38" s="245"/>
      <c r="C38" s="245"/>
      <c r="D38" s="245"/>
      <c r="E38" s="246"/>
      <c r="F38" s="245"/>
      <c r="G38" s="244"/>
      <c r="H38" s="245"/>
      <c r="I38" s="245"/>
      <c r="J38" s="207"/>
      <c r="K38" s="207"/>
      <c r="L38" s="207"/>
    </row>
    <row r="39" spans="1:13" x14ac:dyDescent="0.3">
      <c r="A39" s="246"/>
      <c r="B39" s="245"/>
      <c r="C39" s="245"/>
      <c r="D39" s="245"/>
      <c r="E39" s="246"/>
      <c r="F39" s="245"/>
      <c r="G39" s="244"/>
      <c r="H39" s="245"/>
      <c r="I39" s="245"/>
      <c r="J39" s="207"/>
      <c r="K39" s="207"/>
      <c r="L39" s="207"/>
    </row>
    <row r="40" spans="1:13" x14ac:dyDescent="0.3">
      <c r="A40" s="246"/>
      <c r="B40" s="245"/>
      <c r="C40" s="245"/>
      <c r="D40" s="245"/>
      <c r="E40" s="246"/>
      <c r="F40" s="245"/>
      <c r="G40" s="244"/>
      <c r="H40" s="245"/>
      <c r="I40" s="245"/>
      <c r="J40" s="207"/>
      <c r="K40" s="207"/>
      <c r="L40" s="207"/>
    </row>
    <row r="41" spans="1:13" x14ac:dyDescent="0.3">
      <c r="A41" s="246"/>
      <c r="B41" s="245"/>
      <c r="C41" s="245"/>
      <c r="D41" s="245"/>
      <c r="E41" s="246"/>
      <c r="F41" s="245"/>
      <c r="G41" s="244"/>
      <c r="H41" s="245"/>
      <c r="I41" s="245"/>
      <c r="J41" s="207"/>
      <c r="K41" s="207"/>
      <c r="L41" s="207"/>
    </row>
    <row r="42" spans="1:13" x14ac:dyDescent="0.3">
      <c r="A42" s="246"/>
      <c r="B42" s="245"/>
      <c r="C42" s="245"/>
      <c r="D42" s="245"/>
      <c r="E42" s="246"/>
      <c r="F42" s="245"/>
      <c r="G42" s="244"/>
      <c r="H42" s="245"/>
      <c r="I42" s="245"/>
      <c r="J42" s="207"/>
      <c r="K42" s="207"/>
      <c r="L42" s="207"/>
    </row>
    <row r="43" spans="1:13" x14ac:dyDescent="0.3">
      <c r="A43" s="246"/>
      <c r="B43" s="245"/>
      <c r="C43" s="245"/>
      <c r="D43" s="245"/>
      <c r="E43" s="246"/>
      <c r="F43" s="245"/>
      <c r="G43" s="244"/>
      <c r="H43" s="245"/>
      <c r="I43" s="245"/>
      <c r="J43" s="207"/>
      <c r="K43" s="207"/>
      <c r="L43" s="207"/>
    </row>
    <row r="44" spans="1:13" x14ac:dyDescent="0.3">
      <c r="A44" s="246"/>
      <c r="B44" s="245"/>
      <c r="C44" s="245"/>
      <c r="D44" s="245"/>
      <c r="E44" s="247"/>
      <c r="F44" s="245"/>
      <c r="G44" s="244"/>
      <c r="H44" s="245"/>
      <c r="I44" s="245"/>
      <c r="J44" s="207"/>
      <c r="K44" s="207"/>
      <c r="L44" s="207"/>
      <c r="M44" s="28"/>
    </row>
    <row r="45" spans="1:13" x14ac:dyDescent="0.3">
      <c r="A45" s="246"/>
      <c r="B45" s="245"/>
      <c r="C45" s="245"/>
      <c r="D45" s="245"/>
      <c r="E45" s="247"/>
      <c r="F45" s="245"/>
      <c r="G45" s="244"/>
      <c r="H45" s="245"/>
      <c r="I45" s="245"/>
      <c r="J45" s="207"/>
      <c r="K45" s="207"/>
      <c r="L45" s="207"/>
    </row>
    <row r="46" spans="1:13" x14ac:dyDescent="0.3">
      <c r="A46" s="243"/>
      <c r="B46" s="207"/>
      <c r="C46" s="46"/>
      <c r="D46" s="207"/>
      <c r="E46" s="219"/>
      <c r="F46" s="207"/>
      <c r="G46" s="208"/>
      <c r="H46" s="207"/>
      <c r="I46" s="207"/>
      <c r="J46" s="207"/>
      <c r="K46" s="207"/>
      <c r="L46" s="207"/>
    </row>
    <row r="47" spans="1:13" x14ac:dyDescent="0.3">
      <c r="A47" s="243"/>
      <c r="B47" s="207"/>
      <c r="C47" s="46"/>
      <c r="D47" s="207"/>
      <c r="E47" s="219"/>
      <c r="F47" s="207"/>
      <c r="G47" s="208"/>
      <c r="H47" s="207"/>
      <c r="I47" s="207"/>
      <c r="J47" s="207"/>
      <c r="K47" s="207"/>
      <c r="L47" s="207"/>
    </row>
    <row r="48" spans="1:13" x14ac:dyDescent="0.3">
      <c r="A48" s="243"/>
      <c r="B48" s="207"/>
      <c r="C48" s="46"/>
      <c r="D48" s="207"/>
      <c r="E48" s="219"/>
      <c r="F48" s="207"/>
      <c r="G48" s="244"/>
      <c r="H48" s="207"/>
      <c r="I48" s="207"/>
      <c r="J48" s="207"/>
      <c r="K48" s="207"/>
      <c r="L48" s="207"/>
    </row>
    <row r="49" spans="1:12" x14ac:dyDescent="0.3">
      <c r="A49" s="243"/>
      <c r="B49" s="207"/>
      <c r="C49" s="46"/>
      <c r="D49" s="207"/>
      <c r="E49" s="219"/>
      <c r="F49" s="207"/>
      <c r="G49" s="208"/>
      <c r="H49" s="207"/>
      <c r="I49" s="207"/>
      <c r="J49" s="207"/>
      <c r="K49" s="207"/>
      <c r="L49" s="207"/>
    </row>
    <row r="50" spans="1:12" x14ac:dyDescent="0.3">
      <c r="A50" s="243"/>
      <c r="B50" s="207"/>
      <c r="C50" s="46"/>
      <c r="D50" s="207"/>
      <c r="E50" s="219"/>
      <c r="F50" s="207"/>
      <c r="G50" s="244"/>
      <c r="H50" s="245"/>
      <c r="I50" s="207"/>
      <c r="J50" s="207"/>
      <c r="K50" s="207"/>
      <c r="L50" s="207"/>
    </row>
    <row r="51" spans="1:12" x14ac:dyDescent="0.3">
      <c r="A51" s="246"/>
      <c r="B51" s="245"/>
      <c r="C51" s="245"/>
      <c r="D51" s="245"/>
      <c r="E51" s="246"/>
      <c r="F51" s="245"/>
      <c r="G51" s="244"/>
      <c r="H51" s="245"/>
      <c r="I51" s="245"/>
      <c r="J51" s="207"/>
      <c r="K51" s="207"/>
      <c r="L51" s="207"/>
    </row>
    <row r="52" spans="1:12" x14ac:dyDescent="0.3">
      <c r="A52" s="246"/>
      <c r="B52" s="245"/>
      <c r="C52" s="245"/>
      <c r="D52" s="245"/>
      <c r="E52" s="246"/>
      <c r="F52" s="245"/>
      <c r="G52" s="244"/>
      <c r="H52" s="245"/>
      <c r="I52" s="245"/>
      <c r="J52" s="207"/>
      <c r="K52" s="207"/>
      <c r="L52" s="207"/>
    </row>
    <row r="53" spans="1:12" x14ac:dyDescent="0.3">
      <c r="A53" s="246"/>
      <c r="B53" s="245"/>
      <c r="C53" s="245"/>
      <c r="D53" s="245"/>
      <c r="E53" s="246"/>
      <c r="F53" s="245"/>
      <c r="G53" s="244"/>
      <c r="H53" s="245"/>
      <c r="I53" s="245"/>
      <c r="J53" s="207"/>
      <c r="K53" s="207"/>
      <c r="L53" s="207"/>
    </row>
    <row r="54" spans="1:12" x14ac:dyDescent="0.3">
      <c r="A54" s="243"/>
      <c r="B54" s="207"/>
      <c r="C54" s="46"/>
      <c r="D54" s="207"/>
      <c r="E54" s="219"/>
      <c r="F54" s="207"/>
      <c r="G54" s="208"/>
      <c r="H54" s="207"/>
      <c r="I54" s="207"/>
      <c r="J54" s="207"/>
      <c r="K54" s="207"/>
      <c r="L54" s="207"/>
    </row>
    <row r="55" spans="1:12" x14ac:dyDescent="0.3">
      <c r="A55" s="243"/>
      <c r="B55" s="207"/>
      <c r="C55" s="46"/>
      <c r="D55" s="207"/>
      <c r="E55" s="219"/>
      <c r="F55" s="207"/>
      <c r="G55" s="208"/>
      <c r="H55" s="207"/>
      <c r="I55" s="207"/>
      <c r="J55" s="207"/>
      <c r="K55" s="207"/>
      <c r="L55" s="207"/>
    </row>
    <row r="56" spans="1:12" x14ac:dyDescent="0.3">
      <c r="A56" s="243"/>
      <c r="B56" s="207"/>
      <c r="C56" s="46"/>
      <c r="D56" s="207"/>
      <c r="E56" s="219"/>
      <c r="F56" s="207"/>
      <c r="G56" s="208"/>
      <c r="H56" s="207"/>
      <c r="I56" s="207"/>
      <c r="J56" s="207"/>
      <c r="K56" s="207"/>
      <c r="L56" s="207"/>
    </row>
    <row r="57" spans="1:12" x14ac:dyDescent="0.3">
      <c r="A57" s="243"/>
      <c r="B57" s="207"/>
      <c r="C57" s="46"/>
      <c r="D57" s="207"/>
      <c r="E57" s="219"/>
      <c r="F57" s="207"/>
      <c r="G57" s="244"/>
      <c r="H57" s="207"/>
      <c r="I57" s="207"/>
      <c r="J57" s="207"/>
      <c r="K57" s="207"/>
      <c r="L57" s="207"/>
    </row>
    <row r="58" spans="1:12" x14ac:dyDescent="0.3">
      <c r="A58" s="243"/>
      <c r="B58" s="207"/>
      <c r="C58" s="46"/>
      <c r="D58" s="207"/>
      <c r="E58" s="219"/>
      <c r="F58" s="207"/>
      <c r="G58" s="244"/>
      <c r="H58" s="207"/>
      <c r="I58" s="207"/>
      <c r="J58" s="207"/>
      <c r="K58" s="207"/>
      <c r="L58" s="207"/>
    </row>
    <row r="59" spans="1:12" x14ac:dyDescent="0.3">
      <c r="A59" s="243"/>
      <c r="B59" s="207"/>
      <c r="C59" s="46"/>
      <c r="D59" s="207"/>
      <c r="E59" s="219"/>
      <c r="F59" s="207"/>
      <c r="G59" s="244"/>
      <c r="H59" s="245"/>
      <c r="I59" s="207"/>
      <c r="J59" s="207"/>
      <c r="K59" s="207"/>
      <c r="L59" s="207"/>
    </row>
    <row r="60" spans="1:12" x14ac:dyDescent="0.3">
      <c r="A60" s="244"/>
      <c r="B60" s="244"/>
      <c r="C60" s="244"/>
      <c r="D60" s="245"/>
      <c r="E60" s="244"/>
      <c r="F60" s="245"/>
      <c r="G60" s="244"/>
      <c r="H60" s="245"/>
      <c r="I60" s="245"/>
      <c r="J60" s="207"/>
      <c r="K60" s="207"/>
      <c r="L60" s="207"/>
    </row>
    <row r="61" spans="1:12" x14ac:dyDescent="0.3">
      <c r="A61" s="246"/>
      <c r="B61" s="246"/>
      <c r="C61" s="246"/>
      <c r="D61" s="245"/>
      <c r="E61" s="246"/>
      <c r="F61" s="245"/>
      <c r="G61" s="246"/>
      <c r="H61" s="245"/>
      <c r="I61" s="245"/>
      <c r="J61" s="207"/>
      <c r="K61" s="207"/>
      <c r="L61" s="207"/>
    </row>
    <row r="62" spans="1:12" x14ac:dyDescent="0.3">
      <c r="A62" s="246"/>
      <c r="B62" s="246"/>
      <c r="C62" s="246"/>
      <c r="D62" s="245"/>
      <c r="E62" s="246"/>
      <c r="F62" s="245"/>
      <c r="G62" s="246"/>
      <c r="H62" s="245"/>
      <c r="I62" s="245"/>
      <c r="J62" s="207"/>
      <c r="K62" s="207"/>
      <c r="L62" s="207"/>
    </row>
    <row r="63" spans="1:12" x14ac:dyDescent="0.3">
      <c r="A63" s="50"/>
      <c r="B63" s="50"/>
      <c r="C63" s="50"/>
      <c r="D63" s="49"/>
      <c r="E63" s="50"/>
      <c r="F63" s="49"/>
      <c r="G63" s="50"/>
      <c r="H63" s="49"/>
      <c r="I63" s="49"/>
      <c r="J63" s="36"/>
      <c r="K63" s="36"/>
      <c r="L63" s="36"/>
    </row>
    <row r="64" spans="1:12" x14ac:dyDescent="0.3">
      <c r="A64" s="51"/>
      <c r="B64" s="36"/>
      <c r="C64" s="46"/>
      <c r="D64" s="36"/>
      <c r="E64" s="35"/>
      <c r="F64" s="36"/>
      <c r="G64" s="38"/>
      <c r="H64" s="36"/>
      <c r="I64" s="36"/>
      <c r="J64" s="36"/>
      <c r="K64" s="36"/>
      <c r="L64" s="36"/>
    </row>
    <row r="65" spans="1:12" x14ac:dyDescent="0.3">
      <c r="A65" s="51"/>
      <c r="B65" s="36"/>
      <c r="C65" s="46"/>
      <c r="D65" s="36"/>
      <c r="E65" s="35"/>
      <c r="F65" s="36"/>
      <c r="G65" s="38"/>
      <c r="H65" s="36"/>
      <c r="I65" s="36"/>
      <c r="J65" s="36"/>
      <c r="K65" s="36"/>
      <c r="L65" s="36"/>
    </row>
    <row r="66" spans="1:12" x14ac:dyDescent="0.3">
      <c r="A66" s="51"/>
      <c r="B66" s="36"/>
      <c r="C66" s="46"/>
      <c r="D66" s="36"/>
      <c r="E66" s="35"/>
      <c r="F66" s="36"/>
      <c r="G66" s="38"/>
      <c r="H66" s="36"/>
      <c r="I66" s="36"/>
      <c r="J66" s="36"/>
      <c r="K66" s="37"/>
      <c r="L66" s="37"/>
    </row>
    <row r="67" spans="1:12" x14ac:dyDescent="0.3">
      <c r="A67" s="51"/>
      <c r="B67" s="36"/>
      <c r="C67" s="46"/>
      <c r="D67" s="36"/>
      <c r="E67" s="35"/>
      <c r="F67" s="36"/>
      <c r="G67" s="38"/>
      <c r="H67" s="36"/>
      <c r="I67" s="36"/>
      <c r="J67" s="36"/>
      <c r="K67" s="37"/>
      <c r="L67" s="37"/>
    </row>
    <row r="68" spans="1:12" x14ac:dyDescent="0.3">
      <c r="A68" s="51"/>
      <c r="B68" s="36"/>
      <c r="C68" s="46"/>
      <c r="D68" s="36"/>
      <c r="E68" s="35"/>
      <c r="F68" s="36"/>
      <c r="G68" s="38"/>
      <c r="H68" s="36"/>
      <c r="I68" s="36"/>
      <c r="J68" s="36"/>
      <c r="K68" s="37"/>
      <c r="L68" s="37"/>
    </row>
    <row r="69" spans="1:12" x14ac:dyDescent="0.3">
      <c r="A69" s="51"/>
      <c r="B69" s="36"/>
      <c r="C69" s="46"/>
      <c r="D69" s="36"/>
      <c r="E69" s="35"/>
      <c r="F69" s="36"/>
      <c r="G69" s="47"/>
      <c r="H69" s="36"/>
      <c r="I69" s="36"/>
      <c r="J69" s="36"/>
      <c r="K69" s="37"/>
      <c r="L69" s="37"/>
    </row>
    <row r="70" spans="1:12" x14ac:dyDescent="0.3">
      <c r="A70" s="50"/>
      <c r="B70" s="50"/>
      <c r="C70" s="50"/>
      <c r="D70" s="49"/>
      <c r="E70" s="50"/>
      <c r="F70" s="49"/>
      <c r="G70" s="50"/>
      <c r="H70" s="49"/>
      <c r="I70" s="49"/>
      <c r="J70" s="36"/>
      <c r="K70" s="37"/>
      <c r="L70" s="37"/>
    </row>
    <row r="71" spans="1:12" x14ac:dyDescent="0.3">
      <c r="A71" s="50"/>
      <c r="B71" s="50"/>
      <c r="C71" s="50"/>
      <c r="D71" s="49"/>
      <c r="E71" s="50"/>
      <c r="F71" s="49"/>
      <c r="G71" s="50"/>
      <c r="H71" s="49"/>
      <c r="I71" s="49"/>
      <c r="J71" s="36"/>
      <c r="K71" s="37"/>
      <c r="L71" s="37"/>
    </row>
    <row r="72" spans="1:12" x14ac:dyDescent="0.3">
      <c r="A72" s="50"/>
      <c r="B72" s="50"/>
      <c r="C72" s="50"/>
      <c r="D72" s="49"/>
      <c r="E72" s="50"/>
      <c r="F72" s="49"/>
      <c r="G72" s="50"/>
      <c r="H72" s="49"/>
      <c r="I72" s="49"/>
      <c r="J72" s="36"/>
      <c r="K72" s="37"/>
      <c r="L72" s="37"/>
    </row>
    <row r="73" spans="1:12" x14ac:dyDescent="0.3">
      <c r="A73" s="50"/>
      <c r="B73" s="50"/>
      <c r="C73" s="50"/>
      <c r="D73" s="49"/>
      <c r="E73" s="50"/>
      <c r="F73" s="49"/>
      <c r="G73" s="50"/>
      <c r="H73" s="49"/>
      <c r="I73" s="49"/>
      <c r="J73" s="36"/>
      <c r="K73" s="37"/>
      <c r="L73" s="37"/>
    </row>
    <row r="74" spans="1:12" x14ac:dyDescent="0.3">
      <c r="A74" s="51"/>
      <c r="B74" s="36"/>
      <c r="C74" s="46"/>
      <c r="D74" s="36"/>
      <c r="E74" s="35"/>
      <c r="F74" s="36"/>
      <c r="G74" s="38"/>
      <c r="H74" s="36"/>
      <c r="I74" s="36"/>
      <c r="J74" s="36"/>
      <c r="K74" s="37"/>
      <c r="L74" s="37"/>
    </row>
    <row r="75" spans="1:12" x14ac:dyDescent="0.3">
      <c r="A75" s="51"/>
      <c r="B75" s="36"/>
      <c r="C75" s="46"/>
      <c r="D75" s="36"/>
      <c r="E75" s="35"/>
      <c r="F75" s="36"/>
      <c r="G75" s="38"/>
      <c r="H75" s="49"/>
      <c r="I75" s="36"/>
      <c r="J75" s="36"/>
      <c r="K75" s="37"/>
      <c r="L75" s="37"/>
    </row>
    <row r="76" spans="1:12" x14ac:dyDescent="0.3">
      <c r="A76" s="51"/>
      <c r="B76" s="36"/>
      <c r="C76" s="46"/>
      <c r="D76" s="36"/>
      <c r="E76" s="35"/>
      <c r="F76" s="36"/>
      <c r="G76" s="47"/>
      <c r="H76" s="49"/>
      <c r="I76" s="36"/>
      <c r="J76" s="36"/>
      <c r="K76" s="37"/>
      <c r="L76" s="37"/>
    </row>
    <row r="77" spans="1:12" x14ac:dyDescent="0.3">
      <c r="A77" s="50"/>
      <c r="B77" s="49"/>
      <c r="C77" s="49"/>
      <c r="D77" s="49"/>
      <c r="E77" s="50"/>
      <c r="F77" s="49"/>
      <c r="G77" s="47"/>
      <c r="H77" s="49"/>
      <c r="I77" s="49"/>
      <c r="J77" s="36"/>
      <c r="K77" s="37"/>
      <c r="L77" s="37"/>
    </row>
    <row r="78" spans="1:12" x14ac:dyDescent="0.3">
      <c r="A78" s="50"/>
      <c r="B78" s="49"/>
      <c r="C78" s="49"/>
      <c r="D78" s="49"/>
      <c r="E78" s="50"/>
      <c r="F78" s="49"/>
      <c r="G78" s="47"/>
      <c r="H78" s="49"/>
      <c r="I78" s="49"/>
      <c r="J78" s="36"/>
      <c r="K78" s="37"/>
      <c r="L78" s="37"/>
    </row>
    <row r="79" spans="1:12" x14ac:dyDescent="0.3">
      <c r="A79" s="50"/>
      <c r="B79" s="49"/>
      <c r="C79" s="49"/>
      <c r="D79" s="49"/>
      <c r="E79" s="50"/>
      <c r="F79" s="49"/>
      <c r="G79" s="47"/>
      <c r="H79" s="49"/>
      <c r="I79" s="49"/>
      <c r="J79" s="36"/>
      <c r="K79" s="37"/>
      <c r="L79" s="37"/>
    </row>
    <row r="80" spans="1:12" x14ac:dyDescent="0.3">
      <c r="A80" s="50"/>
      <c r="B80" s="49"/>
      <c r="C80" s="49"/>
      <c r="D80" s="49"/>
      <c r="E80" s="60"/>
      <c r="F80" s="49"/>
      <c r="G80" s="47"/>
      <c r="H80" s="49"/>
      <c r="I80" s="49"/>
      <c r="J80" s="36"/>
      <c r="K80" s="37"/>
      <c r="L80" s="37"/>
    </row>
    <row r="81" spans="1:12" x14ac:dyDescent="0.3">
      <c r="A81" s="50"/>
      <c r="B81" s="49"/>
      <c r="C81" s="49"/>
      <c r="D81" s="49"/>
      <c r="E81" s="60"/>
      <c r="F81" s="49"/>
      <c r="G81" s="47"/>
      <c r="H81" s="49"/>
      <c r="I81" s="49"/>
      <c r="J81" s="36"/>
      <c r="K81" s="37"/>
      <c r="L81" s="37"/>
    </row>
    <row r="82" spans="1:12" x14ac:dyDescent="0.3">
      <c r="A82" s="50"/>
      <c r="B82" s="49"/>
      <c r="C82" s="49"/>
      <c r="D82" s="49"/>
      <c r="E82" s="60"/>
      <c r="F82" s="49"/>
      <c r="G82" s="47"/>
      <c r="H82" s="49"/>
      <c r="I82" s="49"/>
      <c r="J82" s="36"/>
      <c r="K82" s="37"/>
      <c r="L82" s="37"/>
    </row>
    <row r="83" spans="1:12" x14ac:dyDescent="0.3">
      <c r="A83" s="51"/>
      <c r="B83" s="36"/>
      <c r="C83" s="46"/>
      <c r="D83" s="36"/>
      <c r="E83" s="35"/>
      <c r="F83" s="36"/>
      <c r="G83" s="38"/>
      <c r="H83" s="36"/>
      <c r="I83" s="36"/>
      <c r="J83" s="36"/>
      <c r="K83" s="37"/>
      <c r="L83" s="37"/>
    </row>
    <row r="84" spans="1:12" x14ac:dyDescent="0.3">
      <c r="A84" s="51"/>
      <c r="B84" s="36"/>
      <c r="C84" s="46"/>
      <c r="D84" s="36"/>
      <c r="E84" s="35"/>
      <c r="F84" s="36"/>
      <c r="G84" s="38"/>
      <c r="H84" s="36"/>
      <c r="I84" s="36"/>
      <c r="J84" s="36"/>
      <c r="K84" s="37"/>
      <c r="L84" s="37"/>
    </row>
    <row r="85" spans="1:12" x14ac:dyDescent="0.3">
      <c r="A85" s="51"/>
      <c r="B85" s="36"/>
      <c r="C85" s="46"/>
      <c r="D85" s="36"/>
      <c r="E85" s="35"/>
      <c r="F85" s="36"/>
      <c r="G85" s="38"/>
      <c r="H85" s="36"/>
      <c r="I85" s="36"/>
      <c r="J85" s="36"/>
      <c r="K85" s="37"/>
      <c r="L85" s="37"/>
    </row>
    <row r="86" spans="1:12" x14ac:dyDescent="0.3">
      <c r="A86" s="51"/>
      <c r="B86" s="36"/>
      <c r="C86" s="46"/>
      <c r="D86" s="36"/>
      <c r="E86" s="35"/>
      <c r="F86" s="36"/>
      <c r="G86" s="38"/>
      <c r="H86" s="36"/>
      <c r="I86" s="36"/>
      <c r="J86" s="36"/>
      <c r="K86" s="37"/>
      <c r="L86" s="37"/>
    </row>
    <row r="87" spans="1:12" x14ac:dyDescent="0.3">
      <c r="A87" s="51"/>
      <c r="B87" s="36"/>
      <c r="C87" s="46"/>
      <c r="D87" s="36"/>
      <c r="E87" s="35"/>
      <c r="F87" s="36"/>
      <c r="G87" s="38"/>
      <c r="H87" s="36"/>
      <c r="I87" s="36"/>
      <c r="J87" s="36"/>
      <c r="K87" s="37"/>
      <c r="L87" s="37"/>
    </row>
    <row r="88" spans="1:12" x14ac:dyDescent="0.3">
      <c r="A88" s="59"/>
      <c r="B88" s="36"/>
      <c r="C88" s="46"/>
      <c r="D88" s="36"/>
      <c r="E88" s="35"/>
      <c r="F88" s="36"/>
      <c r="G88" s="38"/>
      <c r="H88" s="49"/>
      <c r="I88" s="36"/>
      <c r="J88" s="36"/>
      <c r="K88" s="37"/>
      <c r="L88" s="37"/>
    </row>
    <row r="89" spans="1:12" x14ac:dyDescent="0.3">
      <c r="A89" s="59"/>
      <c r="B89" s="36"/>
      <c r="C89" s="46"/>
      <c r="D89" s="36"/>
      <c r="E89" s="35"/>
      <c r="F89" s="36"/>
      <c r="G89" s="47"/>
      <c r="H89" s="49"/>
      <c r="I89" s="36"/>
      <c r="J89" s="36"/>
      <c r="K89" s="37"/>
      <c r="L89" s="37"/>
    </row>
    <row r="90" spans="1:12" x14ac:dyDescent="0.3">
      <c r="A90" s="60"/>
      <c r="B90" s="60"/>
      <c r="C90" s="60"/>
      <c r="D90" s="49"/>
      <c r="E90" s="60"/>
      <c r="F90" s="49"/>
      <c r="G90" s="60"/>
      <c r="H90" s="49"/>
      <c r="I90" s="49"/>
      <c r="J90" s="36"/>
      <c r="K90" s="37"/>
      <c r="L90" s="37"/>
    </row>
    <row r="91" spans="1:12" x14ac:dyDescent="0.3">
      <c r="A91" s="50"/>
      <c r="B91" s="50"/>
      <c r="C91" s="50"/>
      <c r="D91" s="49"/>
      <c r="E91" s="50"/>
      <c r="F91" s="49"/>
      <c r="G91" s="50"/>
      <c r="H91" s="49"/>
      <c r="I91" s="49"/>
      <c r="J91" s="36"/>
      <c r="K91" s="37"/>
      <c r="L91" s="37"/>
    </row>
    <row r="92" spans="1:12" x14ac:dyDescent="0.3">
      <c r="A92" s="50"/>
      <c r="B92" s="50"/>
      <c r="C92" s="50"/>
      <c r="D92" s="49"/>
      <c r="E92" s="50"/>
      <c r="F92" s="49"/>
      <c r="G92" s="50"/>
      <c r="H92" s="49"/>
      <c r="I92" s="49"/>
      <c r="J92" s="36"/>
      <c r="K92" s="37"/>
      <c r="L92" s="37"/>
    </row>
    <row r="93" spans="1:12" x14ac:dyDescent="0.3">
      <c r="A93" s="50"/>
      <c r="B93" s="50"/>
      <c r="C93" s="50"/>
      <c r="D93" s="49"/>
      <c r="E93" s="50"/>
      <c r="F93" s="49"/>
      <c r="G93" s="50"/>
      <c r="H93" s="49"/>
      <c r="I93" s="49"/>
      <c r="J93" s="36"/>
      <c r="K93" s="37"/>
      <c r="L93" s="37"/>
    </row>
    <row r="94" spans="1:12" x14ac:dyDescent="0.3">
      <c r="A94" s="50"/>
      <c r="B94" s="50"/>
      <c r="C94" s="50"/>
      <c r="D94" s="49"/>
      <c r="E94" s="50"/>
      <c r="F94" s="49"/>
      <c r="G94" s="50"/>
      <c r="H94" s="49"/>
      <c r="I94" s="49"/>
      <c r="J94" s="36"/>
      <c r="K94" s="37"/>
      <c r="L94" s="37"/>
    </row>
    <row r="95" spans="1:12" x14ac:dyDescent="0.3">
      <c r="A95" s="50"/>
      <c r="B95" s="50"/>
      <c r="C95" s="50"/>
      <c r="D95" s="49"/>
      <c r="E95" s="50"/>
      <c r="F95" s="49"/>
      <c r="G95" s="50"/>
      <c r="H95" s="49"/>
      <c r="I95" s="49"/>
      <c r="J95" s="36"/>
      <c r="K95" s="37"/>
      <c r="L95" s="37"/>
    </row>
    <row r="96" spans="1:12" x14ac:dyDescent="0.3">
      <c r="A96" s="51"/>
      <c r="B96" s="36"/>
      <c r="C96" s="46"/>
      <c r="D96" s="36"/>
      <c r="E96" s="35"/>
      <c r="F96" s="36"/>
      <c r="G96" s="38"/>
      <c r="H96" s="36"/>
      <c r="I96" s="36"/>
      <c r="J96" s="36"/>
      <c r="K96" s="37"/>
      <c r="L96" s="37"/>
    </row>
    <row r="97" spans="1:12" x14ac:dyDescent="0.3">
      <c r="A97" s="51"/>
      <c r="B97" s="36"/>
      <c r="C97" s="46"/>
      <c r="D97" s="36"/>
      <c r="E97" s="35"/>
      <c r="F97" s="36"/>
      <c r="G97" s="38"/>
      <c r="H97" s="36"/>
      <c r="I97" s="36"/>
      <c r="J97" s="36"/>
      <c r="K97" s="37"/>
      <c r="L97" s="37"/>
    </row>
    <row r="98" spans="1:12" x14ac:dyDescent="0.3">
      <c r="A98" s="51"/>
      <c r="B98" s="36"/>
      <c r="C98" s="46"/>
      <c r="D98" s="36"/>
      <c r="E98" s="35"/>
      <c r="F98" s="36"/>
      <c r="G98" s="38"/>
      <c r="H98" s="36"/>
      <c r="I98" s="36"/>
      <c r="J98" s="36"/>
      <c r="K98" s="37"/>
      <c r="L98" s="37"/>
    </row>
    <row r="99" spans="1:12" x14ac:dyDescent="0.3">
      <c r="A99" s="51"/>
      <c r="B99" s="36"/>
      <c r="C99" s="46"/>
      <c r="D99" s="36"/>
      <c r="E99" s="35"/>
      <c r="F99" s="36"/>
      <c r="G99" s="38"/>
      <c r="H99" s="36"/>
      <c r="I99" s="36"/>
      <c r="J99" s="36"/>
      <c r="K99" s="37"/>
      <c r="L99" s="37"/>
    </row>
    <row r="100" spans="1:12" x14ac:dyDescent="0.3">
      <c r="A100" s="51"/>
      <c r="B100" s="36"/>
      <c r="C100" s="46"/>
      <c r="D100" s="36"/>
      <c r="E100" s="35"/>
      <c r="F100" s="36"/>
      <c r="G100" s="38"/>
      <c r="H100" s="36"/>
      <c r="I100" s="36"/>
      <c r="J100" s="36"/>
      <c r="K100" s="37"/>
      <c r="L100" s="37"/>
    </row>
    <row r="101" spans="1:12" x14ac:dyDescent="0.3">
      <c r="A101" s="51"/>
      <c r="B101" s="36"/>
      <c r="C101" s="46"/>
      <c r="D101" s="36"/>
      <c r="E101" s="35"/>
      <c r="F101" s="36"/>
      <c r="G101" s="38"/>
      <c r="H101" s="36"/>
      <c r="I101" s="36"/>
      <c r="J101" s="36"/>
      <c r="K101" s="37"/>
      <c r="L101" s="37"/>
    </row>
    <row r="102" spans="1:12" x14ac:dyDescent="0.3">
      <c r="A102" s="51"/>
      <c r="B102" s="36"/>
      <c r="C102" s="46"/>
      <c r="D102" s="36"/>
      <c r="E102" s="35"/>
      <c r="F102" s="36"/>
      <c r="G102" s="38"/>
      <c r="H102" s="36"/>
      <c r="I102" s="36"/>
      <c r="J102" s="36"/>
      <c r="K102" s="37"/>
      <c r="L102" s="37"/>
    </row>
    <row r="103" spans="1:12" x14ac:dyDescent="0.3">
      <c r="A103" s="51"/>
      <c r="B103" s="36"/>
      <c r="C103" s="46"/>
      <c r="D103" s="36"/>
      <c r="E103" s="35"/>
      <c r="F103" s="36"/>
      <c r="G103" s="38"/>
      <c r="H103" s="36"/>
      <c r="I103" s="36"/>
      <c r="J103" s="36"/>
      <c r="K103" s="37"/>
      <c r="L103" s="37"/>
    </row>
    <row r="104" spans="1:12" x14ac:dyDescent="0.3">
      <c r="A104" s="51"/>
      <c r="B104" s="36"/>
      <c r="C104" s="46"/>
      <c r="D104" s="36"/>
      <c r="E104" s="35"/>
      <c r="F104" s="36"/>
      <c r="G104" s="38"/>
      <c r="H104" s="36"/>
      <c r="I104" s="36"/>
      <c r="J104" s="36"/>
      <c r="K104" s="37"/>
      <c r="L104" s="37"/>
    </row>
    <row r="105" spans="1:12" x14ac:dyDescent="0.3">
      <c r="A105" s="51"/>
      <c r="B105" s="36"/>
      <c r="C105" s="46"/>
      <c r="D105" s="36"/>
      <c r="E105" s="35"/>
      <c r="F105" s="36"/>
      <c r="G105" s="38"/>
      <c r="H105" s="36"/>
      <c r="I105" s="36"/>
      <c r="J105" s="36"/>
      <c r="K105" s="37"/>
      <c r="L105" s="37"/>
    </row>
    <row r="106" spans="1:12" x14ac:dyDescent="0.3">
      <c r="A106" s="52"/>
      <c r="B106" s="36"/>
      <c r="C106" s="46"/>
      <c r="D106" s="36"/>
      <c r="E106" s="35"/>
      <c r="F106" s="36"/>
      <c r="G106" s="38"/>
      <c r="H106" s="36"/>
      <c r="I106" s="36"/>
      <c r="J106" s="36"/>
      <c r="K106" s="37"/>
      <c r="L106" s="37"/>
    </row>
    <row r="107" spans="1:12" x14ac:dyDescent="0.3">
      <c r="A107" s="52"/>
      <c r="B107" s="36"/>
      <c r="C107" s="46"/>
      <c r="D107" s="36"/>
      <c r="E107" s="35"/>
      <c r="F107" s="36"/>
      <c r="G107" s="38"/>
      <c r="H107" s="36"/>
      <c r="I107" s="36"/>
      <c r="J107" s="36"/>
      <c r="K107" s="37"/>
      <c r="L107" s="37"/>
    </row>
    <row r="108" spans="1:12" x14ac:dyDescent="0.3">
      <c r="A108" s="52"/>
      <c r="B108" s="36"/>
      <c r="C108" s="46"/>
      <c r="D108" s="36"/>
      <c r="E108" s="35"/>
      <c r="F108" s="36"/>
      <c r="G108" s="38"/>
      <c r="H108" s="36"/>
      <c r="I108" s="36"/>
      <c r="J108" s="36"/>
      <c r="K108" s="37"/>
      <c r="L108" s="37"/>
    </row>
    <row r="109" spans="1:12" x14ac:dyDescent="0.3">
      <c r="A109" s="52"/>
      <c r="B109" s="36"/>
      <c r="C109" s="46"/>
      <c r="D109" s="36"/>
      <c r="E109" s="35"/>
      <c r="F109" s="36"/>
      <c r="G109" s="38"/>
      <c r="H109" s="36"/>
      <c r="I109" s="36"/>
      <c r="J109" s="36"/>
      <c r="K109" s="37"/>
      <c r="L109" s="37"/>
    </row>
    <row r="110" spans="1:12" x14ac:dyDescent="0.3">
      <c r="A110" s="52"/>
      <c r="B110" s="36"/>
      <c r="C110" s="46"/>
      <c r="D110" s="36"/>
      <c r="E110" s="35"/>
      <c r="F110" s="36"/>
      <c r="G110" s="38"/>
      <c r="H110" s="36"/>
      <c r="I110" s="36"/>
      <c r="J110" s="36"/>
      <c r="K110" s="37"/>
      <c r="L110" s="37"/>
    </row>
    <row r="111" spans="1:12" x14ac:dyDescent="0.3">
      <c r="A111" s="52"/>
      <c r="B111" s="36"/>
      <c r="C111" s="46"/>
      <c r="D111" s="36"/>
      <c r="E111" s="35"/>
      <c r="F111" s="36"/>
      <c r="G111" s="38"/>
      <c r="H111" s="36"/>
      <c r="I111" s="36"/>
      <c r="J111" s="36"/>
      <c r="K111" s="37"/>
      <c r="L111" s="37"/>
    </row>
    <row r="112" spans="1:12" x14ac:dyDescent="0.3">
      <c r="A112" s="52"/>
      <c r="B112" s="36"/>
      <c r="C112" s="46"/>
      <c r="D112" s="36"/>
      <c r="E112" s="35"/>
      <c r="F112" s="36"/>
      <c r="G112" s="38"/>
      <c r="H112" s="36"/>
      <c r="I112" s="36"/>
      <c r="J112" s="36"/>
      <c r="K112" s="37"/>
      <c r="L112" s="37"/>
    </row>
    <row r="113" spans="1:12" x14ac:dyDescent="0.3">
      <c r="A113" s="52"/>
      <c r="B113" s="36"/>
      <c r="C113" s="46"/>
      <c r="D113" s="36"/>
      <c r="E113" s="35"/>
      <c r="F113" s="36"/>
      <c r="G113" s="38"/>
      <c r="H113" s="36"/>
      <c r="I113" s="36"/>
      <c r="J113" s="36"/>
      <c r="K113" s="37"/>
      <c r="L113" s="37"/>
    </row>
    <row r="114" spans="1:12" x14ac:dyDescent="0.3">
      <c r="A114" s="52"/>
      <c r="B114" s="36"/>
      <c r="C114" s="46"/>
      <c r="D114" s="36"/>
      <c r="E114" s="35"/>
      <c r="F114" s="36"/>
      <c r="G114" s="38"/>
      <c r="H114" s="36"/>
      <c r="I114" s="36"/>
      <c r="J114" s="36"/>
      <c r="K114" s="37"/>
      <c r="L114" s="37"/>
    </row>
    <row r="115" spans="1:12" x14ac:dyDescent="0.3">
      <c r="A115" s="52"/>
      <c r="B115" s="36"/>
      <c r="C115" s="46"/>
      <c r="D115" s="36"/>
      <c r="E115" s="35"/>
      <c r="F115" s="36"/>
      <c r="G115" s="38"/>
      <c r="H115" s="36"/>
      <c r="I115" s="36"/>
      <c r="J115" s="36"/>
      <c r="K115" s="37"/>
      <c r="L115" s="37"/>
    </row>
    <row r="116" spans="1:12" x14ac:dyDescent="0.3">
      <c r="A116" s="52"/>
      <c r="B116" s="36"/>
      <c r="C116" s="46"/>
      <c r="D116" s="36"/>
      <c r="E116" s="35"/>
      <c r="F116" s="36"/>
      <c r="G116" s="38"/>
      <c r="H116" s="36"/>
      <c r="I116" s="36"/>
      <c r="J116" s="36"/>
      <c r="K116" s="37"/>
      <c r="L116" s="37"/>
    </row>
    <row r="117" spans="1:12" x14ac:dyDescent="0.3">
      <c r="A117" s="52"/>
      <c r="B117" s="36"/>
      <c r="C117" s="46"/>
      <c r="D117" s="36"/>
      <c r="E117" s="35"/>
      <c r="F117" s="36"/>
      <c r="G117" s="38"/>
      <c r="H117" s="36"/>
      <c r="I117" s="36"/>
      <c r="J117" s="36"/>
      <c r="K117" s="37"/>
      <c r="L117" s="37"/>
    </row>
    <row r="118" spans="1:12" x14ac:dyDescent="0.3">
      <c r="A118" s="52"/>
      <c r="B118" s="36"/>
      <c r="C118" s="46"/>
      <c r="D118" s="36"/>
      <c r="E118" s="35"/>
      <c r="F118" s="36"/>
      <c r="G118" s="38"/>
      <c r="H118" s="36"/>
      <c r="I118" s="36"/>
      <c r="J118" s="36"/>
      <c r="K118" s="37"/>
      <c r="L118" s="37"/>
    </row>
    <row r="119" spans="1:12" x14ac:dyDescent="0.3">
      <c r="A119" s="52"/>
      <c r="B119" s="36"/>
      <c r="C119" s="46"/>
      <c r="D119" s="36"/>
      <c r="E119" s="35"/>
      <c r="F119" s="36"/>
      <c r="G119" s="38"/>
      <c r="H119" s="36"/>
      <c r="I119" s="36"/>
      <c r="J119" s="36"/>
      <c r="K119" s="37"/>
      <c r="L119" s="37"/>
    </row>
    <row r="120" spans="1:12" x14ac:dyDescent="0.3">
      <c r="A120" s="52"/>
      <c r="B120" s="36"/>
      <c r="C120" s="46"/>
      <c r="D120" s="36"/>
      <c r="E120" s="35"/>
      <c r="F120" s="36"/>
      <c r="G120" s="38"/>
      <c r="H120" s="36"/>
      <c r="I120" s="36"/>
      <c r="J120" s="36"/>
      <c r="K120" s="37"/>
      <c r="L120" s="37"/>
    </row>
    <row r="121" spans="1:12" x14ac:dyDescent="0.3">
      <c r="A121" s="52"/>
      <c r="B121" s="36"/>
      <c r="C121" s="46"/>
      <c r="D121" s="36"/>
      <c r="E121" s="35"/>
      <c r="F121" s="36"/>
      <c r="G121" s="38"/>
      <c r="H121" s="36"/>
      <c r="I121" s="36"/>
      <c r="J121" s="36"/>
      <c r="K121" s="37"/>
      <c r="L121" s="37"/>
    </row>
    <row r="122" spans="1:12" x14ac:dyDescent="0.3">
      <c r="A122" s="52"/>
      <c r="B122" s="36"/>
      <c r="C122" s="46"/>
      <c r="D122" s="36"/>
      <c r="E122" s="35"/>
      <c r="F122" s="36"/>
      <c r="G122" s="38"/>
      <c r="H122" s="36"/>
      <c r="I122" s="36"/>
      <c r="J122" s="36"/>
      <c r="K122" s="37"/>
      <c r="L122" s="37"/>
    </row>
    <row r="123" spans="1:12" x14ac:dyDescent="0.3">
      <c r="A123" s="52"/>
      <c r="B123" s="36"/>
      <c r="C123" s="46"/>
      <c r="D123" s="36"/>
      <c r="E123" s="35"/>
      <c r="F123" s="36"/>
      <c r="G123" s="38"/>
      <c r="H123" s="36"/>
      <c r="I123" s="36"/>
      <c r="J123" s="36"/>
      <c r="K123" s="37"/>
      <c r="L123" s="37"/>
    </row>
    <row r="124" spans="1:12" x14ac:dyDescent="0.3">
      <c r="A124" s="52"/>
      <c r="B124" s="36"/>
      <c r="C124" s="46"/>
      <c r="D124" s="36"/>
      <c r="E124" s="35"/>
      <c r="F124" s="36"/>
      <c r="G124" s="38"/>
      <c r="H124" s="36"/>
      <c r="I124" s="36"/>
      <c r="J124" s="36"/>
      <c r="K124" s="37"/>
      <c r="L124" s="37"/>
    </row>
    <row r="125" spans="1:12" x14ac:dyDescent="0.3">
      <c r="A125" s="52"/>
      <c r="B125" s="36"/>
      <c r="C125" s="46"/>
      <c r="D125" s="36"/>
      <c r="E125" s="35"/>
      <c r="F125" s="36"/>
      <c r="G125" s="38"/>
      <c r="H125" s="36"/>
      <c r="I125" s="36"/>
      <c r="J125" s="36"/>
      <c r="K125" s="37"/>
      <c r="L125" s="37"/>
    </row>
    <row r="126" spans="1:12" x14ac:dyDescent="0.3">
      <c r="A126" s="52"/>
      <c r="B126" s="36"/>
      <c r="C126" s="46"/>
      <c r="D126" s="36"/>
      <c r="E126" s="35"/>
      <c r="F126" s="36"/>
      <c r="G126" s="38"/>
      <c r="H126" s="36"/>
      <c r="I126" s="36"/>
      <c r="J126" s="36"/>
      <c r="K126" s="37"/>
      <c r="L126" s="37"/>
    </row>
    <row r="127" spans="1:12" x14ac:dyDescent="0.3">
      <c r="A127" s="52"/>
      <c r="B127" s="36"/>
      <c r="C127" s="46"/>
      <c r="D127" s="36"/>
      <c r="E127" s="35"/>
      <c r="F127" s="36"/>
      <c r="G127" s="38"/>
      <c r="H127" s="36"/>
      <c r="I127" s="36"/>
      <c r="J127" s="36"/>
      <c r="K127" s="37"/>
      <c r="L127" s="37"/>
    </row>
    <row r="128" spans="1:12" x14ac:dyDescent="0.3">
      <c r="A128" s="52"/>
      <c r="B128" s="36"/>
      <c r="C128" s="46"/>
      <c r="D128" s="36"/>
      <c r="E128" s="35"/>
      <c r="F128" s="36"/>
      <c r="G128" s="38"/>
      <c r="H128" s="36"/>
      <c r="I128" s="36"/>
      <c r="J128" s="36"/>
      <c r="K128" s="37"/>
      <c r="L128" s="37"/>
    </row>
    <row r="129" spans="1:12" x14ac:dyDescent="0.3">
      <c r="A129" s="52"/>
      <c r="B129" s="36"/>
      <c r="C129" s="46"/>
      <c r="D129" s="36"/>
      <c r="E129" s="35"/>
      <c r="F129" s="36"/>
      <c r="G129" s="38"/>
      <c r="H129" s="36"/>
      <c r="I129" s="36"/>
      <c r="J129" s="36"/>
      <c r="K129" s="37"/>
      <c r="L129" s="37"/>
    </row>
    <row r="130" spans="1:12" x14ac:dyDescent="0.3">
      <c r="A130" s="52"/>
      <c r="B130" s="36"/>
      <c r="C130" s="46"/>
      <c r="D130" s="36"/>
      <c r="E130" s="35"/>
      <c r="F130" s="36"/>
      <c r="G130" s="38"/>
      <c r="H130" s="36"/>
      <c r="I130" s="36"/>
      <c r="J130" s="36"/>
      <c r="K130" s="37"/>
      <c r="L130" s="37"/>
    </row>
    <row r="131" spans="1:12" x14ac:dyDescent="0.3">
      <c r="A131" s="52"/>
      <c r="B131" s="36"/>
      <c r="C131" s="46"/>
      <c r="D131" s="36"/>
      <c r="E131" s="35"/>
      <c r="F131" s="36"/>
      <c r="G131" s="38"/>
      <c r="H131" s="36"/>
      <c r="I131" s="36"/>
      <c r="J131" s="36"/>
      <c r="K131" s="37"/>
      <c r="L131" s="37"/>
    </row>
    <row r="132" spans="1:12" x14ac:dyDescent="0.3">
      <c r="A132" s="52"/>
      <c r="B132" s="36"/>
      <c r="C132" s="46"/>
      <c r="D132" s="36"/>
      <c r="E132" s="35"/>
      <c r="F132" s="36"/>
      <c r="G132" s="38"/>
      <c r="H132" s="36"/>
      <c r="I132" s="36"/>
      <c r="J132" s="36"/>
      <c r="K132" s="37"/>
      <c r="L132" s="37"/>
    </row>
    <row r="133" spans="1:12" x14ac:dyDescent="0.3">
      <c r="A133" s="52"/>
      <c r="B133" s="36"/>
      <c r="C133" s="46"/>
      <c r="D133" s="36"/>
      <c r="E133" s="35"/>
      <c r="F133" s="36"/>
      <c r="G133" s="38"/>
      <c r="H133" s="36"/>
      <c r="I133" s="36"/>
      <c r="J133" s="36"/>
      <c r="K133" s="37"/>
      <c r="L133" s="37"/>
    </row>
    <row r="134" spans="1:12" x14ac:dyDescent="0.3">
      <c r="A134" s="52"/>
      <c r="B134" s="36"/>
      <c r="C134" s="46"/>
      <c r="D134" s="36"/>
      <c r="E134" s="35"/>
      <c r="F134" s="36"/>
      <c r="G134" s="38"/>
      <c r="H134" s="36"/>
      <c r="I134" s="36"/>
      <c r="J134" s="36"/>
      <c r="K134" s="37"/>
      <c r="L134" s="37"/>
    </row>
    <row r="135" spans="1:12" x14ac:dyDescent="0.3">
      <c r="A135" s="52"/>
      <c r="B135" s="36"/>
      <c r="C135" s="46"/>
      <c r="D135" s="36"/>
      <c r="E135" s="35"/>
      <c r="F135" s="36"/>
      <c r="G135" s="38"/>
      <c r="H135" s="36"/>
      <c r="I135" s="36"/>
      <c r="J135" s="36"/>
      <c r="K135" s="37"/>
      <c r="L135" s="37"/>
    </row>
    <row r="136" spans="1:12" x14ac:dyDescent="0.3">
      <c r="A136" s="53"/>
      <c r="B136" s="36"/>
      <c r="C136" s="46"/>
      <c r="D136" s="36"/>
      <c r="E136" s="35"/>
      <c r="F136" s="36"/>
      <c r="G136" s="38"/>
      <c r="H136" s="36"/>
      <c r="I136" s="36"/>
      <c r="J136" s="36"/>
      <c r="K136" s="37"/>
      <c r="L136" s="37"/>
    </row>
    <row r="137" spans="1:12" x14ac:dyDescent="0.3">
      <c r="A137" s="53"/>
      <c r="B137" s="36"/>
      <c r="C137" s="46"/>
      <c r="D137" s="36"/>
      <c r="E137" s="35"/>
      <c r="F137" s="36"/>
      <c r="G137" s="38"/>
      <c r="H137" s="36"/>
      <c r="I137" s="36"/>
      <c r="J137" s="36"/>
      <c r="K137" s="37"/>
      <c r="L137" s="37"/>
    </row>
    <row r="138" spans="1:12" x14ac:dyDescent="0.3">
      <c r="A138" s="53"/>
      <c r="B138" s="36"/>
      <c r="C138" s="46"/>
      <c r="D138" s="36"/>
      <c r="E138" s="35"/>
      <c r="F138" s="36"/>
      <c r="G138" s="38"/>
      <c r="H138" s="36"/>
      <c r="I138" s="36"/>
      <c r="J138" s="36"/>
      <c r="K138" s="37"/>
      <c r="L138" s="37"/>
    </row>
    <row r="139" spans="1:12" x14ac:dyDescent="0.3">
      <c r="A139" s="53"/>
      <c r="B139" s="36"/>
      <c r="C139" s="46"/>
      <c r="D139" s="36"/>
      <c r="E139" s="35"/>
      <c r="F139" s="36"/>
      <c r="G139" s="38"/>
      <c r="H139" s="36"/>
      <c r="I139" s="36"/>
      <c r="J139" s="36"/>
      <c r="K139" s="37"/>
      <c r="L139" s="37"/>
    </row>
    <row r="140" spans="1:12" x14ac:dyDescent="0.3">
      <c r="A140" s="53"/>
      <c r="B140" s="36"/>
      <c r="C140" s="46"/>
      <c r="D140" s="36"/>
      <c r="E140" s="35"/>
      <c r="F140" s="36"/>
      <c r="G140" s="38"/>
      <c r="H140" s="36"/>
      <c r="I140" s="36"/>
      <c r="J140" s="36"/>
      <c r="K140" s="37"/>
      <c r="L140" s="37"/>
    </row>
    <row r="141" spans="1:12" x14ac:dyDescent="0.3">
      <c r="A141" s="53"/>
      <c r="B141" s="36"/>
      <c r="C141" s="46"/>
      <c r="D141" s="36"/>
      <c r="E141" s="35"/>
      <c r="F141" s="36"/>
      <c r="G141" s="38"/>
      <c r="H141" s="36"/>
      <c r="I141" s="36"/>
      <c r="J141" s="36"/>
      <c r="K141" s="37"/>
      <c r="L141" s="37"/>
    </row>
    <row r="142" spans="1:12" x14ac:dyDescent="0.3">
      <c r="A142" s="53"/>
      <c r="B142" s="36"/>
      <c r="C142" s="46"/>
      <c r="D142" s="36"/>
      <c r="E142" s="35"/>
      <c r="F142" s="36"/>
      <c r="G142" s="38"/>
      <c r="H142" s="36"/>
      <c r="I142" s="36"/>
      <c r="J142" s="36"/>
      <c r="K142" s="37"/>
      <c r="L142" s="37"/>
    </row>
    <row r="143" spans="1:12" x14ac:dyDescent="0.3">
      <c r="A143" s="53"/>
      <c r="B143" s="36"/>
      <c r="C143" s="46"/>
      <c r="D143" s="36"/>
      <c r="E143" s="35"/>
      <c r="F143" s="36"/>
      <c r="G143" s="38"/>
      <c r="H143" s="36"/>
      <c r="I143" s="36"/>
      <c r="J143" s="36"/>
      <c r="K143" s="37"/>
      <c r="L143" s="37"/>
    </row>
    <row r="144" spans="1:12" x14ac:dyDescent="0.3">
      <c r="A144" s="53"/>
      <c r="B144" s="36"/>
      <c r="C144" s="46"/>
      <c r="D144" s="36"/>
      <c r="E144" s="35"/>
      <c r="F144" s="36"/>
      <c r="G144" s="38"/>
      <c r="H144" s="36"/>
      <c r="I144" s="36"/>
      <c r="J144" s="36"/>
      <c r="K144" s="37"/>
      <c r="L144" s="37"/>
    </row>
    <row r="145" spans="1:12" x14ac:dyDescent="0.3">
      <c r="A145" s="53"/>
      <c r="B145" s="36"/>
      <c r="C145" s="46"/>
      <c r="D145" s="36"/>
      <c r="E145" s="35"/>
      <c r="F145" s="36"/>
      <c r="G145" s="38"/>
      <c r="H145" s="36"/>
      <c r="I145" s="36"/>
      <c r="J145" s="36"/>
      <c r="K145" s="37"/>
      <c r="L145" s="37"/>
    </row>
    <row r="146" spans="1:12" x14ac:dyDescent="0.3">
      <c r="A146" s="53"/>
      <c r="B146" s="36"/>
      <c r="C146" s="46"/>
      <c r="D146" s="36"/>
      <c r="E146" s="35"/>
      <c r="F146" s="36"/>
      <c r="G146" s="38"/>
      <c r="H146" s="36"/>
      <c r="I146" s="36"/>
      <c r="J146" s="36"/>
      <c r="K146" s="37"/>
      <c r="L146" s="37"/>
    </row>
    <row r="147" spans="1:12" x14ac:dyDescent="0.3">
      <c r="A147" s="53"/>
      <c r="B147" s="36"/>
      <c r="C147" s="46"/>
      <c r="D147" s="36"/>
      <c r="E147" s="35"/>
      <c r="F147" s="36"/>
      <c r="G147" s="38"/>
      <c r="H147" s="36"/>
      <c r="I147" s="36"/>
      <c r="J147" s="36"/>
      <c r="K147" s="37"/>
      <c r="L147" s="37"/>
    </row>
    <row r="148" spans="1:12" x14ac:dyDescent="0.3">
      <c r="A148" s="53"/>
      <c r="B148" s="36"/>
      <c r="C148" s="46"/>
      <c r="D148" s="36"/>
      <c r="E148" s="35"/>
      <c r="F148" s="36"/>
      <c r="G148" s="38"/>
      <c r="H148" s="36"/>
      <c r="I148" s="36"/>
      <c r="J148" s="36"/>
      <c r="K148" s="37"/>
      <c r="L148" s="37"/>
    </row>
    <row r="149" spans="1:12" x14ac:dyDescent="0.3">
      <c r="A149" s="53"/>
      <c r="B149" s="36"/>
      <c r="C149" s="46"/>
      <c r="D149" s="36"/>
      <c r="E149" s="35"/>
      <c r="F149" s="36"/>
      <c r="G149" s="38"/>
      <c r="H149" s="36"/>
      <c r="I149" s="36"/>
      <c r="J149" s="36"/>
      <c r="K149" s="37"/>
      <c r="L149" s="37"/>
    </row>
    <row r="150" spans="1:12" x14ac:dyDescent="0.3">
      <c r="A150" s="53"/>
      <c r="B150" s="36"/>
      <c r="C150" s="46"/>
      <c r="D150" s="36"/>
      <c r="E150" s="35"/>
      <c r="F150" s="36"/>
      <c r="G150" s="38"/>
      <c r="H150" s="36"/>
      <c r="I150" s="36"/>
      <c r="J150" s="36"/>
      <c r="K150" s="37"/>
      <c r="L150" s="37"/>
    </row>
    <row r="151" spans="1:12" x14ac:dyDescent="0.3">
      <c r="A151" s="53"/>
      <c r="B151" s="36"/>
      <c r="C151" s="46"/>
      <c r="D151" s="36"/>
      <c r="E151" s="35"/>
      <c r="F151" s="36"/>
      <c r="G151" s="38"/>
      <c r="H151" s="36"/>
      <c r="I151" s="36"/>
      <c r="J151" s="36"/>
      <c r="K151" s="37"/>
      <c r="L151" s="37"/>
    </row>
    <row r="152" spans="1:12" x14ac:dyDescent="0.3">
      <c r="A152" s="53"/>
      <c r="B152" s="36"/>
      <c r="C152" s="46"/>
      <c r="D152" s="36"/>
      <c r="E152" s="35"/>
      <c r="F152" s="36"/>
      <c r="G152" s="38"/>
      <c r="H152" s="36"/>
      <c r="I152" s="36"/>
      <c r="J152" s="36"/>
      <c r="K152" s="37"/>
      <c r="L152" s="37"/>
    </row>
    <row r="153" spans="1:12" x14ac:dyDescent="0.3">
      <c r="A153" s="53"/>
      <c r="B153" s="36"/>
      <c r="C153" s="46"/>
      <c r="D153" s="36"/>
      <c r="E153" s="35"/>
      <c r="F153" s="36"/>
      <c r="G153" s="38"/>
      <c r="H153" s="36"/>
      <c r="I153" s="36"/>
      <c r="J153" s="36"/>
      <c r="K153" s="37"/>
      <c r="L153" s="37"/>
    </row>
    <row r="154" spans="1:12" x14ac:dyDescent="0.3">
      <c r="A154" s="53"/>
      <c r="B154" s="36"/>
      <c r="C154" s="46"/>
      <c r="D154" s="36"/>
      <c r="E154" s="35"/>
      <c r="F154" s="36"/>
      <c r="G154" s="38"/>
      <c r="H154" s="36"/>
      <c r="I154" s="36"/>
      <c r="J154" s="36"/>
      <c r="K154" s="37"/>
      <c r="L154" s="37"/>
    </row>
    <row r="155" spans="1:12" x14ac:dyDescent="0.3">
      <c r="A155" s="53"/>
      <c r="B155" s="36"/>
      <c r="C155" s="46"/>
      <c r="D155" s="36"/>
      <c r="E155" s="35"/>
      <c r="F155" s="36"/>
      <c r="G155" s="38"/>
      <c r="H155" s="36"/>
      <c r="I155" s="36"/>
      <c r="J155" s="36"/>
      <c r="K155" s="37"/>
      <c r="L155" s="37"/>
    </row>
    <row r="156" spans="1:12" x14ac:dyDescent="0.3">
      <c r="A156" s="53"/>
      <c r="B156" s="36"/>
      <c r="C156" s="46"/>
      <c r="D156" s="36"/>
      <c r="E156" s="35"/>
      <c r="F156" s="36"/>
      <c r="G156" s="38"/>
      <c r="H156" s="36"/>
      <c r="I156" s="36"/>
      <c r="J156" s="36"/>
      <c r="K156" s="37"/>
      <c r="L156" s="37"/>
    </row>
    <row r="157" spans="1:12" x14ac:dyDescent="0.3">
      <c r="A157" s="53"/>
      <c r="B157" s="36"/>
      <c r="C157" s="46"/>
      <c r="D157" s="36"/>
      <c r="E157" s="35"/>
      <c r="F157" s="36"/>
      <c r="G157" s="38"/>
      <c r="H157" s="36"/>
      <c r="I157" s="36"/>
      <c r="J157" s="36"/>
      <c r="K157" s="37"/>
      <c r="L157" s="37"/>
    </row>
    <row r="158" spans="1:12" x14ac:dyDescent="0.3">
      <c r="A158" s="53"/>
      <c r="B158" s="36"/>
      <c r="C158" s="46"/>
      <c r="D158" s="36"/>
      <c r="E158" s="35"/>
      <c r="F158" s="36"/>
      <c r="G158" s="38"/>
      <c r="H158" s="36"/>
      <c r="I158" s="36"/>
      <c r="J158" s="36"/>
      <c r="K158" s="37"/>
      <c r="L158" s="37"/>
    </row>
    <row r="159" spans="1:12" x14ac:dyDescent="0.3">
      <c r="A159" s="53"/>
      <c r="B159" s="36"/>
      <c r="C159" s="46"/>
      <c r="D159" s="36"/>
      <c r="E159" s="35"/>
      <c r="F159" s="36"/>
      <c r="G159" s="38"/>
      <c r="H159" s="36"/>
      <c r="I159" s="36"/>
      <c r="J159" s="36"/>
      <c r="K159" s="37"/>
      <c r="L159" s="37"/>
    </row>
    <row r="160" spans="1:12" x14ac:dyDescent="0.3">
      <c r="A160" s="53"/>
      <c r="B160" s="36"/>
      <c r="C160" s="46"/>
      <c r="D160" s="36"/>
      <c r="E160" s="35"/>
      <c r="F160" s="36"/>
      <c r="G160" s="38"/>
      <c r="H160" s="36"/>
      <c r="I160" s="36"/>
      <c r="J160" s="36"/>
      <c r="K160" s="37"/>
      <c r="L160" s="37"/>
    </row>
    <row r="161" spans="1:12" x14ac:dyDescent="0.3">
      <c r="A161" s="53"/>
      <c r="B161" s="36"/>
      <c r="C161" s="46"/>
      <c r="D161" s="36"/>
      <c r="E161" s="35"/>
      <c r="F161" s="36"/>
      <c r="G161" s="38"/>
      <c r="H161" s="36"/>
      <c r="I161" s="36"/>
      <c r="J161" s="36"/>
      <c r="K161" s="37"/>
      <c r="L161" s="37"/>
    </row>
    <row r="162" spans="1:12" x14ac:dyDescent="0.3">
      <c r="A162" s="53"/>
      <c r="B162" s="36"/>
      <c r="C162" s="46"/>
      <c r="D162" s="36"/>
      <c r="E162" s="35"/>
      <c r="F162" s="36"/>
      <c r="G162" s="38"/>
      <c r="H162" s="36"/>
      <c r="I162" s="36"/>
      <c r="J162" s="36"/>
      <c r="K162" s="37"/>
      <c r="L162" s="37"/>
    </row>
    <row r="163" spans="1:12" x14ac:dyDescent="0.3">
      <c r="A163" s="53"/>
      <c r="B163" s="36"/>
      <c r="C163" s="46"/>
      <c r="D163" s="36"/>
      <c r="E163" s="35"/>
      <c r="F163" s="36"/>
      <c r="G163" s="38"/>
      <c r="H163" s="36"/>
      <c r="I163" s="36"/>
      <c r="J163" s="36"/>
      <c r="K163" s="37"/>
      <c r="L163" s="37"/>
    </row>
    <row r="164" spans="1:12" x14ac:dyDescent="0.3">
      <c r="A164" s="53"/>
      <c r="B164" s="36"/>
      <c r="C164" s="46"/>
      <c r="D164" s="36"/>
      <c r="E164" s="35"/>
      <c r="F164" s="36"/>
      <c r="G164" s="38"/>
      <c r="H164" s="36"/>
      <c r="I164" s="36"/>
      <c r="J164" s="36"/>
      <c r="K164" s="37"/>
      <c r="L164" s="37"/>
    </row>
    <row r="165" spans="1:12" x14ac:dyDescent="0.3">
      <c r="A165" s="53"/>
      <c r="B165" s="36"/>
      <c r="C165" s="46"/>
      <c r="D165" s="36"/>
      <c r="E165" s="35"/>
      <c r="F165" s="36"/>
      <c r="G165" s="38"/>
      <c r="H165" s="36"/>
      <c r="I165" s="36"/>
      <c r="J165" s="36"/>
      <c r="K165" s="37"/>
      <c r="L165" s="37"/>
    </row>
    <row r="166" spans="1:12" x14ac:dyDescent="0.3">
      <c r="A166" s="53"/>
      <c r="B166" s="36"/>
      <c r="C166" s="46"/>
      <c r="D166" s="36"/>
      <c r="E166" s="35"/>
      <c r="F166" s="36"/>
      <c r="G166" s="38"/>
      <c r="H166" s="36"/>
      <c r="I166" s="36"/>
      <c r="J166" s="36"/>
      <c r="K166" s="37"/>
      <c r="L166" s="37"/>
    </row>
    <row r="167" spans="1:12" x14ac:dyDescent="0.3">
      <c r="A167" s="53"/>
      <c r="B167" s="36"/>
      <c r="C167" s="46"/>
      <c r="D167" s="36"/>
      <c r="E167" s="35"/>
      <c r="F167" s="36"/>
      <c r="G167" s="38"/>
      <c r="H167" s="36"/>
      <c r="I167" s="36"/>
      <c r="J167" s="36"/>
      <c r="K167" s="37"/>
      <c r="L167" s="37"/>
    </row>
    <row r="168" spans="1:12" x14ac:dyDescent="0.3">
      <c r="A168" s="53"/>
      <c r="B168" s="36"/>
      <c r="C168" s="46"/>
      <c r="D168" s="36"/>
      <c r="E168" s="35"/>
      <c r="F168" s="36"/>
      <c r="G168" s="38"/>
      <c r="H168" s="36"/>
      <c r="I168" s="36"/>
      <c r="J168" s="36"/>
      <c r="K168" s="37"/>
      <c r="L168" s="37"/>
    </row>
    <row r="169" spans="1:12" x14ac:dyDescent="0.3">
      <c r="A169" s="53"/>
      <c r="B169" s="36"/>
      <c r="C169" s="46"/>
      <c r="D169" s="36"/>
      <c r="E169" s="35"/>
      <c r="F169" s="36"/>
      <c r="G169" s="38"/>
      <c r="H169" s="36"/>
      <c r="I169" s="36"/>
      <c r="J169" s="36"/>
      <c r="K169" s="37"/>
      <c r="L169" s="37"/>
    </row>
    <row r="170" spans="1:12" x14ac:dyDescent="0.3">
      <c r="A170" s="53"/>
      <c r="B170" s="36"/>
      <c r="C170" s="46"/>
      <c r="D170" s="36"/>
      <c r="E170" s="35"/>
      <c r="F170" s="36"/>
      <c r="G170" s="38"/>
      <c r="H170" s="36"/>
      <c r="I170" s="36"/>
      <c r="J170" s="36"/>
      <c r="K170" s="37"/>
      <c r="L170" s="37"/>
    </row>
    <row r="171" spans="1:12" x14ac:dyDescent="0.3">
      <c r="A171" s="53"/>
      <c r="B171" s="36"/>
      <c r="C171" s="46"/>
      <c r="D171" s="36"/>
      <c r="E171" s="35"/>
      <c r="F171" s="36"/>
      <c r="G171" s="38"/>
      <c r="H171" s="36"/>
      <c r="I171" s="36"/>
      <c r="J171" s="36"/>
      <c r="K171" s="37"/>
      <c r="L171" s="37"/>
    </row>
    <row r="172" spans="1:12" x14ac:dyDescent="0.3">
      <c r="A172" s="53"/>
      <c r="B172" s="36"/>
      <c r="C172" s="46"/>
      <c r="D172" s="36"/>
      <c r="E172" s="35"/>
      <c r="F172" s="36"/>
      <c r="G172" s="38"/>
      <c r="H172" s="36"/>
      <c r="I172" s="36"/>
      <c r="J172" s="36"/>
      <c r="K172" s="37"/>
      <c r="L172" s="37"/>
    </row>
    <row r="173" spans="1:12" x14ac:dyDescent="0.3">
      <c r="A173" s="53"/>
      <c r="B173" s="36"/>
      <c r="C173" s="46"/>
      <c r="D173" s="36"/>
      <c r="E173" s="35"/>
      <c r="F173" s="36"/>
      <c r="G173" s="38"/>
      <c r="H173" s="36"/>
      <c r="I173" s="36"/>
      <c r="J173" s="36"/>
      <c r="K173" s="37"/>
      <c r="L173" s="37"/>
    </row>
    <row r="174" spans="1:12" x14ac:dyDescent="0.3">
      <c r="A174" s="53"/>
      <c r="B174" s="36"/>
      <c r="C174" s="46"/>
      <c r="D174" s="36"/>
      <c r="E174" s="35"/>
      <c r="F174" s="36"/>
      <c r="G174" s="38"/>
      <c r="H174" s="36"/>
      <c r="I174" s="36"/>
      <c r="J174" s="36"/>
      <c r="K174" s="37"/>
      <c r="L174" s="37"/>
    </row>
    <row r="175" spans="1:12" x14ac:dyDescent="0.3">
      <c r="A175" s="53"/>
      <c r="B175" s="36"/>
      <c r="C175" s="46"/>
      <c r="D175" s="36"/>
      <c r="E175" s="35"/>
      <c r="F175" s="36"/>
      <c r="G175" s="38"/>
      <c r="H175" s="36"/>
      <c r="I175" s="36"/>
      <c r="J175" s="36"/>
      <c r="K175" s="37"/>
      <c r="L175" s="37"/>
    </row>
    <row r="176" spans="1:12" x14ac:dyDescent="0.3">
      <c r="A176" s="53"/>
      <c r="B176" s="36"/>
      <c r="C176" s="46"/>
      <c r="D176" s="36"/>
      <c r="E176" s="35"/>
      <c r="F176" s="36"/>
      <c r="G176" s="38"/>
      <c r="H176" s="36"/>
      <c r="I176" s="36"/>
      <c r="J176" s="36"/>
      <c r="K176" s="37"/>
      <c r="L176" s="37"/>
    </row>
    <row r="177" spans="1:12" x14ac:dyDescent="0.3">
      <c r="A177" s="53"/>
      <c r="B177" s="36"/>
      <c r="C177" s="46"/>
      <c r="D177" s="36"/>
      <c r="E177" s="35"/>
      <c r="F177" s="36"/>
      <c r="G177" s="38"/>
      <c r="H177" s="36"/>
      <c r="I177" s="36"/>
      <c r="J177" s="36"/>
      <c r="K177" s="37"/>
      <c r="L177" s="37"/>
    </row>
    <row r="178" spans="1:12" x14ac:dyDescent="0.3">
      <c r="A178" s="53"/>
      <c r="B178" s="36"/>
      <c r="C178" s="46"/>
      <c r="D178" s="36"/>
      <c r="E178" s="35"/>
      <c r="F178" s="36"/>
      <c r="G178" s="38"/>
      <c r="H178" s="36"/>
      <c r="I178" s="36"/>
      <c r="J178" s="36"/>
      <c r="K178" s="37"/>
      <c r="L178" s="37"/>
    </row>
    <row r="179" spans="1:12" x14ac:dyDescent="0.3">
      <c r="A179" s="53"/>
      <c r="B179" s="36"/>
      <c r="C179" s="46"/>
      <c r="D179" s="36"/>
      <c r="E179" s="35"/>
      <c r="F179" s="36"/>
      <c r="G179" s="38"/>
      <c r="H179" s="36"/>
      <c r="I179" s="36"/>
      <c r="J179" s="36"/>
      <c r="K179" s="37"/>
      <c r="L179" s="37"/>
    </row>
    <row r="180" spans="1:12" x14ac:dyDescent="0.3">
      <c r="A180" s="53"/>
      <c r="B180" s="36"/>
      <c r="C180" s="46"/>
      <c r="D180" s="36"/>
      <c r="E180" s="35"/>
      <c r="F180" s="36"/>
      <c r="G180" s="38"/>
      <c r="H180" s="36"/>
      <c r="I180" s="36"/>
      <c r="J180" s="36"/>
      <c r="K180" s="37"/>
      <c r="L180" s="37"/>
    </row>
    <row r="181" spans="1:12" x14ac:dyDescent="0.3">
      <c r="A181" s="53"/>
      <c r="B181" s="36"/>
      <c r="C181" s="46"/>
      <c r="D181" s="36"/>
      <c r="E181" s="35"/>
      <c r="F181" s="36"/>
      <c r="G181" s="38"/>
      <c r="H181" s="36"/>
      <c r="I181" s="36"/>
      <c r="J181" s="36"/>
      <c r="K181" s="37"/>
      <c r="L181" s="37"/>
    </row>
    <row r="182" spans="1:12" x14ac:dyDescent="0.3">
      <c r="A182" s="53"/>
      <c r="B182" s="36"/>
      <c r="C182" s="46"/>
      <c r="D182" s="36"/>
      <c r="E182" s="35"/>
      <c r="F182" s="36"/>
      <c r="G182" s="38"/>
      <c r="H182" s="36"/>
      <c r="I182" s="36"/>
      <c r="J182" s="36"/>
      <c r="K182" s="37"/>
      <c r="L182" s="37"/>
    </row>
    <row r="183" spans="1:12" x14ac:dyDescent="0.3">
      <c r="A183" s="53"/>
      <c r="B183" s="36"/>
      <c r="C183" s="46"/>
      <c r="D183" s="36"/>
      <c r="E183" s="35"/>
      <c r="F183" s="36"/>
      <c r="G183" s="38"/>
      <c r="H183" s="36"/>
      <c r="I183" s="36"/>
      <c r="J183" s="36"/>
      <c r="K183" s="37"/>
      <c r="L183" s="37"/>
    </row>
    <row r="184" spans="1:12" x14ac:dyDescent="0.3">
      <c r="A184" s="53"/>
      <c r="B184" s="36"/>
      <c r="C184" s="46"/>
      <c r="D184" s="36"/>
      <c r="E184" s="35"/>
      <c r="F184" s="36"/>
      <c r="G184" s="38"/>
      <c r="H184" s="36"/>
      <c r="I184" s="36"/>
      <c r="J184" s="36"/>
      <c r="K184" s="37"/>
      <c r="L184" s="37"/>
    </row>
    <row r="185" spans="1:12" x14ac:dyDescent="0.3">
      <c r="A185" s="53"/>
      <c r="B185" s="36"/>
      <c r="C185" s="46"/>
      <c r="D185" s="36"/>
      <c r="E185" s="35"/>
      <c r="F185" s="36"/>
      <c r="G185" s="38"/>
      <c r="H185" s="36"/>
      <c r="I185" s="36"/>
      <c r="J185" s="36"/>
      <c r="K185" s="37"/>
      <c r="L185" s="37"/>
    </row>
    <row r="186" spans="1:12" x14ac:dyDescent="0.3">
      <c r="A186" s="53"/>
      <c r="B186" s="36"/>
      <c r="C186" s="46"/>
      <c r="D186" s="36"/>
      <c r="E186" s="35"/>
      <c r="F186" s="36"/>
      <c r="G186" s="38"/>
      <c r="H186" s="36"/>
      <c r="I186" s="36"/>
      <c r="J186" s="36"/>
      <c r="K186" s="37"/>
      <c r="L186" s="37"/>
    </row>
    <row r="187" spans="1:12" x14ac:dyDescent="0.3">
      <c r="A187" s="53"/>
      <c r="B187" s="36"/>
      <c r="C187" s="46"/>
      <c r="D187" s="36"/>
      <c r="E187" s="35"/>
      <c r="F187" s="36"/>
      <c r="G187" s="38"/>
      <c r="H187" s="36"/>
      <c r="I187" s="36"/>
      <c r="J187" s="36"/>
      <c r="K187" s="37"/>
      <c r="L187" s="37"/>
    </row>
    <row r="188" spans="1:12" x14ac:dyDescent="0.3">
      <c r="A188" s="53"/>
      <c r="B188" s="36"/>
      <c r="C188" s="46"/>
      <c r="D188" s="36"/>
      <c r="E188" s="35"/>
      <c r="F188" s="36"/>
      <c r="G188" s="38"/>
      <c r="H188" s="36"/>
      <c r="I188" s="36"/>
      <c r="J188" s="36"/>
      <c r="K188" s="37"/>
      <c r="L188" s="37"/>
    </row>
    <row r="189" spans="1:12" x14ac:dyDescent="0.3">
      <c r="A189" s="53"/>
      <c r="B189" s="36"/>
      <c r="C189" s="46"/>
      <c r="D189" s="36"/>
      <c r="E189" s="35"/>
      <c r="F189" s="36"/>
      <c r="G189" s="38"/>
      <c r="H189" s="36"/>
      <c r="I189" s="36"/>
      <c r="J189" s="36"/>
      <c r="K189" s="37"/>
      <c r="L189" s="37"/>
    </row>
    <row r="190" spans="1:12" x14ac:dyDescent="0.3">
      <c r="A190" s="53"/>
      <c r="B190" s="36"/>
      <c r="C190" s="46"/>
      <c r="D190" s="36"/>
      <c r="E190" s="35"/>
      <c r="F190" s="36"/>
      <c r="G190" s="38"/>
      <c r="H190" s="36"/>
      <c r="I190" s="36"/>
      <c r="J190" s="36"/>
      <c r="K190" s="37"/>
      <c r="L190" s="37"/>
    </row>
    <row r="191" spans="1:12" x14ac:dyDescent="0.3">
      <c r="A191" s="53"/>
      <c r="B191" s="36"/>
      <c r="C191" s="46"/>
      <c r="D191" s="36"/>
      <c r="E191" s="35"/>
      <c r="F191" s="36"/>
      <c r="G191" s="38"/>
      <c r="H191" s="36"/>
      <c r="I191" s="36"/>
      <c r="J191" s="36"/>
      <c r="K191" s="37"/>
      <c r="L191" s="37"/>
    </row>
    <row r="192" spans="1:12" x14ac:dyDescent="0.3">
      <c r="A192" s="53"/>
      <c r="B192" s="36"/>
      <c r="C192" s="46"/>
      <c r="D192" s="36"/>
      <c r="E192" s="35"/>
      <c r="F192" s="36"/>
      <c r="G192" s="38"/>
      <c r="H192" s="36"/>
      <c r="I192" s="36"/>
      <c r="J192" s="36"/>
      <c r="K192" s="37"/>
      <c r="L192" s="37"/>
    </row>
    <row r="193" spans="1:12" x14ac:dyDescent="0.3">
      <c r="A193" s="53"/>
      <c r="B193" s="36"/>
      <c r="C193" s="46"/>
      <c r="D193" s="36"/>
      <c r="E193" s="35"/>
      <c r="F193" s="36"/>
      <c r="G193" s="38"/>
      <c r="H193" s="36"/>
      <c r="I193" s="36"/>
      <c r="J193" s="36"/>
      <c r="K193" s="37"/>
      <c r="L193" s="37"/>
    </row>
    <row r="194" spans="1:12" x14ac:dyDescent="0.3">
      <c r="A194" s="53"/>
      <c r="B194" s="36"/>
      <c r="C194" s="46"/>
      <c r="D194" s="36"/>
      <c r="E194" s="35"/>
      <c r="F194" s="36"/>
      <c r="G194" s="38"/>
      <c r="H194" s="36"/>
      <c r="I194" s="36"/>
      <c r="J194" s="36"/>
      <c r="K194" s="37"/>
      <c r="L194" s="37"/>
    </row>
    <row r="195" spans="1:12" x14ac:dyDescent="0.3">
      <c r="A195" s="53"/>
      <c r="B195" s="36"/>
      <c r="C195" s="46"/>
      <c r="D195" s="36"/>
      <c r="E195" s="35"/>
      <c r="F195" s="36"/>
      <c r="G195" s="38"/>
      <c r="H195" s="36"/>
      <c r="I195" s="36"/>
      <c r="J195" s="36"/>
      <c r="K195" s="37"/>
      <c r="L195" s="37"/>
    </row>
    <row r="196" spans="1:12" x14ac:dyDescent="0.3">
      <c r="A196" s="53"/>
      <c r="B196" s="36"/>
      <c r="C196" s="46"/>
      <c r="D196" s="36"/>
      <c r="E196" s="35"/>
      <c r="F196" s="36"/>
      <c r="G196" s="38"/>
      <c r="H196" s="36"/>
      <c r="I196" s="36"/>
      <c r="J196" s="36"/>
      <c r="K196" s="37"/>
      <c r="L196" s="37"/>
    </row>
    <row r="197" spans="1:12" x14ac:dyDescent="0.3">
      <c r="A197" s="53"/>
      <c r="B197" s="36"/>
      <c r="C197" s="46"/>
      <c r="D197" s="36"/>
      <c r="E197" s="35"/>
      <c r="F197" s="36"/>
      <c r="G197" s="38"/>
      <c r="H197" s="36"/>
      <c r="I197" s="36"/>
      <c r="J197" s="36"/>
      <c r="K197" s="37"/>
      <c r="L197" s="37"/>
    </row>
    <row r="198" spans="1:12" x14ac:dyDescent="0.3">
      <c r="A198" s="53"/>
      <c r="B198" s="36"/>
      <c r="C198" s="46"/>
      <c r="D198" s="36"/>
      <c r="E198" s="35"/>
      <c r="F198" s="36"/>
      <c r="G198" s="38"/>
      <c r="H198" s="36"/>
      <c r="I198" s="36"/>
      <c r="J198" s="36"/>
      <c r="K198" s="37"/>
      <c r="L198" s="37"/>
    </row>
    <row r="199" spans="1:12" x14ac:dyDescent="0.3">
      <c r="A199" s="53"/>
      <c r="B199" s="36"/>
      <c r="C199" s="46"/>
      <c r="D199" s="36"/>
      <c r="E199" s="35"/>
      <c r="F199" s="36"/>
      <c r="G199" s="38"/>
      <c r="H199" s="36"/>
      <c r="I199" s="36"/>
      <c r="J199" s="36"/>
      <c r="K199" s="37"/>
      <c r="L199" s="37"/>
    </row>
    <row r="200" spans="1:12" x14ac:dyDescent="0.3">
      <c r="A200" s="53"/>
      <c r="B200" s="36"/>
      <c r="C200" s="46"/>
      <c r="D200" s="36"/>
      <c r="E200" s="35"/>
      <c r="F200" s="36"/>
      <c r="G200" s="38"/>
      <c r="H200" s="36"/>
      <c r="I200" s="36"/>
      <c r="J200" s="36"/>
      <c r="K200" s="37"/>
      <c r="L200" s="37"/>
    </row>
    <row r="201" spans="1:12" x14ac:dyDescent="0.3">
      <c r="A201" s="53"/>
      <c r="B201" s="36"/>
      <c r="C201" s="46"/>
      <c r="D201" s="36"/>
      <c r="E201" s="35"/>
      <c r="F201" s="36"/>
      <c r="G201" s="38"/>
      <c r="H201" s="36"/>
      <c r="I201" s="36"/>
      <c r="J201" s="36"/>
      <c r="K201" s="37"/>
      <c r="L201" s="37"/>
    </row>
    <row r="202" spans="1:12" x14ac:dyDescent="0.3">
      <c r="A202" s="53"/>
      <c r="B202" s="36"/>
      <c r="C202" s="46"/>
      <c r="D202" s="36"/>
      <c r="E202" s="35"/>
      <c r="F202" s="36"/>
      <c r="G202" s="38"/>
      <c r="H202" s="36"/>
      <c r="I202" s="36"/>
      <c r="J202" s="36"/>
      <c r="K202" s="37"/>
      <c r="L202" s="37"/>
    </row>
    <row r="203" spans="1:12" x14ac:dyDescent="0.3">
      <c r="A203" s="53"/>
      <c r="B203" s="36"/>
      <c r="C203" s="46"/>
      <c r="D203" s="36"/>
      <c r="E203" s="35"/>
      <c r="F203" s="36"/>
      <c r="G203" s="38"/>
      <c r="H203" s="36"/>
      <c r="I203" s="36"/>
      <c r="J203" s="36"/>
      <c r="K203" s="37"/>
      <c r="L203" s="37"/>
    </row>
    <row r="204" spans="1:12" x14ac:dyDescent="0.3">
      <c r="A204" s="53"/>
      <c r="B204" s="36"/>
      <c r="C204" s="46"/>
      <c r="D204" s="36"/>
      <c r="E204" s="35"/>
      <c r="F204" s="36"/>
      <c r="G204" s="38"/>
      <c r="H204" s="36"/>
      <c r="I204" s="36"/>
      <c r="J204" s="36"/>
      <c r="K204" s="37"/>
      <c r="L204" s="37"/>
    </row>
    <row r="205" spans="1:12" x14ac:dyDescent="0.3">
      <c r="A205" s="53"/>
      <c r="B205" s="36"/>
      <c r="C205" s="46"/>
      <c r="D205" s="36"/>
      <c r="E205" s="35"/>
      <c r="F205" s="36"/>
      <c r="G205" s="38"/>
      <c r="H205" s="36"/>
      <c r="I205" s="36"/>
      <c r="J205" s="36"/>
      <c r="K205" s="37"/>
      <c r="L205" s="37"/>
    </row>
    <row r="206" spans="1:12" x14ac:dyDescent="0.3">
      <c r="A206" s="53"/>
      <c r="B206" s="36"/>
      <c r="C206" s="46"/>
      <c r="D206" s="36"/>
      <c r="E206" s="35"/>
      <c r="F206" s="36"/>
      <c r="G206" s="38"/>
      <c r="H206" s="36"/>
      <c r="I206" s="36"/>
      <c r="J206" s="36"/>
      <c r="K206" s="37"/>
      <c r="L206" s="37"/>
    </row>
    <row r="207" spans="1:12" x14ac:dyDescent="0.3">
      <c r="A207" s="53"/>
      <c r="B207" s="36"/>
      <c r="C207" s="46"/>
      <c r="D207" s="36"/>
      <c r="E207" s="35"/>
      <c r="F207" s="36"/>
      <c r="G207" s="38"/>
      <c r="H207" s="36"/>
      <c r="I207" s="36"/>
      <c r="J207" s="36"/>
      <c r="K207" s="37"/>
      <c r="L207" s="37"/>
    </row>
    <row r="208" spans="1:12" x14ac:dyDescent="0.3">
      <c r="A208" s="53"/>
      <c r="B208" s="36"/>
      <c r="C208" s="46"/>
      <c r="D208" s="36"/>
      <c r="E208" s="35"/>
      <c r="F208" s="36"/>
      <c r="G208" s="38"/>
      <c r="H208" s="36"/>
      <c r="I208" s="36"/>
      <c r="J208" s="36"/>
      <c r="K208" s="37"/>
      <c r="L208" s="37"/>
    </row>
    <row r="209" spans="1:12" x14ac:dyDescent="0.3">
      <c r="A209" s="51"/>
      <c r="B209" s="36"/>
      <c r="C209" s="46"/>
      <c r="D209" s="36"/>
      <c r="E209" s="35"/>
      <c r="F209" s="36"/>
      <c r="G209" s="38"/>
      <c r="H209" s="36"/>
      <c r="I209" s="36"/>
      <c r="J209" s="36"/>
      <c r="K209" s="37"/>
      <c r="L209" s="37"/>
    </row>
    <row r="210" spans="1:12" x14ac:dyDescent="0.3">
      <c r="A210" s="51"/>
      <c r="B210" s="36"/>
      <c r="C210" s="46"/>
      <c r="D210" s="36"/>
      <c r="E210" s="35"/>
      <c r="F210" s="36"/>
      <c r="G210" s="38"/>
      <c r="H210" s="36"/>
      <c r="I210" s="36"/>
      <c r="J210" s="36"/>
      <c r="K210" s="37"/>
      <c r="L210" s="37"/>
    </row>
    <row r="211" spans="1:12" x14ac:dyDescent="0.3">
      <c r="A211" s="54"/>
      <c r="B211" s="36"/>
      <c r="C211" s="46"/>
      <c r="D211" s="36"/>
      <c r="E211" s="35"/>
      <c r="F211" s="36"/>
      <c r="G211" s="38"/>
      <c r="H211" s="36"/>
      <c r="I211" s="36"/>
      <c r="J211" s="36"/>
      <c r="K211" s="37"/>
      <c r="L211" s="37"/>
    </row>
    <row r="212" spans="1:12" x14ac:dyDescent="0.3">
      <c r="A212" s="54"/>
      <c r="B212" s="36"/>
      <c r="C212" s="46"/>
      <c r="D212" s="36"/>
      <c r="E212" s="35"/>
      <c r="F212" s="36"/>
      <c r="G212" s="38"/>
      <c r="H212" s="36"/>
      <c r="I212" s="36"/>
      <c r="J212" s="36"/>
      <c r="K212" s="37"/>
      <c r="L212" s="37"/>
    </row>
    <row r="213" spans="1:12" x14ac:dyDescent="0.3">
      <c r="A213" s="54"/>
      <c r="B213" s="36"/>
      <c r="C213" s="46"/>
      <c r="D213" s="36"/>
      <c r="E213" s="35"/>
      <c r="F213" s="36"/>
      <c r="G213" s="38"/>
      <c r="H213" s="36"/>
      <c r="I213" s="36"/>
      <c r="J213" s="36"/>
      <c r="K213" s="37"/>
      <c r="L213" s="37"/>
    </row>
    <row r="214" spans="1:12" x14ac:dyDescent="0.3">
      <c r="A214" s="54"/>
      <c r="B214" s="36"/>
      <c r="C214" s="46"/>
      <c r="D214" s="36"/>
      <c r="E214" s="35"/>
      <c r="F214" s="36"/>
      <c r="G214" s="38"/>
      <c r="H214" s="36"/>
      <c r="I214" s="36"/>
      <c r="J214" s="36"/>
      <c r="K214" s="37"/>
      <c r="L214" s="37"/>
    </row>
    <row r="215" spans="1:12" x14ac:dyDescent="0.3">
      <c r="A215" s="55"/>
      <c r="B215" s="36"/>
      <c r="C215" s="46"/>
      <c r="D215" s="36"/>
      <c r="E215" s="35"/>
      <c r="F215" s="36"/>
      <c r="G215" s="38"/>
      <c r="H215" s="36"/>
      <c r="I215" s="36"/>
      <c r="J215" s="36"/>
      <c r="K215" s="37"/>
      <c r="L215" s="37"/>
    </row>
    <row r="216" spans="1:12" x14ac:dyDescent="0.3">
      <c r="A216" s="56"/>
      <c r="B216" s="36"/>
      <c r="C216" s="46"/>
      <c r="D216" s="36"/>
      <c r="E216" s="35"/>
      <c r="F216" s="36"/>
      <c r="G216" s="38"/>
      <c r="H216" s="36"/>
      <c r="I216" s="36"/>
      <c r="J216" s="36"/>
      <c r="K216" s="37"/>
      <c r="L216" s="37"/>
    </row>
    <row r="217" spans="1:12" x14ac:dyDescent="0.3">
      <c r="A217" s="57"/>
      <c r="B217" s="36"/>
      <c r="C217" s="46"/>
      <c r="D217" s="36"/>
      <c r="E217" s="35"/>
      <c r="F217" s="36"/>
      <c r="G217" s="38"/>
      <c r="H217" s="36"/>
      <c r="I217" s="36"/>
      <c r="J217" s="36"/>
      <c r="K217" s="37"/>
      <c r="L217" s="37"/>
    </row>
    <row r="218" spans="1:12" x14ac:dyDescent="0.3">
      <c r="A218" s="58"/>
      <c r="B218" s="36"/>
      <c r="C218" s="46"/>
      <c r="D218" s="36"/>
      <c r="E218" s="35"/>
      <c r="F218" s="36"/>
      <c r="G218" s="38"/>
      <c r="H218" s="36"/>
      <c r="I218" s="36"/>
      <c r="J218" s="36"/>
      <c r="K218" s="37"/>
      <c r="L218" s="37"/>
    </row>
    <row r="219" spans="1:12" x14ac:dyDescent="0.3">
      <c r="A219" s="58"/>
      <c r="B219" s="36"/>
      <c r="C219" s="46"/>
      <c r="D219" s="36"/>
      <c r="E219" s="35"/>
      <c r="F219" s="36"/>
      <c r="G219" s="38"/>
      <c r="H219" s="36"/>
      <c r="I219" s="36"/>
      <c r="J219" s="36"/>
      <c r="K219" s="37"/>
      <c r="L219" s="37"/>
    </row>
    <row r="220" spans="1:12" x14ac:dyDescent="0.3">
      <c r="A220" s="58"/>
      <c r="B220" s="36"/>
      <c r="C220" s="46"/>
      <c r="D220" s="36"/>
      <c r="E220" s="35"/>
      <c r="F220" s="36"/>
      <c r="G220" s="38"/>
      <c r="H220" s="36"/>
      <c r="I220" s="36"/>
      <c r="J220" s="36"/>
      <c r="K220" s="37"/>
      <c r="L220" s="37"/>
    </row>
    <row r="221" spans="1:12" x14ac:dyDescent="0.3">
      <c r="A221" s="58"/>
      <c r="B221" s="36"/>
      <c r="C221" s="46"/>
      <c r="D221" s="36"/>
      <c r="E221" s="35"/>
      <c r="F221" s="36"/>
      <c r="G221" s="38"/>
      <c r="H221" s="36"/>
      <c r="I221" s="36"/>
      <c r="J221" s="36"/>
      <c r="K221" s="37"/>
      <c r="L221" s="37"/>
    </row>
    <row r="222" spans="1:12" x14ac:dyDescent="0.3">
      <c r="A222" s="58"/>
      <c r="B222" s="36"/>
      <c r="C222" s="46"/>
      <c r="D222" s="36"/>
      <c r="E222" s="35"/>
      <c r="F222" s="36"/>
      <c r="G222" s="38"/>
      <c r="H222" s="36"/>
      <c r="I222" s="36"/>
      <c r="J222" s="36"/>
      <c r="K222" s="37"/>
      <c r="L222" s="37"/>
    </row>
    <row r="223" spans="1:12" x14ac:dyDescent="0.3">
      <c r="A223" s="58"/>
      <c r="B223" s="36"/>
      <c r="C223" s="46"/>
      <c r="D223" s="36"/>
      <c r="E223" s="35"/>
      <c r="F223" s="36"/>
      <c r="G223" s="38"/>
      <c r="H223" s="36"/>
      <c r="I223" s="36"/>
      <c r="J223" s="36"/>
      <c r="K223" s="37"/>
      <c r="L223" s="37"/>
    </row>
    <row r="224" spans="1:12" x14ac:dyDescent="0.3">
      <c r="A224" s="58"/>
      <c r="B224" s="36"/>
      <c r="C224" s="46"/>
      <c r="D224" s="36"/>
      <c r="E224" s="35"/>
      <c r="F224" s="36"/>
      <c r="G224" s="38"/>
      <c r="H224" s="36"/>
      <c r="I224" s="36"/>
      <c r="J224" s="36"/>
      <c r="K224" s="37"/>
      <c r="L224" s="37"/>
    </row>
    <row r="225" spans="1:12" x14ac:dyDescent="0.3">
      <c r="A225" s="58"/>
      <c r="B225" s="36"/>
      <c r="C225" s="46"/>
      <c r="D225" s="36"/>
      <c r="E225" s="35"/>
      <c r="F225" s="36"/>
      <c r="G225" s="38"/>
      <c r="H225" s="36"/>
      <c r="I225" s="36"/>
      <c r="J225" s="36"/>
      <c r="K225" s="37"/>
      <c r="L225" s="37"/>
    </row>
    <row r="226" spans="1:12" x14ac:dyDescent="0.3">
      <c r="A226" s="58"/>
      <c r="B226" s="36"/>
      <c r="C226" s="46"/>
      <c r="D226" s="36"/>
      <c r="E226" s="35"/>
      <c r="F226" s="36"/>
      <c r="G226" s="38"/>
      <c r="H226" s="36"/>
      <c r="I226" s="36"/>
      <c r="J226" s="36"/>
      <c r="K226" s="37"/>
      <c r="L226" s="37"/>
    </row>
    <row r="227" spans="1:12" x14ac:dyDescent="0.3">
      <c r="A227" s="58"/>
      <c r="B227" s="36"/>
      <c r="C227" s="46"/>
      <c r="D227" s="36"/>
      <c r="E227" s="35"/>
      <c r="F227" s="36"/>
      <c r="G227" s="38"/>
      <c r="H227" s="36"/>
      <c r="I227" s="36"/>
      <c r="J227" s="36"/>
      <c r="K227" s="37"/>
      <c r="L227" s="37"/>
    </row>
    <row r="228" spans="1:12" x14ac:dyDescent="0.3">
      <c r="A228" s="58"/>
      <c r="B228" s="36"/>
      <c r="C228" s="46"/>
      <c r="D228" s="36"/>
      <c r="E228" s="35"/>
      <c r="F228" s="36"/>
      <c r="G228" s="38"/>
      <c r="H228" s="36"/>
      <c r="I228" s="36"/>
      <c r="J228" s="36"/>
      <c r="K228" s="37"/>
      <c r="L228" s="37"/>
    </row>
    <row r="229" spans="1:12" x14ac:dyDescent="0.3">
      <c r="A229" s="58"/>
      <c r="B229" s="36"/>
      <c r="C229" s="46"/>
      <c r="D229" s="36"/>
      <c r="E229" s="35"/>
      <c r="F229" s="36"/>
      <c r="G229" s="38"/>
      <c r="H229" s="36"/>
      <c r="I229" s="36"/>
      <c r="J229" s="36"/>
      <c r="K229" s="37"/>
      <c r="L229" s="37"/>
    </row>
    <row r="230" spans="1:12" x14ac:dyDescent="0.3">
      <c r="A230" s="58"/>
      <c r="B230" s="36"/>
      <c r="C230" s="46"/>
      <c r="D230" s="36"/>
      <c r="E230" s="35"/>
      <c r="F230" s="36"/>
      <c r="G230" s="38"/>
      <c r="H230" s="36"/>
      <c r="I230" s="36"/>
      <c r="J230" s="36"/>
      <c r="K230" s="37"/>
      <c r="L230" s="37"/>
    </row>
    <row r="231" spans="1:12" x14ac:dyDescent="0.3">
      <c r="A231" s="58"/>
      <c r="B231" s="36"/>
      <c r="C231" s="46"/>
      <c r="D231" s="36"/>
      <c r="E231" s="35"/>
      <c r="F231" s="36"/>
      <c r="G231" s="38"/>
      <c r="H231" s="36"/>
      <c r="I231" s="36"/>
      <c r="J231" s="36"/>
      <c r="K231" s="37"/>
      <c r="L231" s="37"/>
    </row>
    <row r="232" spans="1:12" x14ac:dyDescent="0.3">
      <c r="A232" s="58"/>
      <c r="B232" s="36"/>
      <c r="C232" s="46"/>
      <c r="D232" s="36"/>
      <c r="E232" s="35"/>
      <c r="F232" s="36"/>
      <c r="G232" s="38"/>
      <c r="H232" s="36"/>
      <c r="I232" s="36"/>
      <c r="J232" s="36"/>
      <c r="K232" s="37"/>
      <c r="L232" s="37"/>
    </row>
    <row r="233" spans="1:12" x14ac:dyDescent="0.3">
      <c r="A233" s="58"/>
      <c r="B233" s="36"/>
      <c r="C233" s="46"/>
      <c r="D233" s="36"/>
      <c r="E233" s="35"/>
      <c r="F233" s="36"/>
      <c r="G233" s="38"/>
      <c r="H233" s="36"/>
      <c r="I233" s="36"/>
      <c r="J233" s="36"/>
      <c r="K233" s="37"/>
      <c r="L233" s="37"/>
    </row>
    <row r="234" spans="1:12" x14ac:dyDescent="0.3">
      <c r="A234" s="58"/>
      <c r="B234" s="36"/>
      <c r="C234" s="46"/>
      <c r="D234" s="36"/>
      <c r="E234" s="35"/>
      <c r="F234" s="36"/>
      <c r="G234" s="38"/>
      <c r="H234" s="36"/>
      <c r="I234" s="36"/>
      <c r="J234" s="36"/>
      <c r="K234" s="37"/>
      <c r="L234" s="37"/>
    </row>
    <row r="235" spans="1:12" x14ac:dyDescent="0.3">
      <c r="A235" s="58"/>
      <c r="B235" s="36"/>
      <c r="C235" s="46"/>
      <c r="D235" s="36"/>
      <c r="E235" s="35"/>
      <c r="F235" s="36"/>
      <c r="G235" s="38"/>
      <c r="H235" s="36"/>
      <c r="I235" s="36"/>
      <c r="J235" s="36"/>
      <c r="K235" s="37"/>
      <c r="L235" s="37"/>
    </row>
    <row r="236" spans="1:12" x14ac:dyDescent="0.3">
      <c r="A236" s="58"/>
      <c r="B236" s="36"/>
      <c r="C236" s="46"/>
      <c r="D236" s="36"/>
      <c r="E236" s="35"/>
      <c r="F236" s="36"/>
      <c r="G236" s="38"/>
      <c r="H236" s="36"/>
      <c r="I236" s="36"/>
      <c r="J236" s="36"/>
      <c r="K236" s="37"/>
      <c r="L236" s="37"/>
    </row>
    <row r="237" spans="1:12" x14ac:dyDescent="0.3">
      <c r="A237" s="58"/>
      <c r="B237" s="36"/>
      <c r="C237" s="46"/>
      <c r="D237" s="36"/>
      <c r="E237" s="35"/>
      <c r="F237" s="36"/>
      <c r="G237" s="38"/>
      <c r="H237" s="36"/>
      <c r="I237" s="36"/>
      <c r="J237" s="36"/>
      <c r="K237" s="37"/>
      <c r="L237" s="37"/>
    </row>
    <row r="238" spans="1:12" x14ac:dyDescent="0.3">
      <c r="A238" s="58"/>
      <c r="B238" s="36"/>
      <c r="C238" s="46"/>
      <c r="D238" s="36"/>
      <c r="E238" s="35"/>
      <c r="F238" s="36"/>
      <c r="G238" s="38"/>
      <c r="H238" s="36"/>
      <c r="I238" s="36"/>
      <c r="J238" s="36"/>
      <c r="K238" s="37"/>
      <c r="L238" s="37"/>
    </row>
    <row r="239" spans="1:12" x14ac:dyDescent="0.3">
      <c r="A239" s="58"/>
      <c r="B239" s="36"/>
      <c r="C239" s="46"/>
      <c r="D239" s="36"/>
      <c r="E239" s="35"/>
      <c r="F239" s="36"/>
      <c r="G239" s="38"/>
      <c r="H239" s="36"/>
      <c r="I239" s="36"/>
      <c r="J239" s="36"/>
      <c r="K239" s="37"/>
      <c r="L239" s="37"/>
    </row>
    <row r="240" spans="1:12" x14ac:dyDescent="0.3">
      <c r="A240" s="51"/>
      <c r="B240" s="36"/>
      <c r="C240" s="46"/>
      <c r="D240" s="36"/>
      <c r="E240" s="35"/>
      <c r="F240" s="36"/>
      <c r="G240" s="38"/>
      <c r="H240" s="36"/>
      <c r="I240" s="36"/>
      <c r="J240" s="36"/>
      <c r="K240" s="37"/>
      <c r="L240" s="37"/>
    </row>
    <row r="241" spans="1:12" x14ac:dyDescent="0.3">
      <c r="A241" s="51"/>
      <c r="B241" s="36"/>
      <c r="C241" s="46"/>
      <c r="D241" s="36"/>
      <c r="E241" s="35"/>
      <c r="F241" s="36"/>
      <c r="G241" s="38"/>
      <c r="H241" s="36"/>
      <c r="I241" s="36"/>
      <c r="J241" s="36"/>
      <c r="K241" s="37"/>
      <c r="L241" s="37"/>
    </row>
    <row r="242" spans="1:12" x14ac:dyDescent="0.3">
      <c r="A242" s="51"/>
      <c r="B242" s="36"/>
      <c r="C242" s="46"/>
      <c r="D242" s="36"/>
      <c r="E242" s="35"/>
      <c r="F242" s="36"/>
      <c r="G242" s="38"/>
      <c r="H242" s="36"/>
      <c r="I242" s="36"/>
      <c r="J242" s="36"/>
      <c r="K242" s="37"/>
      <c r="L242" s="37"/>
    </row>
    <row r="243" spans="1:12" x14ac:dyDescent="0.3">
      <c r="A243" s="51"/>
      <c r="B243" s="36"/>
      <c r="C243" s="46"/>
      <c r="D243" s="36"/>
      <c r="E243" s="35"/>
      <c r="F243" s="36"/>
      <c r="G243" s="38"/>
      <c r="H243" s="36"/>
      <c r="I243" s="36"/>
      <c r="J243" s="36"/>
      <c r="K243" s="37"/>
      <c r="L243" s="37"/>
    </row>
    <row r="244" spans="1:12" x14ac:dyDescent="0.3">
      <c r="A244" s="51"/>
      <c r="B244" s="36"/>
      <c r="C244" s="46"/>
      <c r="D244" s="36"/>
      <c r="E244" s="35"/>
      <c r="F244" s="36"/>
      <c r="G244" s="38"/>
      <c r="H244" s="36"/>
      <c r="I244" s="36"/>
      <c r="J244" s="36"/>
      <c r="K244" s="37"/>
      <c r="L244" s="37"/>
    </row>
    <row r="245" spans="1:12" x14ac:dyDescent="0.3">
      <c r="A245" s="51"/>
      <c r="B245" s="36"/>
      <c r="C245" s="46"/>
      <c r="D245" s="36"/>
      <c r="E245" s="35"/>
      <c r="F245" s="36"/>
      <c r="G245" s="38"/>
      <c r="H245" s="36"/>
      <c r="I245" s="36"/>
      <c r="J245" s="36"/>
      <c r="K245" s="37"/>
      <c r="L245" s="37"/>
    </row>
    <row r="246" spans="1:12" x14ac:dyDescent="0.3">
      <c r="A246" s="51"/>
      <c r="B246" s="36"/>
      <c r="C246" s="46"/>
      <c r="D246" s="36"/>
      <c r="E246" s="35"/>
      <c r="F246" s="36"/>
      <c r="G246" s="38"/>
      <c r="H246" s="36"/>
      <c r="I246" s="36"/>
      <c r="J246" s="36"/>
      <c r="K246" s="37"/>
      <c r="L246" s="37"/>
    </row>
    <row r="247" spans="1:12" x14ac:dyDescent="0.3">
      <c r="A247" s="51"/>
      <c r="B247" s="36"/>
      <c r="C247" s="46"/>
      <c r="D247" s="36"/>
      <c r="E247" s="35"/>
      <c r="F247" s="36"/>
      <c r="G247" s="38"/>
      <c r="H247" s="36"/>
      <c r="I247" s="36"/>
      <c r="J247" s="36"/>
      <c r="K247" s="37"/>
      <c r="L247" s="37"/>
    </row>
    <row r="248" spans="1:12" x14ac:dyDescent="0.3">
      <c r="A248" s="51"/>
      <c r="B248" s="36"/>
      <c r="C248" s="46"/>
      <c r="D248" s="36"/>
      <c r="E248" s="35"/>
      <c r="F248" s="36"/>
      <c r="G248" s="38"/>
      <c r="H248" s="36"/>
      <c r="I248" s="36"/>
      <c r="J248" s="36"/>
      <c r="K248" s="37"/>
      <c r="L248" s="37"/>
    </row>
    <row r="249" spans="1:12" x14ac:dyDescent="0.3">
      <c r="A249" s="51"/>
      <c r="B249" s="36"/>
      <c r="C249" s="46"/>
      <c r="D249" s="36"/>
      <c r="E249" s="35"/>
      <c r="F249" s="36"/>
      <c r="G249" s="38"/>
      <c r="H249" s="36"/>
      <c r="I249" s="36"/>
      <c r="J249" s="36"/>
      <c r="K249" s="37"/>
      <c r="L249" s="37"/>
    </row>
    <row r="250" spans="1:12" x14ac:dyDescent="0.3">
      <c r="A250" s="51"/>
      <c r="B250" s="36"/>
      <c r="C250" s="46"/>
      <c r="D250" s="36"/>
      <c r="E250" s="35"/>
      <c r="F250" s="36"/>
      <c r="G250" s="38"/>
      <c r="H250" s="36"/>
      <c r="I250" s="36"/>
      <c r="J250" s="36"/>
      <c r="K250" s="37"/>
      <c r="L250" s="37"/>
    </row>
    <row r="251" spans="1:12" x14ac:dyDescent="0.3">
      <c r="A251" s="51"/>
      <c r="B251" s="36"/>
      <c r="C251" s="46"/>
      <c r="D251" s="36"/>
      <c r="E251" s="35"/>
      <c r="F251" s="36"/>
      <c r="G251" s="38"/>
      <c r="H251" s="36"/>
      <c r="I251" s="36"/>
      <c r="J251" s="36"/>
      <c r="K251" s="37"/>
      <c r="L251" s="37"/>
    </row>
    <row r="252" spans="1:12" x14ac:dyDescent="0.3">
      <c r="A252" s="51"/>
      <c r="B252" s="36"/>
      <c r="C252" s="46"/>
      <c r="D252" s="36"/>
      <c r="E252" s="35"/>
      <c r="F252" s="36"/>
      <c r="G252" s="38"/>
      <c r="H252" s="36"/>
      <c r="I252" s="36"/>
      <c r="J252" s="36"/>
      <c r="K252" s="37"/>
      <c r="L252" s="37"/>
    </row>
    <row r="253" spans="1:12" x14ac:dyDescent="0.3">
      <c r="A253" s="51"/>
      <c r="B253" s="36"/>
      <c r="C253" s="46"/>
      <c r="D253" s="36"/>
      <c r="E253" s="35"/>
      <c r="F253" s="36"/>
      <c r="G253" s="38"/>
      <c r="H253" s="36"/>
      <c r="I253" s="36"/>
      <c r="J253" s="36"/>
      <c r="K253" s="37"/>
      <c r="L253" s="37"/>
    </row>
    <row r="254" spans="1:12" x14ac:dyDescent="0.3">
      <c r="A254" s="51"/>
      <c r="B254" s="36"/>
      <c r="C254" s="46"/>
      <c r="D254" s="36"/>
      <c r="E254" s="35"/>
      <c r="F254" s="36"/>
      <c r="G254" s="38"/>
      <c r="H254" s="36"/>
      <c r="I254" s="36"/>
      <c r="J254" s="36"/>
      <c r="K254" s="37"/>
      <c r="L254" s="37"/>
    </row>
    <row r="255" spans="1:12" x14ac:dyDescent="0.3">
      <c r="A255" s="51"/>
      <c r="B255" s="36"/>
      <c r="C255" s="46"/>
      <c r="D255" s="36"/>
      <c r="E255" s="35"/>
      <c r="F255" s="36"/>
      <c r="G255" s="38"/>
      <c r="H255" s="36"/>
      <c r="I255" s="36"/>
      <c r="J255" s="36"/>
      <c r="K255" s="37"/>
      <c r="L255" s="37"/>
    </row>
    <row r="256" spans="1:12" x14ac:dyDescent="0.3">
      <c r="A256" s="51"/>
      <c r="B256" s="36"/>
      <c r="C256" s="46"/>
      <c r="D256" s="36"/>
      <c r="E256" s="35"/>
      <c r="F256" s="36"/>
      <c r="G256" s="38"/>
      <c r="H256" s="36"/>
      <c r="I256" s="36"/>
      <c r="J256" s="36"/>
      <c r="K256" s="37"/>
      <c r="L256" s="37"/>
    </row>
    <row r="257" spans="1:12" x14ac:dyDescent="0.3">
      <c r="A257" s="51"/>
      <c r="B257" s="36"/>
      <c r="C257" s="36"/>
      <c r="D257" s="36"/>
      <c r="E257" s="35"/>
      <c r="F257" s="36"/>
      <c r="G257" s="47"/>
      <c r="H257" s="49"/>
      <c r="I257" s="36"/>
      <c r="J257" s="36"/>
      <c r="K257" s="37"/>
      <c r="L257" s="37"/>
    </row>
    <row r="258" spans="1:12" x14ac:dyDescent="0.3">
      <c r="A258" s="51"/>
      <c r="B258" s="36"/>
      <c r="C258" s="36"/>
      <c r="D258" s="36"/>
      <c r="E258" s="35"/>
      <c r="F258" s="36"/>
      <c r="G258" s="47"/>
      <c r="H258" s="49"/>
      <c r="I258" s="37"/>
      <c r="J258" s="36"/>
      <c r="K258" s="37"/>
      <c r="L258" s="37"/>
    </row>
    <row r="259" spans="1:12" x14ac:dyDescent="0.3">
      <c r="A259" s="50"/>
      <c r="B259" s="49"/>
      <c r="C259" s="49"/>
      <c r="D259" s="49"/>
      <c r="E259" s="48"/>
      <c r="F259" s="49"/>
      <c r="G259" s="48"/>
      <c r="H259" s="49"/>
      <c r="I259" s="49"/>
      <c r="J259" s="36"/>
      <c r="K259" s="37"/>
      <c r="L259" s="37"/>
    </row>
    <row r="260" spans="1:12" x14ac:dyDescent="0.3">
      <c r="A260" s="50"/>
      <c r="B260" s="49"/>
      <c r="C260" s="49"/>
      <c r="D260" s="49"/>
      <c r="E260" s="48"/>
      <c r="F260" s="49"/>
      <c r="G260" s="48"/>
      <c r="H260" s="49"/>
      <c r="I260" s="49"/>
      <c r="J260" s="36"/>
      <c r="K260" s="37"/>
      <c r="L260" s="37"/>
    </row>
    <row r="261" spans="1:12" x14ac:dyDescent="0.3">
      <c r="A261" s="50"/>
      <c r="B261" s="49"/>
      <c r="C261" s="49"/>
      <c r="D261" s="49"/>
      <c r="E261" s="48"/>
      <c r="F261" s="49"/>
      <c r="G261" s="48"/>
      <c r="H261" s="49"/>
      <c r="I261" s="49"/>
      <c r="J261" s="36"/>
      <c r="K261" s="37"/>
      <c r="L261" s="37"/>
    </row>
    <row r="262" spans="1:12" x14ac:dyDescent="0.3">
      <c r="A262" s="51"/>
      <c r="B262" s="36"/>
      <c r="C262" s="36"/>
      <c r="D262" s="36"/>
      <c r="E262" s="35"/>
      <c r="F262" s="36"/>
      <c r="G262" s="38"/>
      <c r="H262" s="36"/>
      <c r="I262" s="37"/>
      <c r="J262" s="36"/>
      <c r="K262" s="37"/>
      <c r="L262" s="37"/>
    </row>
    <row r="263" spans="1:12" x14ac:dyDescent="0.3">
      <c r="A263" s="51"/>
      <c r="B263" s="36"/>
      <c r="C263" s="36"/>
      <c r="D263" s="36"/>
      <c r="E263" s="35"/>
      <c r="F263" s="36"/>
      <c r="G263" s="38"/>
      <c r="H263" s="36"/>
      <c r="I263" s="37"/>
      <c r="J263" s="36"/>
      <c r="K263" s="37"/>
      <c r="L263" s="37"/>
    </row>
    <row r="264" spans="1:12" x14ac:dyDescent="0.3">
      <c r="A264" s="51"/>
      <c r="B264" s="36"/>
      <c r="C264" s="36"/>
      <c r="D264" s="36"/>
      <c r="E264" s="35"/>
      <c r="F264" s="36"/>
      <c r="G264" s="38"/>
      <c r="H264" s="36"/>
      <c r="I264" s="37"/>
      <c r="J264" s="36"/>
      <c r="K264" s="37"/>
      <c r="L264" s="37"/>
    </row>
    <row r="265" spans="1:12" x14ac:dyDescent="0.3">
      <c r="A265" s="51"/>
      <c r="B265" s="36"/>
      <c r="C265" s="36"/>
      <c r="D265" s="36"/>
      <c r="E265" s="35"/>
      <c r="F265" s="36"/>
      <c r="G265" s="38"/>
      <c r="H265" s="36"/>
      <c r="I265" s="37"/>
      <c r="J265" s="36"/>
      <c r="K265" s="37"/>
      <c r="L265" s="37"/>
    </row>
    <row r="266" spans="1:12" x14ac:dyDescent="0.3">
      <c r="A266" s="51"/>
      <c r="B266" s="36"/>
      <c r="C266" s="36"/>
      <c r="D266" s="36"/>
      <c r="E266" s="35"/>
      <c r="F266" s="36"/>
      <c r="G266" s="38"/>
      <c r="H266" s="36"/>
      <c r="I266" s="37"/>
      <c r="J266" s="36"/>
      <c r="K266" s="37"/>
      <c r="L266" s="37"/>
    </row>
    <row r="267" spans="1:12" x14ac:dyDescent="0.3">
      <c r="A267" s="51"/>
      <c r="B267" s="36"/>
      <c r="C267" s="36"/>
      <c r="D267" s="36"/>
      <c r="E267" s="35"/>
      <c r="F267" s="36"/>
      <c r="G267" s="38"/>
      <c r="H267" s="36"/>
      <c r="I267" s="37"/>
      <c r="J267" s="36"/>
      <c r="K267" s="37"/>
      <c r="L267" s="37"/>
    </row>
    <row r="268" spans="1:12" x14ac:dyDescent="0.3">
      <c r="A268" s="51"/>
      <c r="B268" s="36"/>
      <c r="C268" s="36"/>
      <c r="D268" s="36"/>
      <c r="E268" s="35"/>
      <c r="F268" s="36"/>
      <c r="G268" s="38"/>
      <c r="H268" s="36"/>
      <c r="I268" s="37"/>
      <c r="J268" s="36"/>
      <c r="K268" s="37"/>
      <c r="L268" s="37"/>
    </row>
    <row r="269" spans="1:12" x14ac:dyDescent="0.3">
      <c r="A269" s="51"/>
      <c r="B269" s="36"/>
      <c r="C269" s="36"/>
      <c r="D269" s="36"/>
      <c r="E269" s="35"/>
      <c r="F269" s="36"/>
      <c r="G269" s="38"/>
      <c r="H269" s="36"/>
      <c r="I269" s="37"/>
      <c r="J269" s="36"/>
      <c r="K269" s="37"/>
      <c r="L269" s="37"/>
    </row>
    <row r="270" spans="1:12" x14ac:dyDescent="0.3">
      <c r="A270" s="51"/>
      <c r="B270" s="36"/>
      <c r="C270" s="36"/>
      <c r="D270" s="36"/>
      <c r="E270" s="35"/>
      <c r="F270" s="36"/>
      <c r="G270" s="38"/>
      <c r="H270" s="36"/>
      <c r="I270" s="37"/>
      <c r="J270" s="36"/>
      <c r="K270" s="37"/>
      <c r="L270" s="37"/>
    </row>
    <row r="271" spans="1:12" x14ac:dyDescent="0.3">
      <c r="A271" s="51"/>
      <c r="B271" s="36"/>
      <c r="C271" s="36"/>
      <c r="D271" s="36"/>
      <c r="E271" s="35"/>
      <c r="F271" s="36"/>
      <c r="G271" s="38"/>
      <c r="H271" s="36"/>
      <c r="I271" s="37"/>
      <c r="J271" s="36"/>
      <c r="K271" s="37"/>
      <c r="L271" s="37"/>
    </row>
    <row r="272" spans="1:12" x14ac:dyDescent="0.3">
      <c r="A272" s="51"/>
      <c r="B272" s="36"/>
      <c r="C272" s="36"/>
      <c r="D272" s="36"/>
      <c r="E272" s="35"/>
      <c r="F272" s="36"/>
      <c r="G272" s="38"/>
      <c r="H272" s="36"/>
      <c r="I272" s="37"/>
      <c r="J272" s="36"/>
      <c r="K272" s="37"/>
      <c r="L272" s="37"/>
    </row>
    <row r="273" spans="1:12" x14ac:dyDescent="0.3">
      <c r="A273" s="51"/>
      <c r="B273" s="36"/>
      <c r="C273" s="36"/>
      <c r="D273" s="36"/>
      <c r="E273" s="35"/>
      <c r="F273" s="36"/>
      <c r="G273" s="38"/>
      <c r="H273" s="36"/>
      <c r="I273" s="37"/>
      <c r="J273" s="36"/>
      <c r="K273" s="37"/>
      <c r="L273" s="37"/>
    </row>
    <row r="274" spans="1:12" x14ac:dyDescent="0.3">
      <c r="A274" s="51"/>
      <c r="B274" s="36"/>
      <c r="C274" s="36"/>
      <c r="D274" s="36"/>
      <c r="E274" s="35"/>
      <c r="F274" s="36"/>
      <c r="G274" s="38"/>
      <c r="H274" s="36"/>
      <c r="I274" s="37"/>
      <c r="J274" s="36"/>
      <c r="K274" s="37"/>
      <c r="L274" s="37"/>
    </row>
    <row r="275" spans="1:12" x14ac:dyDescent="0.3">
      <c r="A275" s="51"/>
      <c r="B275" s="36"/>
      <c r="C275" s="36"/>
      <c r="D275" s="36"/>
      <c r="E275" s="35"/>
      <c r="F275" s="36"/>
      <c r="G275" s="38"/>
      <c r="H275" s="36"/>
      <c r="I275" s="37"/>
      <c r="J275" s="36"/>
      <c r="K275" s="37"/>
      <c r="L275" s="37"/>
    </row>
    <row r="276" spans="1:12" x14ac:dyDescent="0.3">
      <c r="A276" s="51"/>
      <c r="B276" s="36"/>
      <c r="C276" s="36"/>
      <c r="D276" s="36"/>
      <c r="E276" s="35"/>
      <c r="F276" s="36"/>
      <c r="G276" s="38"/>
      <c r="H276" s="36"/>
      <c r="I276" s="37"/>
      <c r="J276" s="36"/>
      <c r="K276" s="37"/>
      <c r="L276" s="37"/>
    </row>
    <row r="277" spans="1:12" x14ac:dyDescent="0.3">
      <c r="A277" s="51"/>
      <c r="B277" s="36"/>
      <c r="C277" s="36"/>
      <c r="D277" s="36"/>
      <c r="E277" s="35"/>
      <c r="F277" s="36"/>
      <c r="G277" s="38"/>
      <c r="H277" s="36"/>
      <c r="I277" s="37"/>
      <c r="J277" s="36"/>
      <c r="K277" s="37"/>
      <c r="L277" s="37"/>
    </row>
    <row r="278" spans="1:12" x14ac:dyDescent="0.3">
      <c r="A278" s="51"/>
      <c r="B278" s="36"/>
      <c r="C278" s="36"/>
      <c r="D278" s="36"/>
      <c r="E278" s="35"/>
      <c r="F278" s="36"/>
      <c r="G278" s="38"/>
      <c r="H278" s="36"/>
      <c r="I278" s="37"/>
      <c r="J278" s="36"/>
      <c r="K278" s="37"/>
      <c r="L278" s="37"/>
    </row>
    <row r="279" spans="1:12" x14ac:dyDescent="0.3">
      <c r="A279" s="51"/>
      <c r="B279" s="36"/>
      <c r="C279" s="36"/>
      <c r="D279" s="36"/>
      <c r="E279" s="35"/>
      <c r="F279" s="36"/>
      <c r="G279" s="38"/>
      <c r="H279" s="36"/>
      <c r="I279" s="37"/>
      <c r="J279" s="36"/>
      <c r="K279" s="37"/>
      <c r="L279" s="37"/>
    </row>
    <row r="280" spans="1:12" x14ac:dyDescent="0.3">
      <c r="A280" s="51"/>
      <c r="B280" s="36"/>
      <c r="C280" s="36"/>
      <c r="D280" s="36"/>
      <c r="E280" s="35"/>
      <c r="F280" s="36"/>
      <c r="G280" s="38"/>
      <c r="H280" s="36"/>
      <c r="I280" s="37"/>
      <c r="J280" s="36"/>
      <c r="K280" s="37"/>
      <c r="L280" s="37"/>
    </row>
    <row r="281" spans="1:12" x14ac:dyDescent="0.3">
      <c r="A281" s="51"/>
      <c r="B281" s="36"/>
      <c r="C281" s="36"/>
      <c r="D281" s="36"/>
      <c r="E281" s="35"/>
      <c r="F281" s="36"/>
      <c r="G281" s="38"/>
      <c r="H281" s="36"/>
      <c r="I281" s="37"/>
      <c r="J281" s="36"/>
      <c r="K281" s="37"/>
      <c r="L281" s="37"/>
    </row>
    <row r="282" spans="1:12" x14ac:dyDescent="0.3">
      <c r="A282" s="51"/>
      <c r="B282" s="36"/>
      <c r="C282" s="36"/>
      <c r="D282" s="36"/>
      <c r="E282" s="35"/>
      <c r="F282" s="36"/>
      <c r="G282" s="38"/>
      <c r="H282" s="36"/>
      <c r="I282" s="37"/>
      <c r="J282" s="36"/>
      <c r="K282" s="37"/>
      <c r="L282" s="37"/>
    </row>
    <row r="283" spans="1:12" x14ac:dyDescent="0.3">
      <c r="A283" s="51"/>
      <c r="B283" s="36"/>
      <c r="C283" s="36"/>
      <c r="D283" s="36"/>
      <c r="E283" s="35"/>
      <c r="F283" s="36"/>
      <c r="G283" s="38"/>
      <c r="H283" s="36"/>
      <c r="I283" s="37"/>
      <c r="J283" s="36"/>
      <c r="K283" s="37"/>
      <c r="L283" s="37"/>
    </row>
    <row r="284" spans="1:12" x14ac:dyDescent="0.3">
      <c r="A284" s="51"/>
      <c r="B284" s="36"/>
      <c r="C284" s="36"/>
      <c r="D284" s="36"/>
      <c r="E284" s="35"/>
      <c r="F284" s="36"/>
      <c r="G284" s="38"/>
      <c r="H284" s="36"/>
      <c r="I284" s="37"/>
      <c r="J284" s="36"/>
      <c r="K284" s="37"/>
      <c r="L284" s="37"/>
    </row>
    <row r="285" spans="1:12" x14ac:dyDescent="0.3">
      <c r="A285" s="51"/>
      <c r="B285" s="36"/>
      <c r="C285" s="36"/>
      <c r="D285" s="36"/>
      <c r="E285" s="35"/>
      <c r="F285" s="36"/>
      <c r="G285" s="38"/>
      <c r="H285" s="36"/>
      <c r="I285" s="37"/>
      <c r="J285" s="36"/>
      <c r="K285" s="37"/>
      <c r="L285" s="37"/>
    </row>
    <row r="286" spans="1:12" x14ac:dyDescent="0.3">
      <c r="A286" s="51"/>
      <c r="B286" s="36"/>
      <c r="C286" s="36"/>
      <c r="D286" s="36"/>
      <c r="E286" s="35"/>
      <c r="F286" s="36"/>
      <c r="G286" s="38"/>
      <c r="H286" s="36"/>
      <c r="I286" s="37"/>
      <c r="J286" s="36"/>
      <c r="K286" s="37"/>
      <c r="L286" s="37"/>
    </row>
    <row r="287" spans="1:12" x14ac:dyDescent="0.3">
      <c r="A287" s="51"/>
      <c r="B287" s="36"/>
      <c r="C287" s="36"/>
      <c r="D287" s="36"/>
      <c r="E287" s="35"/>
      <c r="F287" s="36"/>
      <c r="G287" s="38"/>
      <c r="H287" s="36"/>
      <c r="I287" s="37"/>
      <c r="J287" s="36"/>
      <c r="K287" s="37"/>
      <c r="L287" s="37"/>
    </row>
    <row r="288" spans="1:12" x14ac:dyDescent="0.3">
      <c r="A288" s="35"/>
      <c r="B288" s="36"/>
      <c r="C288" s="37"/>
      <c r="D288" s="36"/>
      <c r="E288" s="35"/>
      <c r="F288" s="36"/>
      <c r="G288" s="38"/>
      <c r="H288" s="36"/>
      <c r="I288" s="37"/>
      <c r="J288" s="36"/>
      <c r="K288" s="37"/>
      <c r="L288" s="37"/>
    </row>
    <row r="289" spans="1:12" x14ac:dyDescent="0.3">
      <c r="A289" s="35"/>
      <c r="B289" s="36"/>
      <c r="C289" s="37"/>
      <c r="D289" s="36"/>
      <c r="E289" s="35"/>
      <c r="F289" s="36"/>
      <c r="G289" s="47"/>
      <c r="H289" s="49"/>
      <c r="I289" s="37"/>
      <c r="J289" s="36"/>
      <c r="K289" s="37"/>
      <c r="L289" s="37"/>
    </row>
    <row r="290" spans="1:12" x14ac:dyDescent="0.3">
      <c r="A290" s="48"/>
      <c r="B290" s="48"/>
      <c r="C290" s="48"/>
      <c r="D290" s="49"/>
      <c r="E290" s="48"/>
      <c r="F290" s="49"/>
      <c r="G290" s="48"/>
      <c r="H290" s="49"/>
      <c r="I290" s="49"/>
      <c r="J290" s="36"/>
      <c r="K290" s="37"/>
      <c r="L290" s="37"/>
    </row>
    <row r="291" spans="1:12" x14ac:dyDescent="0.3">
      <c r="A291" s="48"/>
      <c r="B291" s="48"/>
      <c r="C291" s="48"/>
      <c r="D291" s="49"/>
      <c r="E291" s="48"/>
      <c r="F291" s="49"/>
      <c r="G291" s="48"/>
      <c r="H291" s="49"/>
      <c r="I291" s="49"/>
      <c r="J291" s="36"/>
      <c r="K291" s="37"/>
      <c r="L291" s="37"/>
    </row>
    <row r="292" spans="1:12" x14ac:dyDescent="0.3">
      <c r="A292" s="48"/>
      <c r="B292" s="48"/>
      <c r="C292" s="48"/>
      <c r="D292" s="49"/>
      <c r="E292" s="48"/>
      <c r="F292" s="49"/>
      <c r="G292" s="48"/>
      <c r="H292" s="49"/>
      <c r="I292" s="49"/>
      <c r="J292" s="36"/>
      <c r="K292" s="37"/>
      <c r="L292" s="37"/>
    </row>
    <row r="293" spans="1:12" x14ac:dyDescent="0.3">
      <c r="A293" s="35"/>
      <c r="B293" s="36"/>
      <c r="C293" s="37"/>
      <c r="D293" s="36"/>
      <c r="E293" s="35"/>
      <c r="F293" s="36"/>
      <c r="G293" s="38"/>
      <c r="H293" s="36"/>
      <c r="I293" s="37"/>
      <c r="J293" s="36"/>
      <c r="K293" s="37"/>
      <c r="L293" s="37"/>
    </row>
    <row r="294" spans="1:12" x14ac:dyDescent="0.3">
      <c r="A294" s="35"/>
      <c r="B294" s="36"/>
      <c r="C294" s="37"/>
      <c r="D294" s="36"/>
      <c r="E294" s="35"/>
      <c r="F294" s="36"/>
      <c r="G294" s="38"/>
      <c r="H294" s="36"/>
      <c r="I294" s="37"/>
      <c r="J294" s="36"/>
      <c r="K294" s="37"/>
      <c r="L294" s="37"/>
    </row>
    <row r="295" spans="1:12" x14ac:dyDescent="0.3">
      <c r="A295" s="35"/>
      <c r="B295" s="36"/>
      <c r="C295" s="37"/>
      <c r="D295" s="36"/>
      <c r="E295" s="35"/>
      <c r="F295" s="36"/>
      <c r="G295" s="38"/>
      <c r="H295" s="36"/>
      <c r="I295" s="37"/>
      <c r="J295" s="36"/>
      <c r="K295" s="37"/>
      <c r="L295" s="37"/>
    </row>
    <row r="296" spans="1:12" x14ac:dyDescent="0.3">
      <c r="A296" s="35"/>
      <c r="B296" s="36"/>
      <c r="C296" s="37"/>
      <c r="D296" s="36"/>
      <c r="E296" s="35"/>
      <c r="F296" s="36"/>
      <c r="G296" s="38"/>
      <c r="H296" s="36"/>
      <c r="I296" s="37"/>
      <c r="J296" s="36"/>
      <c r="K296" s="37"/>
      <c r="L296" s="37"/>
    </row>
    <row r="297" spans="1:12" x14ac:dyDescent="0.3">
      <c r="A297" s="35"/>
      <c r="B297" s="36"/>
      <c r="C297" s="37"/>
      <c r="D297" s="36"/>
      <c r="E297" s="35"/>
      <c r="F297" s="36"/>
      <c r="G297" s="38"/>
      <c r="H297" s="36"/>
      <c r="I297" s="37"/>
      <c r="J297" s="36"/>
      <c r="K297" s="37"/>
      <c r="L297" s="37"/>
    </row>
    <row r="298" spans="1:12" x14ac:dyDescent="0.3">
      <c r="A298" s="35"/>
      <c r="B298" s="36"/>
      <c r="C298" s="37"/>
      <c r="D298" s="36"/>
      <c r="E298" s="35"/>
      <c r="F298" s="36"/>
      <c r="G298" s="38"/>
      <c r="H298" s="36"/>
      <c r="I298" s="37"/>
      <c r="J298" s="36"/>
      <c r="K298" s="37"/>
      <c r="L298" s="37"/>
    </row>
    <row r="299" spans="1:12" x14ac:dyDescent="0.3">
      <c r="A299" s="35"/>
      <c r="B299" s="36"/>
      <c r="C299" s="37"/>
      <c r="D299" s="36"/>
      <c r="E299" s="35"/>
      <c r="F299" s="36"/>
      <c r="G299" s="38"/>
      <c r="H299" s="36"/>
      <c r="I299" s="37"/>
      <c r="J299" s="36"/>
      <c r="K299" s="37"/>
      <c r="L299" s="37"/>
    </row>
    <row r="300" spans="1:12" x14ac:dyDescent="0.3">
      <c r="A300" s="35"/>
      <c r="B300" s="36"/>
      <c r="C300" s="37"/>
      <c r="D300" s="36"/>
      <c r="E300" s="35"/>
      <c r="F300" s="36"/>
      <c r="G300" s="38"/>
      <c r="H300" s="36"/>
      <c r="I300" s="37"/>
      <c r="J300" s="36"/>
      <c r="K300" s="37"/>
      <c r="L300" s="37"/>
    </row>
    <row r="301" spans="1:12" x14ac:dyDescent="0.3">
      <c r="A301" s="35"/>
      <c r="B301" s="36"/>
      <c r="C301" s="37"/>
      <c r="D301" s="36"/>
      <c r="E301" s="35"/>
      <c r="F301" s="36"/>
      <c r="G301" s="38"/>
      <c r="H301" s="36"/>
      <c r="I301" s="37"/>
      <c r="J301" s="36"/>
      <c r="K301" s="37"/>
      <c r="L301" s="37"/>
    </row>
    <row r="302" spans="1:12" x14ac:dyDescent="0.3">
      <c r="A302" s="35"/>
      <c r="B302" s="36"/>
      <c r="C302" s="37"/>
      <c r="D302" s="36"/>
      <c r="E302" s="35"/>
      <c r="F302" s="36"/>
      <c r="G302" s="38"/>
      <c r="H302" s="36"/>
      <c r="I302" s="37"/>
      <c r="J302" s="36"/>
      <c r="K302" s="37"/>
      <c r="L302" s="37"/>
    </row>
    <row r="303" spans="1:12" x14ac:dyDescent="0.3">
      <c r="A303" s="35"/>
      <c r="B303" s="36"/>
      <c r="C303" s="37"/>
      <c r="D303" s="36"/>
      <c r="E303" s="35"/>
      <c r="F303" s="36"/>
      <c r="G303" s="38"/>
      <c r="H303" s="36"/>
      <c r="I303" s="37"/>
      <c r="J303" s="36"/>
      <c r="K303" s="37"/>
      <c r="L303" s="37"/>
    </row>
    <row r="304" spans="1:12" x14ac:dyDescent="0.3">
      <c r="A304" s="35"/>
      <c r="B304" s="36"/>
      <c r="C304" s="37"/>
      <c r="D304" s="36"/>
      <c r="E304" s="35"/>
      <c r="F304" s="36"/>
      <c r="G304" s="38"/>
      <c r="H304" s="36"/>
      <c r="I304" s="37"/>
      <c r="J304" s="36"/>
      <c r="K304" s="37"/>
      <c r="L304" s="37"/>
    </row>
    <row r="305" spans="1:12" x14ac:dyDescent="0.3">
      <c r="A305" s="35"/>
      <c r="B305" s="36"/>
      <c r="C305" s="37"/>
      <c r="D305" s="36"/>
      <c r="E305" s="35"/>
      <c r="F305" s="36"/>
      <c r="G305" s="38"/>
      <c r="H305" s="36"/>
      <c r="I305" s="37"/>
      <c r="J305" s="36"/>
      <c r="K305" s="37"/>
      <c r="L305" s="37"/>
    </row>
    <row r="306" spans="1:12" x14ac:dyDescent="0.3">
      <c r="A306" s="35"/>
      <c r="B306" s="36"/>
      <c r="C306" s="37"/>
      <c r="D306" s="36"/>
      <c r="E306" s="35"/>
      <c r="F306" s="36"/>
      <c r="G306" s="38"/>
      <c r="H306" s="36"/>
      <c r="I306" s="37"/>
      <c r="J306" s="36"/>
      <c r="K306" s="37"/>
      <c r="L306" s="37"/>
    </row>
    <row r="307" spans="1:12" x14ac:dyDescent="0.3">
      <c r="A307" s="35"/>
      <c r="B307" s="36"/>
      <c r="C307" s="37"/>
      <c r="D307" s="36"/>
      <c r="E307" s="35"/>
      <c r="F307" s="36"/>
      <c r="G307" s="38"/>
      <c r="H307" s="36"/>
      <c r="I307" s="37"/>
      <c r="J307" s="36"/>
      <c r="K307" s="37"/>
      <c r="L307" s="37"/>
    </row>
    <row r="308" spans="1:12" x14ac:dyDescent="0.3">
      <c r="A308" s="35"/>
      <c r="B308" s="36"/>
      <c r="C308" s="37"/>
      <c r="D308" s="36"/>
      <c r="E308" s="35"/>
      <c r="F308" s="36"/>
      <c r="G308" s="38"/>
      <c r="H308" s="36"/>
      <c r="I308" s="37"/>
      <c r="J308" s="36"/>
      <c r="K308" s="37"/>
      <c r="L308" s="37"/>
    </row>
    <row r="309" spans="1:12" x14ac:dyDescent="0.3">
      <c r="A309" s="35"/>
      <c r="B309" s="36"/>
      <c r="C309" s="37"/>
      <c r="D309" s="36"/>
      <c r="E309" s="35"/>
      <c r="F309" s="36"/>
      <c r="G309" s="38"/>
      <c r="H309" s="36"/>
      <c r="I309" s="37"/>
      <c r="J309" s="36"/>
      <c r="K309" s="37"/>
      <c r="L309" s="37"/>
    </row>
    <row r="310" spans="1:12" x14ac:dyDescent="0.3">
      <c r="A310" s="35"/>
      <c r="B310" s="36"/>
      <c r="C310" s="37"/>
      <c r="D310" s="36"/>
      <c r="E310" s="35"/>
      <c r="F310" s="36"/>
      <c r="G310" s="38"/>
      <c r="H310" s="36"/>
      <c r="I310" s="37"/>
      <c r="J310" s="36"/>
      <c r="K310" s="37"/>
      <c r="L310" s="37"/>
    </row>
    <row r="311" spans="1:12" x14ac:dyDescent="0.3">
      <c r="A311" s="35"/>
      <c r="B311" s="36"/>
      <c r="C311" s="37"/>
      <c r="D311" s="36"/>
      <c r="E311" s="35"/>
      <c r="F311" s="36"/>
      <c r="G311" s="38"/>
      <c r="H311" s="36"/>
      <c r="I311" s="37"/>
      <c r="J311" s="36"/>
      <c r="K311" s="37"/>
      <c r="L311" s="37"/>
    </row>
    <row r="312" spans="1:12" x14ac:dyDescent="0.3">
      <c r="A312" s="35"/>
      <c r="B312" s="36"/>
      <c r="C312" s="37"/>
      <c r="D312" s="36"/>
      <c r="E312" s="35"/>
      <c r="F312" s="36"/>
      <c r="G312" s="38"/>
      <c r="H312" s="36"/>
      <c r="I312" s="37"/>
      <c r="J312" s="36"/>
      <c r="K312" s="37"/>
      <c r="L312" s="37"/>
    </row>
    <row r="313" spans="1:12" x14ac:dyDescent="0.3">
      <c r="A313" s="35"/>
      <c r="B313" s="36"/>
      <c r="C313" s="37"/>
      <c r="D313" s="36"/>
      <c r="E313" s="35"/>
      <c r="F313" s="36"/>
      <c r="G313" s="38"/>
      <c r="H313" s="36"/>
      <c r="I313" s="37"/>
      <c r="J313" s="36"/>
      <c r="K313" s="37"/>
      <c r="L313" s="37"/>
    </row>
    <row r="314" spans="1:12" x14ac:dyDescent="0.3">
      <c r="A314" s="35"/>
      <c r="B314" s="36"/>
      <c r="C314" s="37"/>
      <c r="D314" s="36"/>
      <c r="E314" s="35"/>
      <c r="F314" s="36"/>
      <c r="G314" s="38"/>
      <c r="H314" s="36"/>
      <c r="I314" s="37"/>
      <c r="J314" s="36"/>
      <c r="K314" s="37"/>
      <c r="L314" s="37"/>
    </row>
    <row r="315" spans="1:12" x14ac:dyDescent="0.3">
      <c r="A315" s="35"/>
      <c r="B315" s="36"/>
      <c r="C315" s="37"/>
      <c r="D315" s="36"/>
      <c r="E315" s="35"/>
      <c r="F315" s="36"/>
      <c r="G315" s="38"/>
      <c r="H315" s="36"/>
      <c r="I315" s="37"/>
      <c r="J315" s="36"/>
      <c r="K315" s="37"/>
      <c r="L315" s="37"/>
    </row>
    <row r="316" spans="1:12" x14ac:dyDescent="0.3">
      <c r="A316" s="35"/>
      <c r="B316" s="36"/>
      <c r="C316" s="37"/>
      <c r="D316" s="36"/>
      <c r="E316" s="35"/>
      <c r="F316" s="36"/>
      <c r="G316" s="38"/>
      <c r="H316" s="36"/>
      <c r="I316" s="37"/>
      <c r="J316" s="36"/>
      <c r="K316" s="37"/>
      <c r="L316" s="37"/>
    </row>
    <row r="317" spans="1:12" x14ac:dyDescent="0.3">
      <c r="A317" s="35"/>
      <c r="B317" s="36"/>
      <c r="C317" s="37"/>
      <c r="D317" s="36"/>
      <c r="E317" s="35"/>
      <c r="F317" s="36"/>
      <c r="G317" s="38"/>
      <c r="H317" s="36"/>
      <c r="I317" s="37"/>
      <c r="J317" s="36"/>
      <c r="K317" s="37"/>
      <c r="L317" s="37"/>
    </row>
    <row r="318" spans="1:12" x14ac:dyDescent="0.3">
      <c r="A318" s="35"/>
      <c r="B318" s="36"/>
      <c r="C318" s="37"/>
      <c r="D318" s="36"/>
      <c r="E318" s="35"/>
      <c r="F318" s="36"/>
      <c r="G318" s="38"/>
      <c r="H318" s="36"/>
      <c r="I318" s="37"/>
      <c r="J318" s="36"/>
      <c r="K318" s="37"/>
      <c r="L318" s="37"/>
    </row>
    <row r="319" spans="1:12" x14ac:dyDescent="0.3">
      <c r="A319" s="35"/>
      <c r="B319" s="36"/>
      <c r="C319" s="37"/>
      <c r="D319" s="36"/>
      <c r="E319" s="35"/>
      <c r="F319" s="36"/>
      <c r="G319" s="38"/>
      <c r="H319" s="36"/>
      <c r="I319" s="37"/>
      <c r="J319" s="36"/>
      <c r="K319" s="37"/>
      <c r="L319" s="37"/>
    </row>
    <row r="320" spans="1:12" x14ac:dyDescent="0.3">
      <c r="A320" s="35"/>
      <c r="B320" s="36"/>
      <c r="C320" s="37"/>
      <c r="D320" s="36"/>
      <c r="E320" s="35"/>
      <c r="F320" s="36"/>
      <c r="G320" s="38"/>
      <c r="H320" s="36"/>
      <c r="I320" s="37"/>
      <c r="J320" s="36"/>
      <c r="K320" s="37"/>
      <c r="L320" s="37"/>
    </row>
    <row r="321" spans="1:12" x14ac:dyDescent="0.3">
      <c r="A321" s="35"/>
      <c r="B321" s="36"/>
      <c r="C321" s="37"/>
      <c r="D321" s="36"/>
      <c r="E321" s="35"/>
      <c r="F321" s="36"/>
      <c r="G321" s="38"/>
      <c r="H321" s="36"/>
      <c r="I321" s="37"/>
      <c r="J321" s="36"/>
      <c r="K321" s="37"/>
      <c r="L321" s="37"/>
    </row>
    <row r="322" spans="1:12" x14ac:dyDescent="0.3">
      <c r="A322" s="35"/>
      <c r="B322" s="36"/>
      <c r="C322" s="37"/>
      <c r="D322" s="36"/>
      <c r="E322" s="35"/>
      <c r="F322" s="36"/>
      <c r="G322" s="38"/>
      <c r="H322" s="36"/>
      <c r="I322" s="37"/>
      <c r="J322" s="36"/>
      <c r="K322" s="37"/>
      <c r="L322" s="37"/>
    </row>
    <row r="323" spans="1:12" x14ac:dyDescent="0.3">
      <c r="A323" s="35"/>
      <c r="B323" s="36"/>
      <c r="C323" s="37"/>
      <c r="D323" s="36"/>
      <c r="E323" s="35"/>
      <c r="F323" s="36"/>
      <c r="G323" s="38"/>
      <c r="H323" s="36"/>
      <c r="I323" s="37"/>
      <c r="J323" s="36"/>
      <c r="K323" s="37"/>
      <c r="L323" s="37"/>
    </row>
    <row r="324" spans="1:12" x14ac:dyDescent="0.3">
      <c r="A324" s="35"/>
      <c r="B324" s="36"/>
      <c r="C324" s="37"/>
      <c r="D324" s="36"/>
      <c r="E324" s="35"/>
      <c r="F324" s="36"/>
      <c r="G324" s="38"/>
      <c r="H324" s="36"/>
      <c r="I324" s="37"/>
      <c r="J324" s="36"/>
      <c r="K324" s="37"/>
      <c r="L324" s="37"/>
    </row>
    <row r="325" spans="1:12" x14ac:dyDescent="0.3">
      <c r="A325" s="35"/>
      <c r="B325" s="36"/>
      <c r="C325" s="37"/>
      <c r="D325" s="36"/>
      <c r="E325" s="35"/>
      <c r="F325" s="36"/>
      <c r="G325" s="38"/>
      <c r="H325" s="36"/>
      <c r="I325" s="37"/>
      <c r="J325" s="36"/>
      <c r="K325" s="37"/>
      <c r="L325" s="37"/>
    </row>
    <row r="326" spans="1:12" x14ac:dyDescent="0.3">
      <c r="A326" s="35"/>
      <c r="B326" s="36"/>
      <c r="C326" s="37"/>
      <c r="D326" s="36"/>
      <c r="E326" s="35"/>
      <c r="F326" s="36"/>
      <c r="G326" s="38"/>
      <c r="H326" s="36"/>
      <c r="I326" s="37"/>
      <c r="J326" s="36"/>
      <c r="K326" s="37"/>
      <c r="L326" s="37"/>
    </row>
    <row r="327" spans="1:12" x14ac:dyDescent="0.3">
      <c r="A327" s="35"/>
      <c r="B327" s="36"/>
      <c r="C327" s="37"/>
      <c r="D327" s="36"/>
      <c r="E327" s="35"/>
      <c r="F327" s="36"/>
      <c r="G327" s="38"/>
      <c r="H327" s="36"/>
      <c r="I327" s="37"/>
      <c r="J327" s="36"/>
      <c r="K327" s="37"/>
      <c r="L327" s="37"/>
    </row>
    <row r="328" spans="1:12" x14ac:dyDescent="0.3">
      <c r="A328" s="35"/>
      <c r="B328" s="36"/>
      <c r="C328" s="37"/>
      <c r="D328" s="36"/>
      <c r="E328" s="35"/>
      <c r="F328" s="36"/>
      <c r="G328" s="38"/>
      <c r="H328" s="36"/>
      <c r="I328" s="37"/>
      <c r="J328" s="36"/>
      <c r="K328" s="37"/>
      <c r="L328" s="37"/>
    </row>
    <row r="329" spans="1:12" x14ac:dyDescent="0.3">
      <c r="A329" s="35"/>
      <c r="B329" s="36"/>
      <c r="C329" s="37"/>
      <c r="D329" s="36"/>
      <c r="E329" s="35"/>
      <c r="F329" s="36"/>
      <c r="G329" s="38"/>
      <c r="H329" s="36"/>
      <c r="I329" s="37"/>
      <c r="J329" s="36"/>
      <c r="K329" s="37"/>
      <c r="L329" s="37"/>
    </row>
    <row r="330" spans="1:12" x14ac:dyDescent="0.3">
      <c r="A330" s="35"/>
      <c r="B330" s="36"/>
      <c r="C330" s="37"/>
      <c r="D330" s="36"/>
      <c r="E330" s="35"/>
      <c r="F330" s="36"/>
      <c r="G330" s="38"/>
      <c r="H330" s="36"/>
      <c r="I330" s="37"/>
      <c r="J330" s="36"/>
      <c r="K330" s="37"/>
      <c r="L330" s="37"/>
    </row>
    <row r="331" spans="1:12" x14ac:dyDescent="0.3">
      <c r="A331" s="35"/>
      <c r="B331" s="36"/>
      <c r="C331" s="37"/>
      <c r="D331" s="36"/>
      <c r="E331" s="35"/>
      <c r="F331" s="36"/>
      <c r="G331" s="38"/>
      <c r="H331" s="36"/>
      <c r="I331" s="37"/>
      <c r="J331" s="36"/>
      <c r="K331" s="37"/>
      <c r="L331" s="37"/>
    </row>
    <row r="332" spans="1:12" x14ac:dyDescent="0.3">
      <c r="A332" s="35"/>
      <c r="B332" s="36"/>
      <c r="C332" s="37"/>
      <c r="D332" s="36"/>
      <c r="E332" s="35"/>
      <c r="F332" s="36"/>
      <c r="G332" s="38"/>
      <c r="H332" s="36"/>
      <c r="I332" s="37"/>
      <c r="J332" s="36"/>
      <c r="K332" s="37"/>
      <c r="L332" s="37"/>
    </row>
    <row r="333" spans="1:12" x14ac:dyDescent="0.3">
      <c r="A333" s="35"/>
      <c r="B333" s="36"/>
      <c r="C333" s="37"/>
      <c r="D333" s="36"/>
      <c r="E333" s="35"/>
      <c r="F333" s="36"/>
      <c r="G333" s="38"/>
      <c r="H333" s="36"/>
      <c r="I333" s="37"/>
      <c r="J333" s="36"/>
      <c r="K333" s="37"/>
      <c r="L333" s="37"/>
    </row>
    <row r="334" spans="1:12" x14ac:dyDescent="0.3">
      <c r="A334" s="35"/>
      <c r="B334" s="36"/>
      <c r="C334" s="37"/>
      <c r="D334" s="36"/>
      <c r="E334" s="35"/>
      <c r="F334" s="36"/>
      <c r="G334" s="38"/>
      <c r="H334" s="36"/>
      <c r="I334" s="37"/>
      <c r="J334" s="36"/>
      <c r="K334" s="37"/>
      <c r="L334" s="37"/>
    </row>
    <row r="335" spans="1:12" x14ac:dyDescent="0.3">
      <c r="A335" s="35"/>
      <c r="B335" s="36"/>
      <c r="C335" s="37"/>
      <c r="D335" s="36"/>
      <c r="E335" s="35"/>
      <c r="F335" s="36"/>
      <c r="G335" s="38"/>
      <c r="H335" s="36"/>
      <c r="I335" s="37"/>
      <c r="J335" s="36"/>
      <c r="K335" s="37"/>
      <c r="L335" s="37"/>
    </row>
    <row r="336" spans="1:12" x14ac:dyDescent="0.3">
      <c r="A336" s="35"/>
      <c r="B336" s="36"/>
      <c r="C336" s="37"/>
      <c r="D336" s="36"/>
      <c r="E336" s="35"/>
      <c r="F336" s="36"/>
      <c r="G336" s="38"/>
      <c r="H336" s="36"/>
      <c r="I336" s="37"/>
      <c r="J336" s="36"/>
      <c r="K336" s="37"/>
      <c r="L336" s="37"/>
    </row>
    <row r="337" spans="1:12" x14ac:dyDescent="0.3">
      <c r="A337" s="35"/>
      <c r="B337" s="36"/>
      <c r="C337" s="37"/>
      <c r="D337" s="36"/>
      <c r="E337" s="35"/>
      <c r="F337" s="36"/>
      <c r="G337" s="38"/>
      <c r="H337" s="36"/>
      <c r="I337" s="37"/>
      <c r="J337" s="36"/>
      <c r="K337" s="37"/>
      <c r="L337" s="37"/>
    </row>
    <row r="338" spans="1:12" x14ac:dyDescent="0.3">
      <c r="A338" s="35"/>
      <c r="B338" s="36"/>
      <c r="C338" s="37"/>
      <c r="D338" s="36"/>
      <c r="E338" s="35"/>
      <c r="F338" s="36"/>
      <c r="G338" s="38"/>
      <c r="H338" s="36"/>
      <c r="I338" s="37"/>
      <c r="J338" s="36"/>
      <c r="K338" s="37"/>
      <c r="L338" s="37"/>
    </row>
    <row r="339" spans="1:12" x14ac:dyDescent="0.3">
      <c r="A339" s="35"/>
      <c r="B339" s="36"/>
      <c r="C339" s="37"/>
      <c r="D339" s="36"/>
      <c r="E339" s="35"/>
      <c r="F339" s="36"/>
      <c r="G339" s="38"/>
      <c r="H339" s="36"/>
      <c r="I339" s="37"/>
      <c r="J339" s="36"/>
      <c r="K339" s="37"/>
      <c r="L339" s="37"/>
    </row>
    <row r="340" spans="1:12" x14ac:dyDescent="0.3">
      <c r="A340" s="35"/>
      <c r="B340" s="36"/>
      <c r="C340" s="37"/>
      <c r="D340" s="36"/>
      <c r="E340" s="35"/>
      <c r="F340" s="36"/>
      <c r="G340" s="38"/>
      <c r="H340" s="36"/>
      <c r="I340" s="37"/>
      <c r="J340" s="36"/>
      <c r="K340" s="37"/>
      <c r="L340" s="37"/>
    </row>
    <row r="341" spans="1:12" x14ac:dyDescent="0.3">
      <c r="A341" s="35"/>
      <c r="B341" s="36"/>
      <c r="C341" s="37"/>
      <c r="D341" s="36"/>
      <c r="E341" s="35"/>
      <c r="F341" s="36"/>
      <c r="G341" s="38"/>
      <c r="H341" s="36"/>
      <c r="I341" s="37"/>
      <c r="J341" s="36"/>
      <c r="K341" s="37"/>
      <c r="L341" s="37"/>
    </row>
    <row r="342" spans="1:12" x14ac:dyDescent="0.3">
      <c r="A342" s="35"/>
      <c r="B342" s="36"/>
      <c r="C342" s="37"/>
      <c r="D342" s="36"/>
      <c r="E342" s="35"/>
      <c r="F342" s="36"/>
      <c r="G342" s="38"/>
      <c r="H342" s="36"/>
      <c r="I342" s="37"/>
      <c r="J342" s="36"/>
      <c r="K342" s="37"/>
      <c r="L342" s="37"/>
    </row>
    <row r="343" spans="1:12" x14ac:dyDescent="0.3">
      <c r="A343" s="35"/>
      <c r="B343" s="36"/>
      <c r="C343" s="37"/>
      <c r="D343" s="36"/>
      <c r="E343" s="35"/>
      <c r="F343" s="36"/>
      <c r="G343" s="38"/>
      <c r="H343" s="36"/>
      <c r="I343" s="37"/>
      <c r="J343" s="36"/>
      <c r="K343" s="37"/>
      <c r="L343" s="37"/>
    </row>
    <row r="344" spans="1:12" x14ac:dyDescent="0.3">
      <c r="A344" s="35"/>
      <c r="B344" s="36"/>
      <c r="C344" s="37"/>
      <c r="D344" s="36"/>
      <c r="E344" s="35"/>
      <c r="F344" s="36"/>
      <c r="G344" s="38"/>
      <c r="H344" s="36"/>
      <c r="I344" s="37"/>
      <c r="J344" s="36"/>
      <c r="K344" s="37"/>
      <c r="L344" s="37"/>
    </row>
    <row r="345" spans="1:12" x14ac:dyDescent="0.3">
      <c r="A345" s="35"/>
      <c r="B345" s="36"/>
      <c r="C345" s="37"/>
      <c r="D345" s="36"/>
      <c r="E345" s="35"/>
      <c r="F345" s="36"/>
      <c r="G345" s="38"/>
      <c r="H345" s="36"/>
      <c r="I345" s="37"/>
      <c r="J345" s="36"/>
      <c r="K345" s="37"/>
      <c r="L345" s="37"/>
    </row>
    <row r="346" spans="1:12" x14ac:dyDescent="0.3">
      <c r="A346" s="35"/>
      <c r="B346" s="36"/>
      <c r="C346" s="37"/>
      <c r="D346" s="36"/>
      <c r="E346" s="35"/>
      <c r="F346" s="36"/>
      <c r="G346" s="38"/>
      <c r="H346" s="36"/>
      <c r="I346" s="37"/>
      <c r="J346" s="36"/>
      <c r="K346" s="37"/>
      <c r="L346" s="37"/>
    </row>
    <row r="347" spans="1:12" x14ac:dyDescent="0.3">
      <c r="A347" s="35"/>
      <c r="B347" s="36"/>
      <c r="C347" s="37"/>
      <c r="D347" s="36"/>
      <c r="E347" s="35"/>
      <c r="F347" s="36"/>
      <c r="G347" s="38"/>
      <c r="H347" s="36"/>
      <c r="I347" s="37"/>
      <c r="J347" s="36"/>
      <c r="K347" s="37"/>
      <c r="L347" s="37"/>
    </row>
    <row r="348" spans="1:12" x14ac:dyDescent="0.3">
      <c r="A348" s="35"/>
      <c r="B348" s="36"/>
      <c r="C348" s="37"/>
      <c r="D348" s="36"/>
      <c r="E348" s="35"/>
      <c r="F348" s="36"/>
      <c r="G348" s="38"/>
      <c r="H348" s="36"/>
      <c r="I348" s="37"/>
      <c r="J348" s="36"/>
      <c r="K348" s="37"/>
      <c r="L348" s="37"/>
    </row>
    <row r="349" spans="1:12" x14ac:dyDescent="0.3">
      <c r="A349" s="35"/>
      <c r="B349" s="36"/>
      <c r="C349" s="37"/>
      <c r="D349" s="36"/>
      <c r="E349" s="35"/>
      <c r="F349" s="36"/>
      <c r="G349" s="38"/>
      <c r="H349" s="36"/>
      <c r="I349" s="37"/>
      <c r="J349" s="36"/>
      <c r="K349" s="37"/>
      <c r="L349" s="37"/>
    </row>
    <row r="350" spans="1:12" x14ac:dyDescent="0.3">
      <c r="A350" s="35"/>
      <c r="B350" s="36"/>
      <c r="C350" s="37"/>
      <c r="D350" s="36"/>
      <c r="E350" s="35"/>
      <c r="F350" s="36"/>
      <c r="G350" s="38"/>
      <c r="H350" s="36"/>
      <c r="I350" s="37"/>
      <c r="J350" s="36"/>
      <c r="K350" s="37"/>
      <c r="L350" s="37"/>
    </row>
    <row r="351" spans="1:12" x14ac:dyDescent="0.3">
      <c r="A351" s="35"/>
      <c r="B351" s="36"/>
      <c r="C351" s="37"/>
      <c r="D351" s="36"/>
      <c r="E351" s="35"/>
      <c r="F351" s="36"/>
      <c r="G351" s="38"/>
      <c r="H351" s="36"/>
      <c r="I351" s="37"/>
      <c r="J351" s="36"/>
      <c r="K351" s="37"/>
      <c r="L351" s="37"/>
    </row>
    <row r="352" spans="1:12" x14ac:dyDescent="0.3">
      <c r="A352" s="35"/>
      <c r="B352" s="36"/>
      <c r="C352" s="37"/>
      <c r="D352" s="36"/>
      <c r="E352" s="35"/>
      <c r="F352" s="36"/>
      <c r="G352" s="38"/>
      <c r="H352" s="36"/>
      <c r="I352" s="37"/>
      <c r="J352" s="36"/>
      <c r="K352" s="37"/>
      <c r="L352" s="37"/>
    </row>
    <row r="353" spans="1:12" x14ac:dyDescent="0.3">
      <c r="A353" s="35"/>
      <c r="B353" s="36"/>
      <c r="C353" s="37"/>
      <c r="D353" s="36"/>
      <c r="E353" s="35"/>
      <c r="F353" s="36"/>
      <c r="G353" s="38"/>
      <c r="H353" s="36"/>
      <c r="I353" s="37"/>
      <c r="J353" s="36"/>
      <c r="K353" s="37"/>
      <c r="L353" s="37"/>
    </row>
    <row r="354" spans="1:12" x14ac:dyDescent="0.3">
      <c r="A354" s="35"/>
      <c r="B354" s="36"/>
      <c r="C354" s="37"/>
      <c r="D354" s="36"/>
      <c r="E354" s="35"/>
      <c r="F354" s="36"/>
      <c r="G354" s="38"/>
      <c r="H354" s="36"/>
      <c r="I354" s="37"/>
      <c r="J354" s="36"/>
      <c r="K354" s="37"/>
      <c r="L354" s="37"/>
    </row>
    <row r="355" spans="1:12" x14ac:dyDescent="0.3">
      <c r="A355" s="35"/>
      <c r="B355" s="36"/>
      <c r="C355" s="37"/>
      <c r="D355" s="36"/>
      <c r="E355" s="35"/>
      <c r="F355" s="36"/>
      <c r="G355" s="38"/>
      <c r="H355" s="36"/>
      <c r="I355" s="37"/>
      <c r="J355" s="36"/>
      <c r="K355" s="37"/>
      <c r="L355" s="37"/>
    </row>
    <row r="356" spans="1:12" x14ac:dyDescent="0.3">
      <c r="A356" s="35"/>
      <c r="B356" s="36"/>
      <c r="C356" s="37"/>
      <c r="D356" s="36"/>
      <c r="E356" s="35"/>
      <c r="F356" s="36"/>
      <c r="G356" s="38"/>
      <c r="H356" s="36"/>
      <c r="I356" s="37"/>
      <c r="J356" s="36"/>
      <c r="K356" s="37"/>
      <c r="L356" s="37"/>
    </row>
    <row r="357" spans="1:12" x14ac:dyDescent="0.3">
      <c r="A357" s="35"/>
      <c r="B357" s="36"/>
      <c r="C357" s="37"/>
      <c r="D357" s="36"/>
      <c r="E357" s="35"/>
      <c r="F357" s="36"/>
      <c r="G357" s="38"/>
      <c r="H357" s="36"/>
      <c r="I357" s="37"/>
      <c r="J357" s="36"/>
      <c r="K357" s="37"/>
      <c r="L357" s="37"/>
    </row>
    <row r="358" spans="1:12" x14ac:dyDescent="0.3">
      <c r="A358" s="35"/>
      <c r="B358" s="36"/>
      <c r="C358" s="37"/>
      <c r="D358" s="36"/>
      <c r="E358" s="35"/>
      <c r="F358" s="36"/>
      <c r="G358" s="38"/>
      <c r="H358" s="36"/>
      <c r="I358" s="37"/>
      <c r="J358" s="36"/>
      <c r="K358" s="37"/>
      <c r="L358" s="37"/>
    </row>
    <row r="359" spans="1:12" x14ac:dyDescent="0.3">
      <c r="A359" s="35"/>
      <c r="B359" s="36"/>
      <c r="C359" s="37"/>
      <c r="D359" s="36"/>
      <c r="E359" s="35"/>
      <c r="F359" s="36"/>
      <c r="G359" s="38"/>
      <c r="H359" s="36"/>
      <c r="I359" s="37"/>
      <c r="J359" s="36"/>
      <c r="K359" s="37"/>
      <c r="L359" s="37"/>
    </row>
    <row r="360" spans="1:12" x14ac:dyDescent="0.3">
      <c r="A360" s="35"/>
      <c r="B360" s="36"/>
      <c r="C360" s="37"/>
      <c r="D360" s="36"/>
      <c r="E360" s="35"/>
      <c r="F360" s="36"/>
      <c r="G360" s="38"/>
      <c r="H360" s="36"/>
      <c r="I360" s="37"/>
      <c r="J360" s="36"/>
      <c r="K360" s="37"/>
      <c r="L360" s="37"/>
    </row>
    <row r="361" spans="1:12" x14ac:dyDescent="0.3">
      <c r="A361" s="35"/>
      <c r="B361" s="36"/>
      <c r="C361" s="37"/>
      <c r="D361" s="36"/>
      <c r="E361" s="35"/>
      <c r="F361" s="36"/>
      <c r="G361" s="38"/>
      <c r="H361" s="36"/>
      <c r="I361" s="37"/>
      <c r="J361" s="36"/>
      <c r="K361" s="37"/>
      <c r="L361" s="37"/>
    </row>
    <row r="362" spans="1:12" x14ac:dyDescent="0.3">
      <c r="A362" s="35"/>
      <c r="B362" s="36"/>
      <c r="C362" s="37"/>
      <c r="D362" s="36"/>
      <c r="E362" s="35"/>
      <c r="F362" s="36"/>
      <c r="G362" s="38"/>
      <c r="H362" s="36"/>
      <c r="I362" s="37"/>
      <c r="J362" s="36"/>
      <c r="K362" s="37"/>
      <c r="L362" s="37"/>
    </row>
    <row r="363" spans="1:12" x14ac:dyDescent="0.3">
      <c r="A363" s="35"/>
      <c r="B363" s="36"/>
      <c r="C363" s="37"/>
      <c r="D363" s="36"/>
      <c r="E363" s="35"/>
      <c r="F363" s="36"/>
      <c r="G363" s="38"/>
      <c r="H363" s="36"/>
      <c r="I363" s="37"/>
      <c r="J363" s="36"/>
      <c r="K363" s="37"/>
      <c r="L363" s="37"/>
    </row>
    <row r="364" spans="1:12" x14ac:dyDescent="0.3">
      <c r="A364" s="35"/>
      <c r="B364" s="36"/>
      <c r="C364" s="37"/>
      <c r="D364" s="36"/>
      <c r="E364" s="35"/>
      <c r="F364" s="36"/>
      <c r="G364" s="38"/>
      <c r="H364" s="36"/>
      <c r="I364" s="37"/>
      <c r="J364" s="36"/>
      <c r="K364" s="37"/>
      <c r="L364" s="37"/>
    </row>
    <row r="365" spans="1:12" x14ac:dyDescent="0.3">
      <c r="A365" s="35"/>
      <c r="B365" s="36"/>
      <c r="C365" s="37"/>
      <c r="D365" s="36"/>
      <c r="E365" s="35"/>
      <c r="F365" s="36"/>
      <c r="G365" s="38"/>
      <c r="H365" s="36"/>
      <c r="I365" s="37"/>
      <c r="J365" s="36"/>
      <c r="K365" s="37"/>
      <c r="L365" s="37"/>
    </row>
    <row r="366" spans="1:12" x14ac:dyDescent="0.3">
      <c r="A366" s="35"/>
      <c r="B366" s="36"/>
      <c r="C366" s="37"/>
      <c r="D366" s="36"/>
      <c r="E366" s="35"/>
      <c r="F366" s="36"/>
      <c r="G366" s="38"/>
      <c r="H366" s="36"/>
      <c r="I366" s="37"/>
      <c r="J366" s="36"/>
      <c r="K366" s="37"/>
      <c r="L366" s="37"/>
    </row>
    <row r="367" spans="1:12" x14ac:dyDescent="0.3">
      <c r="A367" s="35"/>
      <c r="B367" s="36"/>
      <c r="C367" s="37"/>
      <c r="D367" s="36"/>
      <c r="E367" s="35"/>
      <c r="F367" s="36"/>
      <c r="G367" s="38"/>
      <c r="H367" s="36"/>
      <c r="I367" s="37"/>
      <c r="J367" s="36"/>
      <c r="K367" s="37"/>
      <c r="L367" s="37"/>
    </row>
    <row r="368" spans="1:12" x14ac:dyDescent="0.3">
      <c r="A368" s="35"/>
      <c r="B368" s="36"/>
      <c r="C368" s="37"/>
      <c r="D368" s="36"/>
      <c r="E368" s="35"/>
      <c r="F368" s="36"/>
      <c r="G368" s="38"/>
      <c r="H368" s="36"/>
      <c r="I368" s="37"/>
      <c r="J368" s="36"/>
      <c r="K368" s="37"/>
      <c r="L368" s="37"/>
    </row>
    <row r="369" spans="1:12" x14ac:dyDescent="0.3">
      <c r="A369" s="35"/>
      <c r="B369" s="36"/>
      <c r="C369" s="37"/>
      <c r="D369" s="36"/>
      <c r="E369" s="35"/>
      <c r="F369" s="36"/>
      <c r="G369" s="38"/>
      <c r="H369" s="36"/>
      <c r="I369" s="37"/>
      <c r="J369" s="36"/>
      <c r="K369" s="37"/>
      <c r="L369" s="37"/>
    </row>
    <row r="370" spans="1:12" x14ac:dyDescent="0.3">
      <c r="A370" s="35"/>
      <c r="B370" s="36"/>
      <c r="C370" s="37"/>
      <c r="D370" s="36"/>
      <c r="E370" s="35"/>
      <c r="F370" s="36"/>
      <c r="G370" s="38"/>
      <c r="H370" s="36"/>
      <c r="I370" s="37"/>
      <c r="J370" s="36"/>
      <c r="K370" s="37"/>
      <c r="L370" s="37"/>
    </row>
    <row r="371" spans="1:12" x14ac:dyDescent="0.3">
      <c r="A371" s="35"/>
      <c r="B371" s="36"/>
      <c r="C371" s="37"/>
      <c r="D371" s="36"/>
      <c r="E371" s="35"/>
      <c r="F371" s="36"/>
      <c r="G371" s="38"/>
      <c r="H371" s="36"/>
      <c r="I371" s="37"/>
      <c r="J371" s="36"/>
      <c r="K371" s="37"/>
      <c r="L371" s="37"/>
    </row>
    <row r="372" spans="1:12" x14ac:dyDescent="0.3">
      <c r="A372" s="35"/>
      <c r="B372" s="36"/>
      <c r="C372" s="37"/>
      <c r="D372" s="36"/>
      <c r="E372" s="35"/>
      <c r="F372" s="36"/>
      <c r="G372" s="38"/>
      <c r="H372" s="36"/>
      <c r="I372" s="37"/>
      <c r="J372" s="36"/>
      <c r="K372" s="37"/>
      <c r="L372" s="37"/>
    </row>
    <row r="373" spans="1:12" x14ac:dyDescent="0.3">
      <c r="A373" s="35"/>
      <c r="B373" s="36"/>
      <c r="C373" s="37"/>
      <c r="D373" s="36"/>
      <c r="E373" s="35"/>
      <c r="F373" s="36"/>
      <c r="G373" s="38"/>
      <c r="H373" s="36"/>
      <c r="I373" s="37"/>
      <c r="J373" s="36"/>
      <c r="K373" s="37"/>
      <c r="L373" s="37"/>
    </row>
    <row r="374" spans="1:12" x14ac:dyDescent="0.3">
      <c r="A374" s="35"/>
      <c r="B374" s="36"/>
      <c r="C374" s="37"/>
      <c r="D374" s="36"/>
      <c r="E374" s="35"/>
      <c r="F374" s="36"/>
      <c r="G374" s="38"/>
      <c r="H374" s="36"/>
      <c r="I374" s="37"/>
      <c r="J374" s="36"/>
      <c r="K374" s="37"/>
      <c r="L374" s="37"/>
    </row>
    <row r="375" spans="1:12" x14ac:dyDescent="0.3">
      <c r="A375" s="35"/>
      <c r="B375" s="36"/>
      <c r="C375" s="37"/>
      <c r="D375" s="36"/>
      <c r="E375" s="35"/>
      <c r="F375" s="36"/>
      <c r="G375" s="38"/>
      <c r="H375" s="36"/>
      <c r="I375" s="37"/>
      <c r="J375" s="36"/>
      <c r="K375" s="37"/>
      <c r="L375" s="37"/>
    </row>
    <row r="376" spans="1:12" x14ac:dyDescent="0.3">
      <c r="A376" s="35"/>
      <c r="B376" s="36"/>
      <c r="C376" s="37"/>
      <c r="D376" s="36"/>
      <c r="E376" s="35"/>
      <c r="F376" s="36"/>
      <c r="G376" s="38"/>
      <c r="H376" s="36"/>
      <c r="I376" s="37"/>
      <c r="J376" s="36"/>
      <c r="K376" s="37"/>
      <c r="L376" s="37"/>
    </row>
    <row r="377" spans="1:12" x14ac:dyDescent="0.3">
      <c r="A377" s="35"/>
      <c r="B377" s="36"/>
      <c r="C377" s="37"/>
      <c r="D377" s="36"/>
      <c r="E377" s="35"/>
      <c r="F377" s="36"/>
      <c r="G377" s="38"/>
      <c r="H377" s="36"/>
      <c r="I377" s="37"/>
      <c r="J377" s="36"/>
      <c r="K377" s="37"/>
      <c r="L377" s="37"/>
    </row>
    <row r="378" spans="1:12" x14ac:dyDescent="0.3">
      <c r="A378" s="35"/>
      <c r="B378" s="36"/>
      <c r="C378" s="37"/>
      <c r="D378" s="36"/>
      <c r="E378" s="35"/>
      <c r="F378" s="36"/>
      <c r="G378" s="38"/>
      <c r="H378" s="36"/>
      <c r="I378" s="37"/>
      <c r="J378" s="36"/>
      <c r="K378" s="37"/>
      <c r="L378" s="37"/>
    </row>
    <row r="379" spans="1:12" x14ac:dyDescent="0.3">
      <c r="A379" s="35"/>
      <c r="B379" s="36"/>
      <c r="C379" s="37"/>
      <c r="D379" s="36"/>
      <c r="E379" s="35"/>
      <c r="F379" s="36"/>
      <c r="G379" s="38"/>
      <c r="H379" s="36"/>
      <c r="I379" s="37"/>
      <c r="J379" s="36"/>
      <c r="K379" s="37"/>
      <c r="L379" s="37"/>
    </row>
    <row r="380" spans="1:12" x14ac:dyDescent="0.3">
      <c r="A380" s="35"/>
      <c r="B380" s="36"/>
      <c r="C380" s="37"/>
      <c r="D380" s="36"/>
      <c r="E380" s="35"/>
      <c r="F380" s="36"/>
      <c r="G380" s="38"/>
      <c r="H380" s="36"/>
      <c r="I380" s="37"/>
      <c r="J380" s="36"/>
      <c r="K380" s="37"/>
      <c r="L380" s="37"/>
    </row>
    <row r="381" spans="1:12" x14ac:dyDescent="0.3">
      <c r="A381" s="35"/>
      <c r="B381" s="36"/>
      <c r="C381" s="37"/>
      <c r="D381" s="36"/>
      <c r="E381" s="35"/>
      <c r="F381" s="36"/>
      <c r="G381" s="38"/>
      <c r="H381" s="36"/>
      <c r="I381" s="37"/>
      <c r="J381" s="36"/>
      <c r="K381" s="37"/>
      <c r="L381" s="37"/>
    </row>
    <row r="382" spans="1:12" x14ac:dyDescent="0.3">
      <c r="A382" s="35"/>
      <c r="B382" s="36"/>
      <c r="C382" s="37"/>
      <c r="D382" s="36"/>
      <c r="E382" s="35"/>
      <c r="F382" s="36"/>
      <c r="G382" s="38"/>
      <c r="H382" s="36"/>
      <c r="I382" s="37"/>
      <c r="J382" s="36"/>
      <c r="K382" s="37"/>
      <c r="L382" s="37"/>
    </row>
    <row r="383" spans="1:12" x14ac:dyDescent="0.3">
      <c r="A383" s="35"/>
      <c r="B383" s="36"/>
      <c r="C383" s="37"/>
      <c r="D383" s="36"/>
      <c r="E383" s="35"/>
      <c r="F383" s="36"/>
      <c r="G383" s="38"/>
      <c r="H383" s="36"/>
      <c r="I383" s="37"/>
      <c r="J383" s="36"/>
      <c r="K383" s="37"/>
      <c r="L383" s="37"/>
    </row>
    <row r="384" spans="1:12" x14ac:dyDescent="0.3">
      <c r="A384" s="35"/>
      <c r="B384" s="36"/>
      <c r="C384" s="37"/>
      <c r="D384" s="36"/>
      <c r="E384" s="35"/>
      <c r="F384" s="36"/>
      <c r="G384" s="38"/>
      <c r="H384" s="36"/>
      <c r="I384" s="37"/>
      <c r="J384" s="36"/>
      <c r="K384" s="37"/>
      <c r="L384" s="37"/>
    </row>
    <row r="385" spans="1:12" x14ac:dyDescent="0.3">
      <c r="A385" s="35"/>
      <c r="B385" s="36"/>
      <c r="C385" s="37"/>
      <c r="D385" s="36"/>
      <c r="E385" s="35"/>
      <c r="F385" s="36"/>
      <c r="G385" s="38"/>
      <c r="H385" s="36"/>
      <c r="I385" s="37"/>
      <c r="J385" s="36"/>
      <c r="K385" s="37"/>
      <c r="L385" s="37"/>
    </row>
    <row r="386" spans="1:12" x14ac:dyDescent="0.3">
      <c r="A386" s="35"/>
      <c r="B386" s="36"/>
      <c r="C386" s="37"/>
      <c r="D386" s="36"/>
      <c r="E386" s="35"/>
      <c r="F386" s="36"/>
      <c r="G386" s="38"/>
      <c r="H386" s="36"/>
      <c r="I386" s="37"/>
      <c r="J386" s="36"/>
      <c r="K386" s="37"/>
      <c r="L386" s="37"/>
    </row>
    <row r="387" spans="1:12" x14ac:dyDescent="0.3">
      <c r="A387" s="35"/>
      <c r="B387" s="36"/>
      <c r="C387" s="37"/>
      <c r="D387" s="36"/>
      <c r="E387" s="35"/>
      <c r="F387" s="36"/>
      <c r="G387" s="38"/>
      <c r="H387" s="36"/>
      <c r="I387" s="37"/>
      <c r="J387" s="36"/>
      <c r="K387" s="37"/>
      <c r="L387" s="37"/>
    </row>
    <row r="388" spans="1:12" x14ac:dyDescent="0.3">
      <c r="A388" s="35"/>
      <c r="B388" s="36"/>
      <c r="C388" s="37"/>
      <c r="D388" s="36"/>
      <c r="E388" s="35"/>
      <c r="F388" s="36"/>
      <c r="G388" s="38"/>
      <c r="H388" s="36"/>
      <c r="I388" s="37"/>
      <c r="J388" s="36"/>
      <c r="K388" s="37"/>
      <c r="L388" s="37"/>
    </row>
    <row r="389" spans="1:12" x14ac:dyDescent="0.3">
      <c r="A389" s="35"/>
      <c r="B389" s="36"/>
      <c r="C389" s="37"/>
      <c r="D389" s="36"/>
      <c r="E389" s="35"/>
      <c r="F389" s="36"/>
      <c r="G389" s="38"/>
      <c r="H389" s="36"/>
      <c r="I389" s="37"/>
      <c r="J389" s="36"/>
      <c r="K389" s="37"/>
      <c r="L389" s="37"/>
    </row>
    <row r="390" spans="1:12" x14ac:dyDescent="0.3">
      <c r="A390" s="35"/>
      <c r="B390" s="36"/>
      <c r="C390" s="37"/>
      <c r="D390" s="36"/>
      <c r="E390" s="35"/>
      <c r="F390" s="36"/>
      <c r="G390" s="38"/>
      <c r="H390" s="36"/>
      <c r="I390" s="37"/>
      <c r="J390" s="36"/>
      <c r="K390" s="37"/>
      <c r="L390" s="37"/>
    </row>
    <row r="391" spans="1:12" x14ac:dyDescent="0.3">
      <c r="A391" s="35"/>
      <c r="B391" s="36"/>
      <c r="C391" s="37"/>
      <c r="D391" s="36"/>
      <c r="E391" s="35"/>
      <c r="F391" s="36"/>
      <c r="G391" s="38"/>
      <c r="H391" s="36"/>
      <c r="I391" s="37"/>
      <c r="J391" s="36"/>
      <c r="K391" s="37"/>
      <c r="L391" s="37"/>
    </row>
    <row r="392" spans="1:12" x14ac:dyDescent="0.3">
      <c r="A392" s="35"/>
      <c r="B392" s="36"/>
      <c r="C392" s="37"/>
      <c r="D392" s="36"/>
      <c r="E392" s="35"/>
      <c r="F392" s="36"/>
      <c r="G392" s="38"/>
      <c r="H392" s="36"/>
      <c r="I392" s="37"/>
      <c r="J392" s="36"/>
      <c r="K392" s="37"/>
      <c r="L392" s="37"/>
    </row>
    <row r="393" spans="1:12" x14ac:dyDescent="0.3">
      <c r="A393" s="35"/>
      <c r="B393" s="36"/>
      <c r="C393" s="37"/>
      <c r="D393" s="36"/>
      <c r="E393" s="35"/>
      <c r="F393" s="36"/>
      <c r="G393" s="38"/>
      <c r="H393" s="36"/>
      <c r="I393" s="37"/>
      <c r="J393" s="36"/>
      <c r="K393" s="37"/>
      <c r="L393" s="37"/>
    </row>
    <row r="394" spans="1:12" x14ac:dyDescent="0.3">
      <c r="A394" s="35"/>
      <c r="B394" s="36"/>
      <c r="C394" s="37"/>
      <c r="D394" s="36"/>
      <c r="E394" s="35"/>
      <c r="F394" s="36"/>
      <c r="G394" s="38"/>
      <c r="H394" s="36"/>
      <c r="I394" s="37"/>
      <c r="J394" s="36"/>
      <c r="K394" s="37"/>
      <c r="L394" s="37"/>
    </row>
    <row r="395" spans="1:12" x14ac:dyDescent="0.3">
      <c r="A395" s="35"/>
      <c r="B395" s="36"/>
      <c r="C395" s="37"/>
      <c r="D395" s="36"/>
      <c r="E395" s="35"/>
      <c r="F395" s="36"/>
      <c r="G395" s="38"/>
      <c r="H395" s="36"/>
      <c r="I395" s="37"/>
      <c r="J395" s="36"/>
      <c r="K395" s="37"/>
      <c r="L395" s="37"/>
    </row>
    <row r="396" spans="1:12" x14ac:dyDescent="0.3">
      <c r="A396" s="35"/>
      <c r="B396" s="36"/>
      <c r="C396" s="37"/>
      <c r="D396" s="36"/>
      <c r="E396" s="35"/>
      <c r="F396" s="36"/>
      <c r="G396" s="38"/>
      <c r="H396" s="36"/>
      <c r="I396" s="37"/>
      <c r="J396" s="36"/>
      <c r="K396" s="37"/>
      <c r="L396" s="37"/>
    </row>
    <row r="397" spans="1:12" x14ac:dyDescent="0.3">
      <c r="A397" s="35"/>
      <c r="B397" s="36"/>
      <c r="C397" s="37"/>
      <c r="D397" s="36"/>
      <c r="E397" s="35"/>
      <c r="F397" s="36"/>
      <c r="G397" s="38"/>
      <c r="H397" s="36"/>
      <c r="I397" s="37"/>
      <c r="J397" s="36"/>
      <c r="K397" s="37"/>
      <c r="L397" s="37"/>
    </row>
    <row r="398" spans="1:12" x14ac:dyDescent="0.3">
      <c r="A398" s="35"/>
      <c r="B398" s="36"/>
      <c r="C398" s="37"/>
      <c r="D398" s="36"/>
      <c r="E398" s="35"/>
      <c r="F398" s="36"/>
      <c r="G398" s="38"/>
      <c r="H398" s="36"/>
      <c r="I398" s="37"/>
      <c r="J398" s="36"/>
      <c r="K398" s="37"/>
      <c r="L398" s="37"/>
    </row>
    <row r="399" spans="1:12" x14ac:dyDescent="0.3">
      <c r="A399" s="35"/>
      <c r="B399" s="36"/>
      <c r="C399" s="37"/>
      <c r="D399" s="36"/>
      <c r="E399" s="35"/>
      <c r="F399" s="36"/>
      <c r="G399" s="38"/>
      <c r="H399" s="36"/>
      <c r="I399" s="37"/>
      <c r="J399" s="36"/>
      <c r="K399" s="37"/>
      <c r="L399" s="37"/>
    </row>
    <row r="400" spans="1:12" x14ac:dyDescent="0.3">
      <c r="A400" s="35"/>
      <c r="B400" s="36"/>
      <c r="C400" s="37"/>
      <c r="D400" s="36"/>
      <c r="E400" s="35"/>
      <c r="F400" s="36"/>
      <c r="G400" s="38"/>
      <c r="H400" s="36"/>
      <c r="I400" s="37"/>
      <c r="J400" s="36"/>
      <c r="K400" s="37"/>
      <c r="L400" s="37"/>
    </row>
    <row r="401" spans="1:12" x14ac:dyDescent="0.3">
      <c r="A401" s="35"/>
      <c r="B401" s="36"/>
      <c r="C401" s="37"/>
      <c r="D401" s="36"/>
      <c r="E401" s="35"/>
      <c r="F401" s="36"/>
      <c r="G401" s="38"/>
      <c r="H401" s="36"/>
      <c r="I401" s="37"/>
      <c r="J401" s="36"/>
      <c r="K401" s="37"/>
      <c r="L401" s="37"/>
    </row>
    <row r="402" spans="1:12" x14ac:dyDescent="0.3">
      <c r="A402" s="35"/>
      <c r="B402" s="36"/>
      <c r="C402" s="37"/>
      <c r="D402" s="36"/>
      <c r="E402" s="35"/>
      <c r="F402" s="36"/>
      <c r="G402" s="38"/>
      <c r="H402" s="36"/>
      <c r="I402" s="37"/>
      <c r="J402" s="36"/>
      <c r="K402" s="37"/>
      <c r="L402" s="37"/>
    </row>
    <row r="403" spans="1:12" x14ac:dyDescent="0.3">
      <c r="A403" s="35"/>
      <c r="B403" s="36"/>
      <c r="C403" s="37"/>
      <c r="D403" s="36"/>
      <c r="E403" s="35"/>
      <c r="F403" s="36"/>
      <c r="G403" s="38"/>
      <c r="H403" s="36"/>
      <c r="I403" s="37"/>
      <c r="J403" s="36"/>
      <c r="K403" s="37"/>
      <c r="L403" s="37"/>
    </row>
    <row r="404" spans="1:12" x14ac:dyDescent="0.3">
      <c r="A404" s="35"/>
      <c r="B404" s="36"/>
      <c r="C404" s="37"/>
      <c r="D404" s="36"/>
      <c r="E404" s="35"/>
      <c r="F404" s="36"/>
      <c r="G404" s="38"/>
      <c r="H404" s="36"/>
      <c r="I404" s="37"/>
      <c r="J404" s="36"/>
      <c r="K404" s="37"/>
      <c r="L404" s="37"/>
    </row>
    <row r="405" spans="1:12" x14ac:dyDescent="0.3">
      <c r="A405" s="35"/>
      <c r="B405" s="36"/>
      <c r="C405" s="37"/>
      <c r="D405" s="36"/>
      <c r="E405" s="35"/>
      <c r="F405" s="36"/>
      <c r="G405" s="38"/>
      <c r="H405" s="36"/>
      <c r="I405" s="37"/>
      <c r="J405" s="36"/>
      <c r="K405" s="37"/>
      <c r="L405" s="37"/>
    </row>
    <row r="406" spans="1:12" x14ac:dyDescent="0.3">
      <c r="A406" s="35"/>
      <c r="B406" s="36"/>
      <c r="C406" s="37"/>
      <c r="D406" s="36"/>
      <c r="E406" s="35"/>
      <c r="F406" s="36"/>
      <c r="G406" s="38"/>
      <c r="H406" s="36"/>
      <c r="I406" s="37"/>
      <c r="J406" s="36"/>
      <c r="K406" s="37"/>
      <c r="L406" s="37"/>
    </row>
    <row r="407" spans="1:12" x14ac:dyDescent="0.3">
      <c r="A407" s="35"/>
      <c r="B407" s="36"/>
      <c r="C407" s="37"/>
      <c r="D407" s="36"/>
      <c r="E407" s="35"/>
      <c r="F407" s="36"/>
      <c r="G407" s="38"/>
      <c r="H407" s="36"/>
      <c r="I407" s="37"/>
      <c r="J407" s="36"/>
      <c r="K407" s="37"/>
      <c r="L407" s="37"/>
    </row>
    <row r="408" spans="1:12" x14ac:dyDescent="0.3">
      <c r="A408" s="35"/>
      <c r="B408" s="36"/>
      <c r="C408" s="37"/>
      <c r="D408" s="36"/>
      <c r="E408" s="35"/>
      <c r="F408" s="36"/>
      <c r="G408" s="38"/>
      <c r="H408" s="36"/>
      <c r="I408" s="37"/>
      <c r="J408" s="36"/>
      <c r="K408" s="37"/>
      <c r="L408" s="37"/>
    </row>
    <row r="409" spans="1:12" x14ac:dyDescent="0.3">
      <c r="A409" s="35"/>
      <c r="B409" s="36"/>
      <c r="C409" s="37"/>
      <c r="D409" s="36"/>
      <c r="E409" s="35"/>
      <c r="F409" s="36"/>
      <c r="G409" s="38"/>
      <c r="H409" s="36"/>
      <c r="I409" s="37"/>
      <c r="J409" s="36"/>
      <c r="K409" s="37"/>
      <c r="L409" s="37"/>
    </row>
    <row r="410" spans="1:12" x14ac:dyDescent="0.3">
      <c r="A410" s="35"/>
      <c r="B410" s="36"/>
      <c r="C410" s="37"/>
      <c r="D410" s="36"/>
      <c r="E410" s="35"/>
      <c r="F410" s="36"/>
      <c r="G410" s="38"/>
      <c r="H410" s="36"/>
      <c r="I410" s="37"/>
      <c r="J410" s="36"/>
      <c r="K410" s="37"/>
      <c r="L410" s="37"/>
    </row>
    <row r="411" spans="1:12" x14ac:dyDescent="0.3">
      <c r="A411" s="35"/>
      <c r="B411" s="36"/>
      <c r="C411" s="37"/>
      <c r="D411" s="36"/>
      <c r="E411" s="35"/>
      <c r="F411" s="36"/>
      <c r="G411" s="38"/>
      <c r="H411" s="36"/>
      <c r="I411" s="37"/>
      <c r="J411" s="36"/>
      <c r="K411" s="37"/>
      <c r="L411" s="37"/>
    </row>
    <row r="412" spans="1:12" x14ac:dyDescent="0.3">
      <c r="A412" s="35"/>
      <c r="B412" s="36"/>
      <c r="C412" s="37"/>
      <c r="D412" s="36"/>
      <c r="E412" s="35"/>
      <c r="F412" s="36"/>
      <c r="G412" s="38"/>
      <c r="H412" s="36"/>
      <c r="I412" s="37"/>
      <c r="J412" s="36"/>
      <c r="K412" s="37"/>
      <c r="L412" s="37"/>
    </row>
    <row r="413" spans="1:12" x14ac:dyDescent="0.3">
      <c r="A413" s="35"/>
      <c r="B413" s="36"/>
      <c r="C413" s="37"/>
      <c r="D413" s="36"/>
      <c r="E413" s="35"/>
      <c r="F413" s="36"/>
      <c r="G413" s="38"/>
      <c r="H413" s="36"/>
      <c r="I413" s="37"/>
      <c r="J413" s="36"/>
      <c r="K413" s="37"/>
      <c r="L413" s="37"/>
    </row>
    <row r="414" spans="1:12" x14ac:dyDescent="0.3">
      <c r="A414" s="35"/>
      <c r="B414" s="36"/>
      <c r="C414" s="37"/>
      <c r="D414" s="36"/>
      <c r="E414" s="35"/>
      <c r="F414" s="36"/>
      <c r="G414" s="38"/>
      <c r="H414" s="36"/>
      <c r="I414" s="37"/>
      <c r="J414" s="36"/>
      <c r="K414" s="37"/>
      <c r="L414" s="37"/>
    </row>
    <row r="415" spans="1:12" x14ac:dyDescent="0.3">
      <c r="A415" s="35"/>
      <c r="B415" s="36"/>
      <c r="C415" s="37"/>
      <c r="D415" s="36"/>
      <c r="E415" s="35"/>
      <c r="F415" s="36"/>
      <c r="G415" s="38"/>
      <c r="H415" s="36"/>
      <c r="I415" s="37"/>
      <c r="J415" s="36"/>
      <c r="K415" s="37"/>
      <c r="L415" s="37"/>
    </row>
    <row r="416" spans="1:12" x14ac:dyDescent="0.3">
      <c r="A416" s="35"/>
      <c r="B416" s="36"/>
      <c r="C416" s="37"/>
      <c r="D416" s="36"/>
      <c r="E416" s="35"/>
      <c r="F416" s="36"/>
      <c r="G416" s="38"/>
      <c r="H416" s="36"/>
      <c r="I416" s="37"/>
      <c r="J416" s="36"/>
      <c r="K416" s="37"/>
      <c r="L416" s="37"/>
    </row>
    <row r="417" spans="1:12" x14ac:dyDescent="0.3">
      <c r="A417" s="35"/>
      <c r="B417" s="36"/>
      <c r="C417" s="37"/>
      <c r="D417" s="36"/>
      <c r="E417" s="35"/>
      <c r="F417" s="36"/>
      <c r="G417" s="38"/>
      <c r="H417" s="36"/>
      <c r="I417" s="37"/>
      <c r="J417" s="36"/>
      <c r="K417" s="37"/>
      <c r="L417" s="37"/>
    </row>
    <row r="418" spans="1:12" x14ac:dyDescent="0.3">
      <c r="A418" s="35"/>
      <c r="B418" s="36"/>
      <c r="C418" s="37"/>
      <c r="D418" s="36"/>
      <c r="E418" s="35"/>
      <c r="F418" s="36"/>
      <c r="G418" s="38"/>
      <c r="H418" s="36"/>
      <c r="I418" s="37"/>
      <c r="J418" s="36"/>
      <c r="K418" s="37"/>
      <c r="L418" s="37"/>
    </row>
    <row r="419" spans="1:12" x14ac:dyDescent="0.3">
      <c r="A419" s="35"/>
      <c r="B419" s="36"/>
      <c r="C419" s="37"/>
      <c r="D419" s="36"/>
      <c r="E419" s="35"/>
      <c r="F419" s="36"/>
      <c r="G419" s="38"/>
      <c r="H419" s="36"/>
      <c r="I419" s="37"/>
      <c r="J419" s="36"/>
      <c r="K419" s="37"/>
      <c r="L419" s="37"/>
    </row>
    <row r="420" spans="1:12" x14ac:dyDescent="0.3">
      <c r="A420" s="35"/>
      <c r="B420" s="36"/>
      <c r="C420" s="37"/>
      <c r="D420" s="36"/>
      <c r="E420" s="35"/>
      <c r="F420" s="36"/>
      <c r="G420" s="38"/>
      <c r="H420" s="36"/>
      <c r="I420" s="37"/>
      <c r="J420" s="36"/>
      <c r="K420" s="37"/>
      <c r="L420" s="37"/>
    </row>
    <row r="421" spans="1:12" x14ac:dyDescent="0.3">
      <c r="A421" s="35"/>
      <c r="B421" s="36"/>
      <c r="C421" s="37"/>
      <c r="D421" s="36"/>
      <c r="E421" s="35"/>
      <c r="F421" s="36"/>
      <c r="G421" s="38"/>
      <c r="H421" s="36"/>
      <c r="I421" s="37"/>
      <c r="J421" s="36"/>
      <c r="K421" s="37"/>
      <c r="L421" s="37"/>
    </row>
    <row r="422" spans="1:12" x14ac:dyDescent="0.3">
      <c r="A422" s="35"/>
      <c r="B422" s="36"/>
      <c r="C422" s="37"/>
      <c r="D422" s="36"/>
      <c r="E422" s="35"/>
      <c r="F422" s="36"/>
      <c r="G422" s="38"/>
      <c r="H422" s="36"/>
      <c r="I422" s="37"/>
      <c r="J422" s="36"/>
      <c r="K422" s="37"/>
      <c r="L422" s="37"/>
    </row>
    <row r="423" spans="1:12" x14ac:dyDescent="0.3">
      <c r="A423" s="35"/>
      <c r="B423" s="36"/>
      <c r="C423" s="37"/>
      <c r="D423" s="36"/>
      <c r="E423" s="35"/>
      <c r="F423" s="36"/>
      <c r="G423" s="38"/>
      <c r="H423" s="36"/>
      <c r="I423" s="37"/>
      <c r="J423" s="36"/>
      <c r="K423" s="37"/>
      <c r="L423" s="37"/>
    </row>
    <row r="424" spans="1:12" x14ac:dyDescent="0.3">
      <c r="A424" s="35"/>
      <c r="B424" s="36"/>
      <c r="C424" s="37"/>
      <c r="D424" s="36"/>
      <c r="E424" s="35"/>
      <c r="F424" s="36"/>
      <c r="G424" s="38"/>
      <c r="H424" s="36"/>
      <c r="I424" s="37"/>
      <c r="J424" s="36"/>
      <c r="K424" s="37"/>
      <c r="L424" s="37"/>
    </row>
    <row r="425" spans="1:12" x14ac:dyDescent="0.3">
      <c r="A425" s="35"/>
      <c r="B425" s="36"/>
      <c r="C425" s="37"/>
      <c r="D425" s="36"/>
      <c r="E425" s="35"/>
      <c r="F425" s="36"/>
      <c r="G425" s="38"/>
      <c r="H425" s="36"/>
      <c r="I425" s="37"/>
      <c r="J425" s="36"/>
      <c r="K425" s="37"/>
      <c r="L425" s="37"/>
    </row>
    <row r="426" spans="1:12" x14ac:dyDescent="0.3">
      <c r="A426" s="35"/>
      <c r="B426" s="36"/>
      <c r="C426" s="37"/>
      <c r="D426" s="36"/>
      <c r="E426" s="35"/>
      <c r="F426" s="36"/>
      <c r="G426" s="38"/>
      <c r="H426" s="36"/>
      <c r="I426" s="37"/>
      <c r="J426" s="36"/>
      <c r="K426" s="37"/>
      <c r="L426" s="37"/>
    </row>
    <row r="427" spans="1:12" x14ac:dyDescent="0.3">
      <c r="A427" s="35"/>
      <c r="B427" s="36"/>
      <c r="C427" s="37"/>
      <c r="D427" s="36"/>
      <c r="E427" s="35"/>
      <c r="F427" s="36"/>
      <c r="G427" s="38"/>
      <c r="H427" s="36"/>
      <c r="I427" s="37"/>
      <c r="J427" s="36"/>
      <c r="K427" s="37"/>
      <c r="L427" s="37"/>
    </row>
    <row r="428" spans="1:12" x14ac:dyDescent="0.3">
      <c r="A428" s="35"/>
      <c r="B428" s="36"/>
      <c r="C428" s="37"/>
      <c r="D428" s="36"/>
      <c r="E428" s="35"/>
      <c r="F428" s="36"/>
      <c r="G428" s="38"/>
      <c r="H428" s="36"/>
      <c r="I428" s="37"/>
      <c r="J428" s="36"/>
      <c r="K428" s="37"/>
      <c r="L428" s="37"/>
    </row>
    <row r="429" spans="1:12" x14ac:dyDescent="0.3">
      <c r="A429" s="35"/>
      <c r="B429" s="36"/>
      <c r="C429" s="37"/>
      <c r="D429" s="36"/>
      <c r="E429" s="35"/>
      <c r="F429" s="36"/>
      <c r="G429" s="38"/>
      <c r="H429" s="36"/>
      <c r="I429" s="37"/>
      <c r="J429" s="36"/>
      <c r="K429" s="37"/>
      <c r="L429" s="37"/>
    </row>
    <row r="430" spans="1:12" x14ac:dyDescent="0.3">
      <c r="A430" s="35"/>
      <c r="B430" s="36"/>
      <c r="C430" s="37"/>
      <c r="D430" s="36"/>
      <c r="E430" s="35"/>
      <c r="F430" s="36"/>
      <c r="G430" s="38"/>
      <c r="H430" s="36"/>
      <c r="I430" s="37"/>
      <c r="J430" s="36"/>
      <c r="K430" s="37"/>
      <c r="L430" s="37"/>
    </row>
    <row r="431" spans="1:12" x14ac:dyDescent="0.3">
      <c r="A431" s="35"/>
      <c r="B431" s="36"/>
      <c r="C431" s="37"/>
      <c r="D431" s="36"/>
      <c r="E431" s="35"/>
      <c r="F431" s="36"/>
      <c r="G431" s="38"/>
      <c r="H431" s="36"/>
      <c r="I431" s="37"/>
      <c r="J431" s="36"/>
      <c r="K431" s="37"/>
      <c r="L431" s="37"/>
    </row>
    <row r="432" spans="1:12" x14ac:dyDescent="0.3">
      <c r="A432" s="35"/>
      <c r="B432" s="36"/>
      <c r="C432" s="37"/>
      <c r="D432" s="36"/>
      <c r="E432" s="35"/>
      <c r="F432" s="36"/>
      <c r="G432" s="38"/>
      <c r="H432" s="36"/>
      <c r="I432" s="37"/>
      <c r="J432" s="36"/>
      <c r="K432" s="37"/>
      <c r="L432" s="37"/>
    </row>
    <row r="433" spans="1:12" x14ac:dyDescent="0.3">
      <c r="A433" s="35"/>
      <c r="B433" s="36"/>
      <c r="C433" s="37"/>
      <c r="D433" s="36"/>
      <c r="E433" s="35"/>
      <c r="F433" s="36"/>
      <c r="G433" s="38"/>
      <c r="H433" s="36"/>
      <c r="I433" s="37"/>
      <c r="J433" s="36"/>
      <c r="K433" s="37"/>
      <c r="L433" s="37"/>
    </row>
    <row r="434" spans="1:12" x14ac:dyDescent="0.3">
      <c r="A434" s="35"/>
      <c r="B434" s="36"/>
      <c r="C434" s="37"/>
      <c r="D434" s="36"/>
      <c r="E434" s="35"/>
      <c r="F434" s="36"/>
      <c r="G434" s="38"/>
      <c r="H434" s="36"/>
      <c r="I434" s="37"/>
      <c r="J434" s="36"/>
      <c r="K434" s="37"/>
      <c r="L434" s="37"/>
    </row>
    <row r="435" spans="1:12" x14ac:dyDescent="0.3">
      <c r="A435" s="35"/>
      <c r="B435" s="36"/>
      <c r="C435" s="37"/>
      <c r="D435" s="36"/>
      <c r="E435" s="35"/>
      <c r="F435" s="36"/>
      <c r="G435" s="38"/>
      <c r="H435" s="36"/>
      <c r="I435" s="37"/>
      <c r="J435" s="36"/>
      <c r="K435" s="37"/>
      <c r="L435" s="37"/>
    </row>
    <row r="436" spans="1:12" x14ac:dyDescent="0.3">
      <c r="A436" s="35"/>
      <c r="B436" s="36"/>
      <c r="C436" s="37"/>
      <c r="D436" s="36"/>
      <c r="E436" s="35"/>
      <c r="F436" s="36"/>
      <c r="G436" s="38"/>
      <c r="H436" s="36"/>
      <c r="I436" s="37"/>
      <c r="J436" s="36"/>
      <c r="K436" s="37"/>
      <c r="L436" s="37"/>
    </row>
    <row r="437" spans="1:12" x14ac:dyDescent="0.3">
      <c r="A437" s="35"/>
      <c r="B437" s="36"/>
      <c r="C437" s="37"/>
      <c r="D437" s="36"/>
      <c r="E437" s="35"/>
      <c r="F437" s="36"/>
      <c r="G437" s="38"/>
      <c r="H437" s="36"/>
      <c r="I437" s="37"/>
      <c r="J437" s="36"/>
      <c r="K437" s="37"/>
      <c r="L437" s="37"/>
    </row>
    <row r="438" spans="1:12" x14ac:dyDescent="0.3">
      <c r="A438" s="35"/>
      <c r="B438" s="36"/>
      <c r="C438" s="37"/>
      <c r="D438" s="36"/>
      <c r="E438" s="35"/>
      <c r="F438" s="36"/>
      <c r="G438" s="38"/>
      <c r="H438" s="36"/>
      <c r="I438" s="37"/>
      <c r="J438" s="36"/>
      <c r="K438" s="37"/>
      <c r="L438" s="37"/>
    </row>
    <row r="439" spans="1:12" x14ac:dyDescent="0.3">
      <c r="A439" s="35"/>
      <c r="B439" s="36"/>
      <c r="C439" s="37"/>
      <c r="D439" s="36"/>
      <c r="E439" s="35"/>
      <c r="F439" s="36"/>
      <c r="G439" s="38"/>
      <c r="H439" s="36"/>
      <c r="I439" s="37"/>
      <c r="J439" s="36"/>
      <c r="K439" s="37"/>
      <c r="L439" s="37"/>
    </row>
    <row r="440" spans="1:12" x14ac:dyDescent="0.3">
      <c r="A440" s="35"/>
      <c r="B440" s="36"/>
      <c r="C440" s="37"/>
      <c r="D440" s="36"/>
      <c r="E440" s="35"/>
      <c r="F440" s="36"/>
      <c r="G440" s="38"/>
      <c r="H440" s="36"/>
      <c r="I440" s="37"/>
      <c r="J440" s="36"/>
      <c r="K440" s="37"/>
      <c r="L440" s="37"/>
    </row>
    <row r="441" spans="1:12" x14ac:dyDescent="0.3">
      <c r="A441" s="35"/>
      <c r="B441" s="36"/>
      <c r="C441" s="37"/>
      <c r="D441" s="36"/>
      <c r="E441" s="35"/>
      <c r="F441" s="36"/>
      <c r="G441" s="38"/>
      <c r="H441" s="36"/>
      <c r="I441" s="37"/>
      <c r="J441" s="36"/>
      <c r="K441" s="37"/>
      <c r="L441" s="37"/>
    </row>
    <row r="442" spans="1:12" x14ac:dyDescent="0.3">
      <c r="A442" s="35"/>
      <c r="B442" s="36"/>
      <c r="C442" s="37"/>
      <c r="D442" s="36"/>
      <c r="E442" s="35"/>
      <c r="F442" s="36"/>
      <c r="G442" s="38"/>
      <c r="H442" s="36"/>
      <c r="I442" s="37"/>
      <c r="J442" s="36"/>
      <c r="K442" s="37"/>
      <c r="L442" s="37"/>
    </row>
    <row r="443" spans="1:12" x14ac:dyDescent="0.3">
      <c r="A443" s="35"/>
      <c r="B443" s="36"/>
      <c r="C443" s="37"/>
      <c r="D443" s="36"/>
      <c r="E443" s="35"/>
      <c r="F443" s="36"/>
      <c r="G443" s="38"/>
      <c r="H443" s="36"/>
      <c r="I443" s="37"/>
      <c r="J443" s="36"/>
      <c r="K443" s="37"/>
      <c r="L443" s="37"/>
    </row>
    <row r="444" spans="1:12" x14ac:dyDescent="0.3">
      <c r="A444" s="35"/>
      <c r="B444" s="36"/>
      <c r="C444" s="37"/>
      <c r="D444" s="36"/>
      <c r="E444" s="35"/>
      <c r="F444" s="36"/>
      <c r="G444" s="38"/>
      <c r="H444" s="36"/>
      <c r="I444" s="37"/>
      <c r="J444" s="36"/>
      <c r="K444" s="37"/>
      <c r="L444" s="37"/>
    </row>
    <row r="445" spans="1:12" x14ac:dyDescent="0.3">
      <c r="A445" s="35"/>
      <c r="B445" s="36"/>
      <c r="C445" s="37"/>
      <c r="D445" s="36"/>
      <c r="E445" s="35"/>
      <c r="F445" s="36"/>
      <c r="G445" s="38"/>
      <c r="H445" s="36"/>
      <c r="I445" s="37"/>
      <c r="J445" s="36"/>
      <c r="K445" s="37"/>
      <c r="L445" s="37"/>
    </row>
    <row r="446" spans="1:12" x14ac:dyDescent="0.3">
      <c r="A446" s="35"/>
      <c r="B446" s="36"/>
      <c r="C446" s="37"/>
      <c r="D446" s="36"/>
      <c r="E446" s="35"/>
      <c r="F446" s="36"/>
      <c r="G446" s="38"/>
      <c r="H446" s="36"/>
      <c r="I446" s="37"/>
      <c r="J446" s="36"/>
      <c r="K446" s="37"/>
      <c r="L446" s="37"/>
    </row>
    <row r="447" spans="1:12" x14ac:dyDescent="0.3">
      <c r="A447" s="35"/>
      <c r="B447" s="36"/>
      <c r="C447" s="37"/>
      <c r="D447" s="36"/>
      <c r="E447" s="35"/>
      <c r="F447" s="36"/>
      <c r="G447" s="38"/>
      <c r="H447" s="36"/>
      <c r="I447" s="37"/>
      <c r="J447" s="36"/>
      <c r="K447" s="37"/>
      <c r="L447" s="37"/>
    </row>
    <row r="448" spans="1:12" x14ac:dyDescent="0.3">
      <c r="A448" s="35"/>
      <c r="B448" s="36"/>
      <c r="C448" s="37"/>
      <c r="D448" s="36"/>
      <c r="E448" s="35"/>
      <c r="F448" s="36"/>
      <c r="G448" s="38"/>
      <c r="H448" s="36"/>
      <c r="I448" s="37"/>
      <c r="J448" s="36"/>
      <c r="K448" s="37"/>
      <c r="L448" s="37"/>
    </row>
    <row r="449" spans="1:12" x14ac:dyDescent="0.3">
      <c r="A449" s="35"/>
      <c r="B449" s="36"/>
      <c r="C449" s="37"/>
      <c r="D449" s="36"/>
      <c r="E449" s="35"/>
      <c r="F449" s="36"/>
      <c r="G449" s="38"/>
      <c r="H449" s="36"/>
      <c r="I449" s="37"/>
      <c r="J449" s="36"/>
      <c r="K449" s="37"/>
      <c r="L449" s="37"/>
    </row>
    <row r="450" spans="1:12" x14ac:dyDescent="0.3">
      <c r="A450" s="35"/>
      <c r="B450" s="36"/>
      <c r="C450" s="37"/>
      <c r="D450" s="36"/>
      <c r="E450" s="35"/>
      <c r="F450" s="36"/>
      <c r="G450" s="38"/>
      <c r="H450" s="36"/>
      <c r="I450" s="37"/>
      <c r="J450" s="36"/>
      <c r="K450" s="37"/>
      <c r="L450" s="37"/>
    </row>
    <row r="451" spans="1:12" x14ac:dyDescent="0.3">
      <c r="A451" s="35"/>
      <c r="B451" s="36"/>
      <c r="C451" s="37"/>
      <c r="D451" s="36"/>
      <c r="E451" s="35"/>
      <c r="F451" s="36"/>
      <c r="G451" s="38"/>
      <c r="H451" s="36"/>
      <c r="I451" s="37"/>
      <c r="J451" s="36"/>
      <c r="K451" s="37"/>
      <c r="L451" s="37"/>
    </row>
    <row r="452" spans="1:12" x14ac:dyDescent="0.3">
      <c r="A452" s="35"/>
      <c r="B452" s="36"/>
      <c r="C452" s="37"/>
      <c r="D452" s="36"/>
      <c r="E452" s="35"/>
      <c r="F452" s="36"/>
      <c r="G452" s="38"/>
      <c r="H452" s="36"/>
      <c r="I452" s="37"/>
      <c r="J452" s="36"/>
      <c r="K452" s="37"/>
      <c r="L452" s="37"/>
    </row>
    <row r="453" spans="1:12" x14ac:dyDescent="0.3">
      <c r="A453" s="35"/>
      <c r="B453" s="36"/>
      <c r="C453" s="37"/>
      <c r="D453" s="36"/>
      <c r="E453" s="35"/>
      <c r="F453" s="36"/>
      <c r="G453" s="38"/>
      <c r="H453" s="36"/>
      <c r="I453" s="37"/>
      <c r="J453" s="36"/>
      <c r="K453" s="37"/>
      <c r="L453" s="37"/>
    </row>
    <row r="454" spans="1:12" x14ac:dyDescent="0.3">
      <c r="A454" s="35"/>
      <c r="B454" s="36"/>
      <c r="C454" s="37"/>
      <c r="D454" s="36"/>
      <c r="E454" s="35"/>
      <c r="F454" s="36"/>
      <c r="G454" s="38"/>
      <c r="H454" s="36"/>
      <c r="I454" s="37"/>
      <c r="J454" s="36"/>
      <c r="K454" s="37"/>
      <c r="L454" s="37"/>
    </row>
    <row r="455" spans="1:12" x14ac:dyDescent="0.3">
      <c r="A455" s="35"/>
      <c r="B455" s="36"/>
      <c r="C455" s="37"/>
      <c r="D455" s="36"/>
      <c r="E455" s="35"/>
      <c r="F455" s="36"/>
      <c r="G455" s="38"/>
      <c r="H455" s="36"/>
      <c r="I455" s="37"/>
      <c r="J455" s="36"/>
      <c r="K455" s="37"/>
      <c r="L455" s="37"/>
    </row>
    <row r="456" spans="1:12" x14ac:dyDescent="0.3">
      <c r="A456" s="35"/>
      <c r="B456" s="36"/>
      <c r="C456" s="37"/>
      <c r="D456" s="36"/>
      <c r="E456" s="35"/>
      <c r="F456" s="36"/>
      <c r="G456" s="38"/>
      <c r="H456" s="36"/>
      <c r="I456" s="37"/>
      <c r="J456" s="36"/>
      <c r="K456" s="37"/>
      <c r="L456" s="37"/>
    </row>
    <row r="457" spans="1:12" x14ac:dyDescent="0.3">
      <c r="A457" s="35"/>
      <c r="B457" s="36"/>
      <c r="C457" s="37"/>
      <c r="D457" s="36"/>
      <c r="E457" s="35"/>
      <c r="F457" s="36"/>
      <c r="G457" s="38"/>
      <c r="H457" s="36"/>
      <c r="I457" s="37"/>
      <c r="J457" s="36"/>
      <c r="K457" s="37"/>
      <c r="L457" s="37"/>
    </row>
    <row r="458" spans="1:12" x14ac:dyDescent="0.3">
      <c r="A458" s="35"/>
      <c r="B458" s="36"/>
      <c r="C458" s="37"/>
      <c r="D458" s="36"/>
      <c r="E458" s="35"/>
      <c r="F458" s="36"/>
      <c r="G458" s="38"/>
      <c r="H458" s="36"/>
      <c r="I458" s="37"/>
      <c r="J458" s="36"/>
      <c r="K458" s="37"/>
      <c r="L458" s="37"/>
    </row>
    <row r="459" spans="1:12" x14ac:dyDescent="0.3">
      <c r="A459" s="35"/>
      <c r="B459" s="36"/>
      <c r="C459" s="37"/>
      <c r="D459" s="36"/>
      <c r="E459" s="35"/>
      <c r="F459" s="36"/>
      <c r="G459" s="38"/>
      <c r="H459" s="36"/>
      <c r="I459" s="37"/>
      <c r="J459" s="36"/>
      <c r="K459" s="37"/>
      <c r="L459" s="37"/>
    </row>
    <row r="460" spans="1:12" x14ac:dyDescent="0.3">
      <c r="A460" s="35"/>
      <c r="B460" s="36"/>
      <c r="C460" s="37"/>
      <c r="D460" s="36"/>
      <c r="E460" s="35"/>
      <c r="F460" s="36"/>
      <c r="G460" s="38"/>
      <c r="H460" s="36"/>
      <c r="I460" s="37"/>
      <c r="J460" s="36"/>
      <c r="K460" s="37"/>
      <c r="L460" s="37"/>
    </row>
    <row r="461" spans="1:12" x14ac:dyDescent="0.3">
      <c r="A461" s="35"/>
      <c r="B461" s="36"/>
      <c r="C461" s="37"/>
      <c r="D461" s="36"/>
      <c r="E461" s="35"/>
      <c r="F461" s="36"/>
      <c r="G461" s="38"/>
      <c r="H461" s="36"/>
      <c r="I461" s="37"/>
      <c r="J461" s="36"/>
      <c r="K461" s="37"/>
      <c r="L461" s="37"/>
    </row>
    <row r="462" spans="1:12" x14ac:dyDescent="0.3">
      <c r="A462" s="35"/>
      <c r="B462" s="36"/>
      <c r="C462" s="37"/>
      <c r="D462" s="36"/>
      <c r="E462" s="35"/>
      <c r="F462" s="36"/>
      <c r="G462" s="38"/>
      <c r="H462" s="36"/>
      <c r="I462" s="37"/>
      <c r="J462" s="36"/>
      <c r="K462" s="37"/>
      <c r="L462" s="37"/>
    </row>
    <row r="463" spans="1:12" x14ac:dyDescent="0.3">
      <c r="A463" s="35"/>
      <c r="B463" s="36"/>
      <c r="C463" s="37"/>
      <c r="D463" s="36"/>
      <c r="E463" s="35"/>
      <c r="F463" s="36"/>
      <c r="G463" s="38"/>
      <c r="H463" s="36"/>
      <c r="I463" s="37"/>
      <c r="J463" s="36"/>
      <c r="K463" s="37"/>
      <c r="L463" s="37"/>
    </row>
    <row r="464" spans="1:12" x14ac:dyDescent="0.3">
      <c r="A464" s="35"/>
      <c r="B464" s="36"/>
      <c r="C464" s="37"/>
      <c r="D464" s="36"/>
      <c r="E464" s="35"/>
      <c r="F464" s="36"/>
      <c r="G464" s="38"/>
      <c r="H464" s="36"/>
      <c r="I464" s="37"/>
      <c r="J464" s="36"/>
      <c r="K464" s="37"/>
      <c r="L464" s="37"/>
    </row>
    <row r="465" spans="1:12" x14ac:dyDescent="0.3">
      <c r="A465" s="35"/>
      <c r="B465" s="36"/>
      <c r="C465" s="37"/>
      <c r="D465" s="36"/>
      <c r="E465" s="35"/>
      <c r="F465" s="36"/>
      <c r="G465" s="38"/>
      <c r="H465" s="36"/>
      <c r="I465" s="37"/>
      <c r="J465" s="36"/>
      <c r="K465" s="37"/>
      <c r="L465" s="37"/>
    </row>
    <row r="466" spans="1:12" x14ac:dyDescent="0.3">
      <c r="A466" s="35"/>
      <c r="B466" s="36"/>
      <c r="C466" s="37"/>
      <c r="D466" s="36"/>
      <c r="E466" s="35"/>
      <c r="F466" s="36"/>
      <c r="G466" s="38"/>
      <c r="H466" s="36"/>
      <c r="I466" s="37"/>
      <c r="J466" s="36"/>
      <c r="K466" s="37"/>
      <c r="L466" s="37"/>
    </row>
    <row r="467" spans="1:12" x14ac:dyDescent="0.3">
      <c r="A467" s="35"/>
      <c r="B467" s="36"/>
      <c r="C467" s="37"/>
      <c r="D467" s="36"/>
      <c r="E467" s="35"/>
      <c r="F467" s="36"/>
      <c r="G467" s="38"/>
      <c r="H467" s="36"/>
      <c r="I467" s="37"/>
      <c r="J467" s="36"/>
      <c r="K467" s="37"/>
      <c r="L467" s="37"/>
    </row>
    <row r="468" spans="1:12" x14ac:dyDescent="0.3">
      <c r="A468" s="35"/>
      <c r="B468" s="36"/>
      <c r="C468" s="37"/>
      <c r="D468" s="36"/>
      <c r="E468" s="35"/>
      <c r="F468" s="36"/>
      <c r="G468" s="38"/>
      <c r="H468" s="36"/>
      <c r="I468" s="37"/>
      <c r="J468" s="36"/>
      <c r="K468" s="37"/>
      <c r="L468" s="37"/>
    </row>
    <row r="469" spans="1:12" x14ac:dyDescent="0.3">
      <c r="A469" s="35"/>
      <c r="B469" s="36"/>
      <c r="C469" s="37"/>
      <c r="D469" s="36"/>
      <c r="E469" s="35"/>
      <c r="F469" s="36"/>
      <c r="G469" s="38"/>
      <c r="H469" s="36"/>
      <c r="I469" s="37"/>
      <c r="J469" s="36"/>
      <c r="K469" s="37"/>
      <c r="L469" s="37"/>
    </row>
    <row r="470" spans="1:12" x14ac:dyDescent="0.3">
      <c r="A470" s="35"/>
      <c r="B470" s="36"/>
      <c r="C470" s="37"/>
      <c r="D470" s="36"/>
      <c r="E470" s="35"/>
      <c r="F470" s="36"/>
      <c r="G470" s="38"/>
      <c r="H470" s="36"/>
      <c r="I470" s="37"/>
      <c r="J470" s="36"/>
      <c r="K470" s="37"/>
      <c r="L470" s="37"/>
    </row>
    <row r="471" spans="1:12" x14ac:dyDescent="0.3">
      <c r="A471" s="35"/>
      <c r="B471" s="36"/>
      <c r="C471" s="37"/>
      <c r="D471" s="36"/>
      <c r="E471" s="35"/>
      <c r="F471" s="36"/>
      <c r="G471" s="38"/>
      <c r="H471" s="36"/>
      <c r="I471" s="37"/>
      <c r="J471" s="36"/>
      <c r="K471" s="37"/>
      <c r="L471" s="37"/>
    </row>
    <row r="472" spans="1:12" x14ac:dyDescent="0.3">
      <c r="A472" s="35"/>
      <c r="B472" s="36"/>
      <c r="C472" s="37"/>
      <c r="D472" s="36"/>
      <c r="E472" s="35"/>
      <c r="F472" s="36"/>
      <c r="G472" s="38"/>
      <c r="H472" s="36"/>
      <c r="I472" s="37"/>
      <c r="J472" s="36"/>
      <c r="K472" s="37"/>
      <c r="L472" s="37"/>
    </row>
    <row r="473" spans="1:12" x14ac:dyDescent="0.3">
      <c r="A473" s="35"/>
      <c r="B473" s="36"/>
      <c r="C473" s="37"/>
      <c r="D473" s="36"/>
      <c r="E473" s="35"/>
      <c r="F473" s="36"/>
      <c r="G473" s="38"/>
      <c r="H473" s="36"/>
      <c r="I473" s="37"/>
      <c r="J473" s="36"/>
      <c r="K473" s="37"/>
      <c r="L473" s="37"/>
    </row>
    <row r="474" spans="1:12" x14ac:dyDescent="0.3">
      <c r="A474" s="35"/>
      <c r="B474" s="36"/>
      <c r="C474" s="37"/>
      <c r="D474" s="36"/>
      <c r="E474" s="35"/>
      <c r="F474" s="36"/>
      <c r="G474" s="38"/>
      <c r="H474" s="36"/>
      <c r="I474" s="37"/>
      <c r="J474" s="36"/>
      <c r="K474" s="37"/>
      <c r="L474" s="37"/>
    </row>
    <row r="475" spans="1:12" x14ac:dyDescent="0.3">
      <c r="A475" s="35"/>
      <c r="B475" s="36"/>
      <c r="C475" s="37"/>
      <c r="D475" s="36"/>
      <c r="E475" s="35"/>
      <c r="F475" s="36"/>
      <c r="G475" s="38"/>
      <c r="H475" s="36"/>
      <c r="I475" s="37"/>
      <c r="J475" s="36"/>
      <c r="K475" s="37"/>
      <c r="L475" s="37"/>
    </row>
    <row r="476" spans="1:12" x14ac:dyDescent="0.3">
      <c r="A476" s="35"/>
      <c r="B476" s="36"/>
      <c r="C476" s="37"/>
      <c r="D476" s="36"/>
      <c r="E476" s="35"/>
      <c r="F476" s="36"/>
      <c r="G476" s="38"/>
      <c r="H476" s="36"/>
      <c r="I476" s="37"/>
      <c r="J476" s="36"/>
      <c r="K476" s="37"/>
      <c r="L476" s="37"/>
    </row>
    <row r="477" spans="1:12" x14ac:dyDescent="0.3">
      <c r="A477" s="35"/>
      <c r="B477" s="36"/>
      <c r="C477" s="37"/>
      <c r="D477" s="36"/>
      <c r="E477" s="35"/>
      <c r="F477" s="36"/>
      <c r="G477" s="38"/>
      <c r="H477" s="36"/>
      <c r="I477" s="37"/>
      <c r="J477" s="36"/>
      <c r="K477" s="37"/>
      <c r="L477" s="37"/>
    </row>
    <row r="478" spans="1:12" x14ac:dyDescent="0.3">
      <c r="A478" s="35"/>
      <c r="B478" s="36"/>
      <c r="C478" s="37"/>
      <c r="D478" s="36"/>
      <c r="E478" s="35"/>
      <c r="F478" s="36"/>
      <c r="G478" s="38"/>
      <c r="H478" s="36"/>
      <c r="I478" s="37"/>
      <c r="J478" s="36"/>
      <c r="K478" s="37"/>
      <c r="L478" s="37"/>
    </row>
    <row r="479" spans="1:12" x14ac:dyDescent="0.3">
      <c r="A479" s="35"/>
      <c r="B479" s="36"/>
      <c r="C479" s="37"/>
      <c r="D479" s="36"/>
      <c r="E479" s="35"/>
      <c r="F479" s="36"/>
      <c r="G479" s="38"/>
      <c r="H479" s="36"/>
      <c r="I479" s="37"/>
      <c r="J479" s="36"/>
      <c r="K479" s="37"/>
      <c r="L479" s="37"/>
    </row>
    <row r="480" spans="1:12" x14ac:dyDescent="0.3">
      <c r="A480" s="35"/>
      <c r="B480" s="36"/>
      <c r="C480" s="37"/>
      <c r="D480" s="36"/>
      <c r="E480" s="35"/>
      <c r="F480" s="36"/>
      <c r="G480" s="38"/>
      <c r="H480" s="36"/>
      <c r="I480" s="37"/>
      <c r="J480" s="36"/>
      <c r="K480" s="37"/>
      <c r="L480" s="37"/>
    </row>
    <row r="481" spans="1:12" x14ac:dyDescent="0.3">
      <c r="A481" s="35"/>
      <c r="B481" s="36"/>
      <c r="C481" s="37"/>
      <c r="D481" s="36"/>
      <c r="E481" s="35"/>
      <c r="F481" s="36"/>
      <c r="G481" s="38"/>
      <c r="H481" s="36"/>
      <c r="I481" s="37"/>
      <c r="J481" s="36"/>
      <c r="K481" s="37"/>
      <c r="L481" s="37"/>
    </row>
    <row r="482" spans="1:12" x14ac:dyDescent="0.3">
      <c r="A482" s="35"/>
      <c r="B482" s="36"/>
      <c r="C482" s="37"/>
      <c r="D482" s="36"/>
      <c r="E482" s="35"/>
      <c r="F482" s="36"/>
      <c r="G482" s="38"/>
      <c r="H482" s="36"/>
      <c r="I482" s="37"/>
      <c r="J482" s="36"/>
      <c r="K482" s="37"/>
      <c r="L482" s="37"/>
    </row>
    <row r="483" spans="1:12" x14ac:dyDescent="0.3">
      <c r="A483" s="35"/>
      <c r="B483" s="36"/>
      <c r="C483" s="37"/>
      <c r="D483" s="36"/>
      <c r="E483" s="35"/>
      <c r="F483" s="36"/>
      <c r="G483" s="38"/>
      <c r="H483" s="36"/>
      <c r="I483" s="37"/>
      <c r="J483" s="36"/>
      <c r="K483" s="37"/>
      <c r="L483" s="37"/>
    </row>
    <row r="484" spans="1:12" x14ac:dyDescent="0.3">
      <c r="A484" s="35"/>
      <c r="B484" s="36"/>
      <c r="C484" s="37"/>
      <c r="D484" s="36"/>
      <c r="E484" s="35"/>
      <c r="F484" s="36"/>
      <c r="G484" s="38"/>
      <c r="H484" s="36"/>
      <c r="I484" s="37"/>
      <c r="J484" s="36"/>
      <c r="K484" s="37"/>
      <c r="L484" s="37"/>
    </row>
    <row r="485" spans="1:12" x14ac:dyDescent="0.3">
      <c r="A485" s="35"/>
      <c r="B485" s="36"/>
      <c r="C485" s="37"/>
      <c r="D485" s="36"/>
      <c r="E485" s="35"/>
      <c r="F485" s="36"/>
      <c r="G485" s="38"/>
      <c r="H485" s="36"/>
      <c r="I485" s="37"/>
      <c r="J485" s="36"/>
      <c r="K485" s="37"/>
      <c r="L485" s="37"/>
    </row>
    <row r="486" spans="1:12" x14ac:dyDescent="0.3">
      <c r="A486" s="35"/>
      <c r="B486" s="36"/>
      <c r="C486" s="37"/>
      <c r="D486" s="36"/>
      <c r="E486" s="35"/>
      <c r="F486" s="36"/>
      <c r="G486" s="38"/>
      <c r="H486" s="36"/>
      <c r="I486" s="37"/>
      <c r="J486" s="36"/>
      <c r="K486" s="37"/>
      <c r="L486" s="37"/>
    </row>
    <row r="487" spans="1:12" x14ac:dyDescent="0.3">
      <c r="A487" s="35"/>
      <c r="B487" s="36"/>
      <c r="C487" s="37"/>
      <c r="D487" s="36"/>
      <c r="E487" s="35"/>
      <c r="F487" s="36"/>
      <c r="G487" s="38"/>
      <c r="H487" s="36"/>
      <c r="I487" s="37"/>
      <c r="J487" s="36"/>
      <c r="K487" s="37"/>
      <c r="L487" s="37"/>
    </row>
    <row r="488" spans="1:12" x14ac:dyDescent="0.3">
      <c r="A488" s="35"/>
      <c r="B488" s="36"/>
      <c r="C488" s="37"/>
      <c r="D488" s="36"/>
      <c r="E488" s="35"/>
      <c r="F488" s="36"/>
      <c r="G488" s="38"/>
      <c r="H488" s="36"/>
      <c r="I488" s="37"/>
      <c r="J488" s="36"/>
      <c r="K488" s="37"/>
      <c r="L488" s="37"/>
    </row>
    <row r="489" spans="1:12" x14ac:dyDescent="0.3">
      <c r="A489" s="35"/>
      <c r="B489" s="36"/>
      <c r="C489" s="37"/>
      <c r="D489" s="36"/>
      <c r="E489" s="35"/>
      <c r="F489" s="36"/>
      <c r="G489" s="38"/>
      <c r="H489" s="36"/>
      <c r="I489" s="37"/>
      <c r="J489" s="36"/>
      <c r="K489" s="37"/>
      <c r="L489" s="37"/>
    </row>
    <row r="490" spans="1:12" x14ac:dyDescent="0.3">
      <c r="A490" s="35"/>
      <c r="B490" s="36"/>
      <c r="C490" s="37"/>
      <c r="D490" s="36"/>
      <c r="E490" s="35"/>
      <c r="F490" s="36"/>
      <c r="G490" s="38"/>
      <c r="H490" s="36"/>
      <c r="I490" s="37"/>
      <c r="J490" s="36"/>
      <c r="K490" s="37"/>
      <c r="L490" s="37"/>
    </row>
    <row r="491" spans="1:12" x14ac:dyDescent="0.3">
      <c r="A491" s="35"/>
      <c r="B491" s="36"/>
      <c r="C491" s="37"/>
      <c r="D491" s="36"/>
      <c r="E491" s="35"/>
      <c r="F491" s="36"/>
      <c r="G491" s="38"/>
      <c r="H491" s="36"/>
      <c r="I491" s="37"/>
      <c r="J491" s="36"/>
      <c r="K491" s="37"/>
      <c r="L491" s="37"/>
    </row>
    <row r="492" spans="1:12" x14ac:dyDescent="0.3">
      <c r="A492" s="35"/>
      <c r="B492" s="36"/>
      <c r="C492" s="37"/>
      <c r="D492" s="36"/>
      <c r="E492" s="35"/>
      <c r="F492" s="36"/>
      <c r="G492" s="38"/>
      <c r="H492" s="36"/>
      <c r="I492" s="37"/>
      <c r="J492" s="36"/>
      <c r="K492" s="37"/>
      <c r="L492" s="37"/>
    </row>
    <row r="493" spans="1:12" x14ac:dyDescent="0.3">
      <c r="A493" s="35"/>
      <c r="B493" s="36"/>
      <c r="C493" s="37"/>
      <c r="D493" s="36"/>
      <c r="E493" s="35"/>
      <c r="F493" s="36"/>
      <c r="G493" s="38"/>
      <c r="H493" s="36"/>
      <c r="I493" s="37"/>
      <c r="J493" s="36"/>
      <c r="K493" s="37"/>
      <c r="L493" s="37"/>
    </row>
    <row r="494" spans="1:12" x14ac:dyDescent="0.3">
      <c r="A494" s="35"/>
      <c r="B494" s="36"/>
      <c r="C494" s="37"/>
      <c r="D494" s="36"/>
      <c r="E494" s="35"/>
      <c r="F494" s="36"/>
      <c r="G494" s="38"/>
      <c r="H494" s="36"/>
      <c r="I494" s="37"/>
      <c r="J494" s="36"/>
      <c r="K494" s="37"/>
      <c r="L494" s="37"/>
    </row>
    <row r="495" spans="1:12" x14ac:dyDescent="0.3">
      <c r="A495" s="35"/>
      <c r="B495" s="36"/>
      <c r="C495" s="37"/>
      <c r="D495" s="36"/>
      <c r="E495" s="35"/>
      <c r="F495" s="36"/>
      <c r="G495" s="38"/>
      <c r="H495" s="36"/>
      <c r="I495" s="37"/>
      <c r="J495" s="36"/>
      <c r="K495" s="37"/>
      <c r="L495" s="37"/>
    </row>
    <row r="496" spans="1:12" x14ac:dyDescent="0.3">
      <c r="A496" s="35"/>
      <c r="B496" s="36"/>
      <c r="C496" s="37"/>
      <c r="D496" s="36"/>
      <c r="E496" s="35"/>
      <c r="F496" s="36"/>
      <c r="G496" s="38"/>
      <c r="H496" s="36"/>
      <c r="I496" s="37"/>
      <c r="J496" s="36"/>
      <c r="K496" s="37"/>
      <c r="L496" s="37"/>
    </row>
    <row r="497" spans="1:12" x14ac:dyDescent="0.3">
      <c r="A497" s="35"/>
      <c r="B497" s="36"/>
      <c r="C497" s="37"/>
      <c r="D497" s="36"/>
      <c r="E497" s="35"/>
      <c r="F497" s="36"/>
      <c r="G497" s="38"/>
      <c r="H497" s="36"/>
      <c r="I497" s="37"/>
      <c r="J497" s="36"/>
      <c r="K497" s="37"/>
      <c r="L497" s="37"/>
    </row>
    <row r="498" spans="1:12" x14ac:dyDescent="0.3">
      <c r="A498" s="35"/>
      <c r="B498" s="36"/>
      <c r="C498" s="37"/>
      <c r="D498" s="36"/>
      <c r="E498" s="35"/>
      <c r="F498" s="36"/>
      <c r="G498" s="38"/>
      <c r="H498" s="36"/>
      <c r="I498" s="37"/>
      <c r="J498" s="36"/>
      <c r="K498" s="37"/>
      <c r="L498" s="37"/>
    </row>
    <row r="499" spans="1:12" x14ac:dyDescent="0.3">
      <c r="A499" s="35"/>
      <c r="B499" s="36"/>
      <c r="C499" s="37"/>
      <c r="D499" s="36"/>
      <c r="E499" s="35"/>
      <c r="F499" s="36"/>
      <c r="G499" s="38"/>
      <c r="H499" s="36"/>
      <c r="I499" s="37"/>
      <c r="J499" s="36"/>
      <c r="K499" s="37"/>
      <c r="L499" s="37"/>
    </row>
    <row r="500" spans="1:12" x14ac:dyDescent="0.3">
      <c r="A500" s="35"/>
      <c r="B500" s="36"/>
      <c r="C500" s="37"/>
      <c r="D500" s="36"/>
      <c r="E500" s="35"/>
      <c r="F500" s="36"/>
      <c r="G500" s="38"/>
      <c r="H500" s="36"/>
      <c r="I500" s="37"/>
      <c r="J500" s="36"/>
      <c r="K500" s="37"/>
      <c r="L500" s="37"/>
    </row>
    <row r="501" spans="1:12" x14ac:dyDescent="0.3">
      <c r="A501" s="35"/>
      <c r="B501" s="36"/>
      <c r="C501" s="37"/>
      <c r="D501" s="36"/>
      <c r="E501" s="35"/>
      <c r="F501" s="36"/>
      <c r="G501" s="38"/>
      <c r="H501" s="36"/>
      <c r="I501" s="37"/>
      <c r="J501" s="36"/>
      <c r="K501" s="37"/>
      <c r="L501" s="37"/>
    </row>
    <row r="502" spans="1:12" x14ac:dyDescent="0.3">
      <c r="A502" s="35"/>
      <c r="B502" s="36"/>
      <c r="C502" s="37"/>
      <c r="D502" s="36"/>
      <c r="E502" s="35"/>
      <c r="F502" s="36"/>
      <c r="G502" s="38"/>
      <c r="H502" s="36"/>
      <c r="I502" s="37"/>
      <c r="J502" s="36"/>
      <c r="K502" s="37"/>
      <c r="L502" s="37"/>
    </row>
    <row r="503" spans="1:12" x14ac:dyDescent="0.3">
      <c r="A503" s="35"/>
      <c r="B503" s="36"/>
      <c r="C503" s="37"/>
      <c r="D503" s="36"/>
      <c r="E503" s="35"/>
      <c r="F503" s="36"/>
      <c r="G503" s="38"/>
      <c r="H503" s="36"/>
      <c r="I503" s="37"/>
      <c r="J503" s="36"/>
      <c r="K503" s="37"/>
      <c r="L503" s="37"/>
    </row>
    <row r="504" spans="1:12" x14ac:dyDescent="0.3">
      <c r="A504" s="35"/>
      <c r="B504" s="36"/>
      <c r="C504" s="37"/>
      <c r="D504" s="36"/>
      <c r="E504" s="35"/>
      <c r="F504" s="36"/>
      <c r="G504" s="38"/>
      <c r="H504" s="36"/>
      <c r="I504" s="37"/>
      <c r="J504" s="36"/>
      <c r="K504" s="37"/>
      <c r="L504" s="37"/>
    </row>
    <row r="505" spans="1:12" x14ac:dyDescent="0.3">
      <c r="A505" s="35"/>
      <c r="B505" s="36"/>
      <c r="C505" s="37"/>
      <c r="D505" s="36"/>
      <c r="E505" s="35"/>
      <c r="F505" s="36"/>
      <c r="G505" s="38"/>
      <c r="H505" s="36"/>
      <c r="I505" s="37"/>
      <c r="J505" s="36"/>
      <c r="K505" s="37"/>
      <c r="L505" s="37"/>
    </row>
    <row r="506" spans="1:12" x14ac:dyDescent="0.3">
      <c r="A506" s="35"/>
      <c r="B506" s="36"/>
      <c r="C506" s="37"/>
      <c r="D506" s="36"/>
      <c r="E506" s="35"/>
      <c r="F506" s="36"/>
      <c r="G506" s="38"/>
      <c r="H506" s="36"/>
      <c r="I506" s="37"/>
      <c r="J506" s="36"/>
      <c r="K506" s="37"/>
      <c r="L506" s="37"/>
    </row>
    <row r="507" spans="1:12" x14ac:dyDescent="0.3">
      <c r="A507" s="35"/>
      <c r="B507" s="36"/>
      <c r="C507" s="37"/>
      <c r="D507" s="36"/>
      <c r="E507" s="35"/>
      <c r="F507" s="36"/>
      <c r="G507" s="38"/>
      <c r="H507" s="36"/>
      <c r="I507" s="37"/>
      <c r="J507" s="36"/>
      <c r="K507" s="37"/>
      <c r="L507" s="37"/>
    </row>
    <row r="508" spans="1:12" x14ac:dyDescent="0.3">
      <c r="A508" s="35"/>
      <c r="B508" s="36"/>
      <c r="C508" s="37"/>
      <c r="D508" s="36"/>
      <c r="E508" s="35"/>
      <c r="F508" s="36"/>
      <c r="G508" s="38"/>
      <c r="H508" s="36"/>
      <c r="I508" s="37"/>
      <c r="J508" s="36"/>
      <c r="K508" s="37"/>
      <c r="L508" s="37"/>
    </row>
    <row r="509" spans="1:12" x14ac:dyDescent="0.3">
      <c r="A509" s="35"/>
      <c r="B509" s="36"/>
      <c r="C509" s="37"/>
      <c r="D509" s="36"/>
      <c r="E509" s="35"/>
      <c r="F509" s="36"/>
      <c r="G509" s="38"/>
      <c r="H509" s="36"/>
      <c r="I509" s="37"/>
      <c r="J509" s="36"/>
      <c r="K509" s="37"/>
      <c r="L509" s="37"/>
    </row>
    <row r="510" spans="1:12" x14ac:dyDescent="0.3">
      <c r="A510" s="35"/>
      <c r="B510" s="36"/>
      <c r="C510" s="37"/>
      <c r="D510" s="36"/>
      <c r="E510" s="35"/>
      <c r="F510" s="36"/>
      <c r="G510" s="38"/>
      <c r="H510" s="36"/>
      <c r="I510" s="37"/>
      <c r="J510" s="36"/>
      <c r="K510" s="37"/>
      <c r="L510" s="37"/>
    </row>
    <row r="511" spans="1:12" x14ac:dyDescent="0.3">
      <c r="A511" s="35"/>
      <c r="B511" s="36"/>
      <c r="C511" s="37"/>
      <c r="D511" s="36"/>
      <c r="E511" s="35"/>
      <c r="F511" s="36"/>
      <c r="G511" s="38"/>
      <c r="H511" s="36"/>
      <c r="I511" s="37"/>
      <c r="J511" s="36"/>
      <c r="K511" s="37"/>
      <c r="L511" s="37"/>
    </row>
    <row r="512" spans="1:12" x14ac:dyDescent="0.3">
      <c r="A512" s="35"/>
      <c r="B512" s="36"/>
      <c r="C512" s="37"/>
      <c r="D512" s="36"/>
      <c r="E512" s="35"/>
      <c r="F512" s="36"/>
      <c r="G512" s="38"/>
      <c r="H512" s="36"/>
      <c r="I512" s="37"/>
      <c r="J512" s="36"/>
      <c r="K512" s="37"/>
      <c r="L512" s="37"/>
    </row>
    <row r="513" spans="1:12" x14ac:dyDescent="0.3">
      <c r="A513" s="35"/>
      <c r="B513" s="36"/>
      <c r="C513" s="37"/>
      <c r="D513" s="36"/>
      <c r="E513" s="35"/>
      <c r="F513" s="36"/>
      <c r="G513" s="38"/>
      <c r="H513" s="36"/>
      <c r="I513" s="37"/>
      <c r="J513" s="36"/>
      <c r="K513" s="37"/>
      <c r="L513" s="37"/>
    </row>
    <row r="514" spans="1:12" x14ac:dyDescent="0.3">
      <c r="A514" s="35"/>
      <c r="B514" s="36"/>
      <c r="C514" s="37"/>
      <c r="D514" s="36"/>
      <c r="E514" s="35"/>
      <c r="F514" s="36"/>
      <c r="G514" s="38"/>
      <c r="H514" s="36"/>
      <c r="I514" s="37"/>
      <c r="J514" s="36"/>
      <c r="K514" s="37"/>
      <c r="L514" s="37"/>
    </row>
    <row r="515" spans="1:12" x14ac:dyDescent="0.3">
      <c r="A515" s="35"/>
      <c r="B515" s="36"/>
      <c r="C515" s="37"/>
      <c r="D515" s="36"/>
      <c r="E515" s="35"/>
      <c r="F515" s="36"/>
      <c r="G515" s="38"/>
      <c r="H515" s="36"/>
      <c r="I515" s="37"/>
      <c r="J515" s="36"/>
      <c r="K515" s="37"/>
      <c r="L515" s="37"/>
    </row>
    <row r="516" spans="1:12" x14ac:dyDescent="0.3">
      <c r="A516" s="35"/>
      <c r="B516" s="36"/>
      <c r="C516" s="37"/>
      <c r="D516" s="36"/>
      <c r="E516" s="35"/>
      <c r="F516" s="36"/>
      <c r="G516" s="38"/>
      <c r="H516" s="36"/>
      <c r="I516" s="37"/>
      <c r="J516" s="36"/>
      <c r="K516" s="37"/>
      <c r="L516" s="37"/>
    </row>
    <row r="517" spans="1:12" x14ac:dyDescent="0.3">
      <c r="A517" s="35"/>
      <c r="B517" s="36"/>
      <c r="C517" s="37"/>
      <c r="D517" s="36"/>
      <c r="E517" s="35"/>
      <c r="F517" s="36"/>
      <c r="G517" s="38"/>
      <c r="H517" s="36"/>
      <c r="I517" s="37"/>
      <c r="J517" s="36"/>
      <c r="K517" s="37"/>
      <c r="L517" s="37"/>
    </row>
    <row r="518" spans="1:12" x14ac:dyDescent="0.3">
      <c r="A518" s="35"/>
      <c r="B518" s="36"/>
      <c r="C518" s="37"/>
      <c r="D518" s="36"/>
      <c r="E518" s="35"/>
      <c r="F518" s="36"/>
      <c r="G518" s="38"/>
      <c r="H518" s="36"/>
      <c r="I518" s="37"/>
      <c r="J518" s="36"/>
      <c r="K518" s="37"/>
      <c r="L518" s="37"/>
    </row>
    <row r="519" spans="1:12" x14ac:dyDescent="0.3">
      <c r="A519" s="35"/>
      <c r="B519" s="36"/>
      <c r="C519" s="37"/>
      <c r="D519" s="36"/>
      <c r="E519" s="35"/>
      <c r="F519" s="36"/>
      <c r="G519" s="38"/>
      <c r="H519" s="36"/>
      <c r="I519" s="37"/>
      <c r="J519" s="36"/>
      <c r="K519" s="37"/>
      <c r="L519" s="37"/>
    </row>
    <row r="520" spans="1:12" x14ac:dyDescent="0.3">
      <c r="A520" s="35"/>
      <c r="B520" s="36"/>
      <c r="C520" s="37"/>
      <c r="D520" s="36"/>
      <c r="E520" s="35"/>
      <c r="F520" s="36"/>
      <c r="G520" s="38"/>
      <c r="H520" s="36"/>
      <c r="I520" s="37"/>
      <c r="J520" s="36"/>
      <c r="K520" s="37"/>
      <c r="L520" s="37"/>
    </row>
    <row r="521" spans="1:12" x14ac:dyDescent="0.3">
      <c r="A521" s="35"/>
      <c r="B521" s="36"/>
      <c r="C521" s="37"/>
      <c r="D521" s="36"/>
      <c r="E521" s="35"/>
      <c r="F521" s="36"/>
      <c r="G521" s="38"/>
      <c r="H521" s="36"/>
      <c r="I521" s="37"/>
      <c r="J521" s="36"/>
      <c r="K521" s="37"/>
      <c r="L521" s="37"/>
    </row>
    <row r="522" spans="1:12" x14ac:dyDescent="0.3">
      <c r="A522" s="35"/>
      <c r="B522" s="36"/>
      <c r="C522" s="37"/>
      <c r="D522" s="36"/>
      <c r="E522" s="35"/>
      <c r="F522" s="36"/>
      <c r="G522" s="38"/>
      <c r="H522" s="36"/>
      <c r="I522" s="37"/>
      <c r="J522" s="36"/>
      <c r="K522" s="37"/>
      <c r="L522" s="37"/>
    </row>
    <row r="523" spans="1:12" x14ac:dyDescent="0.3">
      <c r="A523" s="35"/>
      <c r="B523" s="36"/>
      <c r="C523" s="37"/>
      <c r="D523" s="36"/>
      <c r="E523" s="35"/>
      <c r="F523" s="36"/>
      <c r="G523" s="38"/>
      <c r="H523" s="36"/>
      <c r="I523" s="37"/>
      <c r="J523" s="36"/>
      <c r="K523" s="37"/>
      <c r="L523" s="37"/>
    </row>
    <row r="524" spans="1:12" x14ac:dyDescent="0.3">
      <c r="A524" s="35"/>
      <c r="B524" s="36"/>
      <c r="C524" s="37"/>
      <c r="D524" s="36"/>
      <c r="E524" s="35"/>
      <c r="F524" s="36"/>
      <c r="G524" s="38"/>
      <c r="H524" s="36"/>
      <c r="I524" s="37"/>
      <c r="J524" s="36"/>
      <c r="K524" s="37"/>
      <c r="L524" s="37"/>
    </row>
    <row r="525" spans="1:12" x14ac:dyDescent="0.3">
      <c r="A525" s="35"/>
      <c r="B525" s="36"/>
      <c r="C525" s="37"/>
      <c r="D525" s="36"/>
      <c r="E525" s="35"/>
      <c r="F525" s="36"/>
      <c r="G525" s="38"/>
      <c r="H525" s="36"/>
      <c r="I525" s="37"/>
      <c r="J525" s="36"/>
      <c r="K525" s="37"/>
      <c r="L525" s="37"/>
    </row>
    <row r="526" spans="1:12" x14ac:dyDescent="0.3">
      <c r="A526" s="35"/>
      <c r="B526" s="36"/>
      <c r="C526" s="37"/>
      <c r="D526" s="36"/>
      <c r="E526" s="35"/>
      <c r="F526" s="36"/>
      <c r="G526" s="38"/>
      <c r="H526" s="36"/>
      <c r="I526" s="37"/>
      <c r="J526" s="36"/>
      <c r="K526" s="37"/>
      <c r="L526" s="37"/>
    </row>
    <row r="527" spans="1:12" x14ac:dyDescent="0.3">
      <c r="A527" s="35"/>
      <c r="B527" s="36"/>
      <c r="C527" s="37"/>
      <c r="D527" s="36"/>
      <c r="E527" s="35"/>
      <c r="F527" s="36"/>
      <c r="G527" s="38"/>
      <c r="H527" s="36"/>
      <c r="I527" s="37"/>
      <c r="J527" s="36"/>
      <c r="K527" s="37"/>
      <c r="L527" s="37"/>
    </row>
    <row r="528" spans="1:12" x14ac:dyDescent="0.3">
      <c r="A528" s="35"/>
      <c r="B528" s="36"/>
      <c r="C528" s="37"/>
      <c r="D528" s="36"/>
      <c r="E528" s="35"/>
      <c r="F528" s="36"/>
      <c r="G528" s="38"/>
      <c r="H528" s="36"/>
      <c r="I528" s="37"/>
      <c r="J528" s="36"/>
      <c r="K528" s="37"/>
      <c r="L528" s="37"/>
    </row>
    <row r="529" spans="1:12" x14ac:dyDescent="0.3">
      <c r="A529" s="35"/>
      <c r="B529" s="36"/>
      <c r="C529" s="37"/>
      <c r="D529" s="36"/>
      <c r="E529" s="35"/>
      <c r="F529" s="36"/>
      <c r="G529" s="38"/>
      <c r="H529" s="36"/>
      <c r="I529" s="37"/>
      <c r="J529" s="36"/>
      <c r="K529" s="37"/>
      <c r="L529" s="37"/>
    </row>
    <row r="530" spans="1:12" x14ac:dyDescent="0.3">
      <c r="A530" s="35"/>
      <c r="B530" s="36"/>
      <c r="C530" s="37"/>
      <c r="D530" s="36"/>
      <c r="E530" s="35"/>
      <c r="F530" s="36"/>
      <c r="G530" s="38"/>
      <c r="H530" s="36"/>
      <c r="I530" s="37"/>
      <c r="J530" s="36"/>
      <c r="K530" s="37"/>
      <c r="L530" s="37"/>
    </row>
    <row r="531" spans="1:12" x14ac:dyDescent="0.3">
      <c r="A531" s="35"/>
      <c r="B531" s="36"/>
      <c r="C531" s="37"/>
      <c r="D531" s="36"/>
      <c r="E531" s="35"/>
      <c r="F531" s="36"/>
      <c r="G531" s="38"/>
      <c r="H531" s="36"/>
      <c r="I531" s="37"/>
      <c r="J531" s="36"/>
      <c r="K531" s="37"/>
      <c r="L531" s="37"/>
    </row>
    <row r="532" spans="1:12" x14ac:dyDescent="0.3">
      <c r="A532" s="35"/>
      <c r="B532" s="36"/>
      <c r="C532" s="37"/>
      <c r="D532" s="36"/>
      <c r="E532" s="35"/>
      <c r="F532" s="36"/>
      <c r="G532" s="38"/>
      <c r="H532" s="36"/>
      <c r="I532" s="37"/>
      <c r="J532" s="36"/>
      <c r="K532" s="37"/>
      <c r="L532" s="37"/>
    </row>
    <row r="533" spans="1:12" x14ac:dyDescent="0.3">
      <c r="A533" s="35"/>
      <c r="B533" s="36"/>
      <c r="C533" s="37"/>
      <c r="D533" s="36"/>
      <c r="E533" s="35"/>
      <c r="F533" s="36"/>
      <c r="G533" s="38"/>
      <c r="H533" s="36"/>
      <c r="I533" s="37"/>
      <c r="J533" s="36"/>
      <c r="K533" s="37"/>
      <c r="L533" s="37"/>
    </row>
    <row r="534" spans="1:12" x14ac:dyDescent="0.3">
      <c r="A534" s="35"/>
      <c r="B534" s="36"/>
      <c r="C534" s="37"/>
      <c r="D534" s="36"/>
      <c r="E534" s="35"/>
      <c r="F534" s="36"/>
      <c r="G534" s="38"/>
      <c r="H534" s="36"/>
      <c r="I534" s="37"/>
      <c r="J534" s="36"/>
      <c r="K534" s="37"/>
      <c r="L534" s="37"/>
    </row>
    <row r="535" spans="1:12" x14ac:dyDescent="0.3">
      <c r="A535" s="35"/>
      <c r="B535" s="36"/>
      <c r="C535" s="37"/>
      <c r="D535" s="36"/>
      <c r="E535" s="35"/>
      <c r="F535" s="36"/>
      <c r="G535" s="38"/>
      <c r="H535" s="36"/>
      <c r="I535" s="37"/>
      <c r="J535" s="36"/>
      <c r="K535" s="37"/>
      <c r="L535" s="37"/>
    </row>
    <row r="536" spans="1:12" x14ac:dyDescent="0.3">
      <c r="A536" s="35"/>
      <c r="B536" s="36"/>
      <c r="C536" s="37"/>
      <c r="D536" s="36"/>
      <c r="E536" s="35"/>
      <c r="F536" s="36"/>
      <c r="G536" s="38"/>
      <c r="H536" s="36"/>
      <c r="I536" s="37"/>
      <c r="J536" s="36"/>
      <c r="K536" s="37"/>
      <c r="L536" s="37"/>
    </row>
    <row r="537" spans="1:12" x14ac:dyDescent="0.3">
      <c r="A537" s="35"/>
      <c r="B537" s="36"/>
      <c r="C537" s="37"/>
      <c r="D537" s="36"/>
      <c r="E537" s="35"/>
      <c r="F537" s="36"/>
      <c r="G537" s="38"/>
      <c r="H537" s="36"/>
      <c r="I537" s="37"/>
      <c r="J537" s="36"/>
      <c r="K537" s="37"/>
      <c r="L537" s="37"/>
    </row>
    <row r="538" spans="1:12" x14ac:dyDescent="0.3">
      <c r="A538" s="35"/>
      <c r="B538" s="36"/>
      <c r="C538" s="37"/>
      <c r="D538" s="36"/>
      <c r="E538" s="35"/>
      <c r="F538" s="36"/>
      <c r="G538" s="38"/>
      <c r="H538" s="36"/>
      <c r="I538" s="37"/>
      <c r="J538" s="36"/>
      <c r="K538" s="37"/>
      <c r="L538" s="37"/>
    </row>
    <row r="539" spans="1:12" x14ac:dyDescent="0.3">
      <c r="A539" s="35"/>
      <c r="B539" s="36"/>
      <c r="C539" s="37"/>
      <c r="D539" s="36"/>
      <c r="E539" s="35"/>
      <c r="F539" s="36"/>
      <c r="G539" s="38"/>
      <c r="H539" s="36"/>
      <c r="I539" s="37"/>
      <c r="J539" s="36"/>
      <c r="K539" s="37"/>
      <c r="L539" s="37"/>
    </row>
    <row r="540" spans="1:12" x14ac:dyDescent="0.3">
      <c r="A540" s="35"/>
      <c r="B540" s="36"/>
      <c r="C540" s="37"/>
      <c r="D540" s="36"/>
      <c r="E540" s="35"/>
      <c r="F540" s="36"/>
      <c r="G540" s="38"/>
      <c r="H540" s="36"/>
      <c r="I540" s="37"/>
      <c r="J540" s="36"/>
      <c r="K540" s="37"/>
      <c r="L540" s="37"/>
    </row>
    <row r="541" spans="1:12" x14ac:dyDescent="0.3">
      <c r="A541" s="35"/>
      <c r="B541" s="36"/>
      <c r="C541" s="37"/>
      <c r="D541" s="36"/>
      <c r="E541" s="35"/>
      <c r="F541" s="36"/>
      <c r="G541" s="38"/>
      <c r="H541" s="36"/>
      <c r="I541" s="37"/>
      <c r="J541" s="36"/>
      <c r="K541" s="37"/>
      <c r="L541" s="37"/>
    </row>
    <row r="542" spans="1:12" x14ac:dyDescent="0.3">
      <c r="A542" s="35"/>
      <c r="B542" s="36"/>
      <c r="C542" s="37"/>
      <c r="D542" s="36"/>
      <c r="E542" s="35"/>
      <c r="F542" s="36"/>
      <c r="G542" s="38"/>
      <c r="H542" s="36"/>
      <c r="I542" s="37"/>
      <c r="J542" s="36"/>
      <c r="K542" s="37"/>
      <c r="L542" s="37"/>
    </row>
    <row r="543" spans="1:12" x14ac:dyDescent="0.3">
      <c r="A543" s="35"/>
      <c r="B543" s="36"/>
      <c r="C543" s="37"/>
      <c r="D543" s="36"/>
      <c r="E543" s="35"/>
      <c r="F543" s="36"/>
      <c r="G543" s="38"/>
      <c r="H543" s="36"/>
      <c r="I543" s="37"/>
      <c r="J543" s="36"/>
      <c r="K543" s="37"/>
      <c r="L543" s="37"/>
    </row>
    <row r="544" spans="1:12" x14ac:dyDescent="0.3">
      <c r="A544" s="35"/>
      <c r="B544" s="36"/>
      <c r="C544" s="37"/>
      <c r="D544" s="36"/>
      <c r="E544" s="35"/>
      <c r="F544" s="36"/>
      <c r="G544" s="38"/>
      <c r="H544" s="36"/>
      <c r="I544" s="37"/>
      <c r="J544" s="36"/>
      <c r="K544" s="37"/>
      <c r="L544" s="37"/>
    </row>
    <row r="545" spans="1:12" x14ac:dyDescent="0.3">
      <c r="A545" s="35"/>
      <c r="B545" s="36"/>
      <c r="C545" s="37"/>
      <c r="D545" s="36"/>
      <c r="E545" s="35"/>
      <c r="F545" s="36"/>
      <c r="G545" s="38"/>
      <c r="H545" s="36"/>
      <c r="I545" s="37"/>
      <c r="J545" s="36"/>
      <c r="K545" s="37"/>
      <c r="L545" s="37"/>
    </row>
    <row r="546" spans="1:12" x14ac:dyDescent="0.3">
      <c r="A546" s="35"/>
      <c r="B546" s="36"/>
      <c r="C546" s="37"/>
      <c r="D546" s="36"/>
      <c r="E546" s="35"/>
      <c r="F546" s="36"/>
      <c r="G546" s="38"/>
      <c r="H546" s="36"/>
      <c r="I546" s="37"/>
      <c r="J546" s="36"/>
      <c r="K546" s="37"/>
      <c r="L546" s="37"/>
    </row>
    <row r="547" spans="1:12" x14ac:dyDescent="0.3">
      <c r="A547" s="35"/>
      <c r="B547" s="36"/>
      <c r="C547" s="37"/>
      <c r="D547" s="36"/>
      <c r="E547" s="35"/>
      <c r="F547" s="36"/>
      <c r="G547" s="38"/>
      <c r="H547" s="36"/>
      <c r="I547" s="37"/>
      <c r="J547" s="36"/>
      <c r="K547" s="37"/>
      <c r="L547" s="37"/>
    </row>
    <row r="548" spans="1:12" x14ac:dyDescent="0.3">
      <c r="A548" s="35"/>
      <c r="B548" s="36"/>
      <c r="C548" s="37"/>
      <c r="D548" s="36"/>
      <c r="E548" s="35"/>
      <c r="F548" s="36"/>
      <c r="G548" s="38"/>
      <c r="H548" s="36"/>
      <c r="I548" s="37"/>
      <c r="J548" s="36"/>
      <c r="K548" s="37"/>
      <c r="L548" s="37"/>
    </row>
    <row r="549" spans="1:12" x14ac:dyDescent="0.3">
      <c r="A549" s="35"/>
      <c r="B549" s="36"/>
      <c r="C549" s="37"/>
      <c r="D549" s="36"/>
      <c r="E549" s="35"/>
      <c r="F549" s="36"/>
      <c r="G549" s="38"/>
      <c r="H549" s="36"/>
      <c r="I549" s="37"/>
      <c r="J549" s="36"/>
      <c r="K549" s="37"/>
      <c r="L549" s="37"/>
    </row>
    <row r="550" spans="1:12" x14ac:dyDescent="0.3">
      <c r="A550" s="35"/>
      <c r="B550" s="36"/>
      <c r="C550" s="37"/>
      <c r="D550" s="36"/>
      <c r="E550" s="35"/>
      <c r="F550" s="36"/>
      <c r="G550" s="38"/>
      <c r="H550" s="36"/>
      <c r="I550" s="37"/>
      <c r="J550" s="36"/>
      <c r="K550" s="37"/>
      <c r="L550" s="37"/>
    </row>
    <row r="551" spans="1:12" x14ac:dyDescent="0.3">
      <c r="A551" s="35"/>
      <c r="B551" s="36"/>
      <c r="C551" s="37"/>
      <c r="D551" s="36"/>
      <c r="E551" s="35"/>
      <c r="F551" s="36"/>
      <c r="G551" s="38"/>
      <c r="H551" s="36"/>
      <c r="I551" s="37"/>
      <c r="J551" s="36"/>
      <c r="K551" s="37"/>
      <c r="L551" s="37"/>
    </row>
    <row r="552" spans="1:12" x14ac:dyDescent="0.3">
      <c r="A552" s="35"/>
      <c r="B552" s="36"/>
      <c r="C552" s="37"/>
      <c r="D552" s="36"/>
      <c r="E552" s="35"/>
      <c r="F552" s="36"/>
      <c r="G552" s="38"/>
      <c r="H552" s="36"/>
      <c r="I552" s="37"/>
      <c r="J552" s="36"/>
      <c r="K552" s="37"/>
      <c r="L552" s="37"/>
    </row>
    <row r="553" spans="1:12" x14ac:dyDescent="0.3">
      <c r="A553" s="35"/>
      <c r="B553" s="36"/>
      <c r="C553" s="37"/>
      <c r="D553" s="36"/>
      <c r="E553" s="35"/>
      <c r="F553" s="36"/>
      <c r="G553" s="38"/>
      <c r="H553" s="36"/>
      <c r="I553" s="37"/>
      <c r="J553" s="36"/>
      <c r="K553" s="37"/>
      <c r="L553" s="37"/>
    </row>
    <row r="554" spans="1:12" x14ac:dyDescent="0.3">
      <c r="A554" s="35"/>
      <c r="B554" s="36"/>
      <c r="C554" s="37"/>
      <c r="D554" s="36"/>
      <c r="E554" s="35"/>
      <c r="F554" s="36"/>
      <c r="G554" s="38"/>
      <c r="H554" s="36"/>
      <c r="I554" s="37"/>
      <c r="J554" s="36"/>
      <c r="K554" s="37"/>
      <c r="L554" s="37"/>
    </row>
    <row r="555" spans="1:12" x14ac:dyDescent="0.3">
      <c r="A555" s="35"/>
      <c r="B555" s="36"/>
      <c r="C555" s="37"/>
      <c r="D555" s="36"/>
      <c r="E555" s="35"/>
      <c r="F555" s="36"/>
      <c r="G555" s="38"/>
      <c r="H555" s="36"/>
      <c r="I555" s="37"/>
      <c r="J555" s="36"/>
      <c r="K555" s="37"/>
      <c r="L555" s="37"/>
    </row>
    <row r="556" spans="1:12" x14ac:dyDescent="0.3">
      <c r="A556" s="35"/>
      <c r="B556" s="36"/>
      <c r="C556" s="37"/>
      <c r="D556" s="36"/>
      <c r="E556" s="35"/>
      <c r="F556" s="36"/>
      <c r="G556" s="38"/>
      <c r="H556" s="36"/>
      <c r="I556" s="37"/>
      <c r="J556" s="36"/>
      <c r="K556" s="37"/>
      <c r="L556" s="37"/>
    </row>
    <row r="557" spans="1:12" x14ac:dyDescent="0.3">
      <c r="A557" s="35"/>
      <c r="B557" s="36"/>
      <c r="C557" s="37"/>
      <c r="D557" s="36"/>
      <c r="E557" s="35"/>
      <c r="F557" s="36"/>
      <c r="G557" s="38"/>
      <c r="H557" s="36"/>
      <c r="I557" s="37"/>
      <c r="J557" s="36"/>
      <c r="K557" s="37"/>
      <c r="L557" s="37"/>
    </row>
    <row r="558" spans="1:12" x14ac:dyDescent="0.3">
      <c r="A558" s="35"/>
      <c r="B558" s="36"/>
      <c r="C558" s="37"/>
      <c r="D558" s="36"/>
      <c r="E558" s="35"/>
      <c r="F558" s="36"/>
      <c r="G558" s="38"/>
      <c r="H558" s="36"/>
      <c r="I558" s="37"/>
      <c r="J558" s="36"/>
      <c r="K558" s="37"/>
      <c r="L558" s="37"/>
    </row>
    <row r="559" spans="1:12" x14ac:dyDescent="0.3">
      <c r="A559" s="35"/>
      <c r="B559" s="36"/>
      <c r="C559" s="37"/>
      <c r="D559" s="36"/>
      <c r="E559" s="35"/>
      <c r="F559" s="36"/>
      <c r="G559" s="38"/>
      <c r="H559" s="36"/>
      <c r="I559" s="37"/>
      <c r="J559" s="36"/>
      <c r="K559" s="37"/>
      <c r="L559" s="37"/>
    </row>
    <row r="560" spans="1:12" x14ac:dyDescent="0.3">
      <c r="A560" s="35"/>
      <c r="B560" s="36"/>
      <c r="C560" s="37"/>
      <c r="D560" s="36"/>
      <c r="E560" s="35"/>
      <c r="F560" s="36"/>
      <c r="G560" s="38"/>
      <c r="H560" s="36"/>
      <c r="I560" s="37"/>
      <c r="J560" s="36"/>
      <c r="K560" s="37"/>
      <c r="L560" s="37"/>
    </row>
    <row r="561" spans="1:12" x14ac:dyDescent="0.3">
      <c r="A561" s="35"/>
      <c r="B561" s="36"/>
      <c r="C561" s="37"/>
      <c r="D561" s="36"/>
      <c r="E561" s="35"/>
      <c r="F561" s="36"/>
      <c r="G561" s="38"/>
      <c r="H561" s="36"/>
      <c r="I561" s="37"/>
      <c r="J561" s="36"/>
      <c r="K561" s="37"/>
      <c r="L561" s="37"/>
    </row>
    <row r="562" spans="1:12" x14ac:dyDescent="0.3">
      <c r="A562" s="35"/>
      <c r="B562" s="36"/>
      <c r="C562" s="37"/>
      <c r="D562" s="36"/>
      <c r="E562" s="35"/>
      <c r="F562" s="36"/>
      <c r="G562" s="38"/>
      <c r="H562" s="36"/>
      <c r="I562" s="37"/>
      <c r="J562" s="36"/>
      <c r="K562" s="37"/>
      <c r="L562" s="37"/>
    </row>
    <row r="563" spans="1:12" x14ac:dyDescent="0.3">
      <c r="A563" s="35"/>
      <c r="B563" s="36"/>
      <c r="C563" s="37"/>
      <c r="D563" s="36"/>
      <c r="E563" s="35"/>
      <c r="F563" s="36"/>
      <c r="G563" s="38"/>
      <c r="H563" s="36"/>
      <c r="I563" s="37"/>
      <c r="J563" s="36"/>
      <c r="K563" s="37"/>
      <c r="L563" s="37"/>
    </row>
    <row r="564" spans="1:12" x14ac:dyDescent="0.3">
      <c r="A564" s="35"/>
      <c r="B564" s="36"/>
      <c r="C564" s="37"/>
      <c r="D564" s="36"/>
      <c r="E564" s="35"/>
      <c r="F564" s="36"/>
      <c r="G564" s="38"/>
      <c r="H564" s="36"/>
      <c r="I564" s="37"/>
      <c r="J564" s="36"/>
      <c r="K564" s="37"/>
      <c r="L564" s="37"/>
    </row>
    <row r="565" spans="1:12" x14ac:dyDescent="0.3">
      <c r="A565" s="35"/>
      <c r="B565" s="36"/>
      <c r="C565" s="37"/>
      <c r="D565" s="36"/>
      <c r="E565" s="35"/>
      <c r="F565" s="36"/>
      <c r="G565" s="38"/>
      <c r="H565" s="36"/>
      <c r="I565" s="37"/>
      <c r="J565" s="36"/>
      <c r="K565" s="37"/>
      <c r="L565" s="37"/>
    </row>
    <row r="566" spans="1:12" x14ac:dyDescent="0.3">
      <c r="A566" s="35"/>
      <c r="B566" s="36"/>
      <c r="C566" s="37"/>
      <c r="D566" s="36"/>
      <c r="E566" s="35"/>
      <c r="F566" s="36"/>
      <c r="G566" s="38"/>
      <c r="H566" s="36"/>
      <c r="I566" s="37"/>
      <c r="J566" s="36"/>
      <c r="K566" s="37"/>
      <c r="L566" s="37"/>
    </row>
    <row r="567" spans="1:12" x14ac:dyDescent="0.3">
      <c r="A567" s="35"/>
      <c r="B567" s="36"/>
      <c r="C567" s="37"/>
      <c r="D567" s="36"/>
      <c r="E567" s="35"/>
      <c r="F567" s="36"/>
      <c r="G567" s="38"/>
      <c r="H567" s="36"/>
      <c r="I567" s="37"/>
      <c r="J567" s="36"/>
      <c r="K567" s="37"/>
      <c r="L567" s="37"/>
    </row>
    <row r="568" spans="1:12" x14ac:dyDescent="0.3">
      <c r="A568" s="35"/>
      <c r="B568" s="36"/>
      <c r="C568" s="37"/>
      <c r="D568" s="36"/>
      <c r="E568" s="35"/>
      <c r="F568" s="36"/>
      <c r="G568" s="38"/>
      <c r="H568" s="36"/>
      <c r="I568" s="37"/>
      <c r="J568" s="36"/>
      <c r="K568" s="37"/>
      <c r="L568" s="37"/>
    </row>
    <row r="569" spans="1:12" x14ac:dyDescent="0.3">
      <c r="A569" s="35"/>
      <c r="B569" s="36"/>
      <c r="C569" s="37"/>
      <c r="D569" s="36"/>
      <c r="E569" s="35"/>
      <c r="F569" s="36"/>
      <c r="G569" s="38"/>
      <c r="H569" s="36"/>
      <c r="I569" s="37"/>
      <c r="J569" s="36"/>
      <c r="K569" s="37"/>
      <c r="L569" s="37"/>
    </row>
    <row r="570" spans="1:12" x14ac:dyDescent="0.3">
      <c r="A570" s="35"/>
      <c r="B570" s="36"/>
      <c r="C570" s="37"/>
      <c r="D570" s="36"/>
      <c r="E570" s="35"/>
      <c r="F570" s="36"/>
      <c r="G570" s="38"/>
      <c r="H570" s="36"/>
      <c r="I570" s="37"/>
      <c r="J570" s="36"/>
      <c r="K570" s="37"/>
      <c r="L570" s="37"/>
    </row>
    <row r="571" spans="1:12" x14ac:dyDescent="0.3">
      <c r="A571" s="35"/>
      <c r="B571" s="36"/>
      <c r="C571" s="37"/>
      <c r="D571" s="36"/>
      <c r="E571" s="35"/>
      <c r="F571" s="36"/>
      <c r="G571" s="38"/>
      <c r="H571" s="36"/>
      <c r="I571" s="37"/>
      <c r="J571" s="36"/>
      <c r="K571" s="37"/>
      <c r="L571" s="37"/>
    </row>
    <row r="572" spans="1:12" x14ac:dyDescent="0.3">
      <c r="A572" s="35"/>
      <c r="B572" s="36"/>
      <c r="C572" s="37"/>
      <c r="D572" s="36"/>
      <c r="E572" s="35"/>
      <c r="F572" s="36"/>
      <c r="G572" s="38"/>
      <c r="H572" s="36"/>
      <c r="I572" s="37"/>
      <c r="J572" s="36"/>
      <c r="K572" s="37"/>
      <c r="L572" s="37"/>
    </row>
    <row r="573" spans="1:12" x14ac:dyDescent="0.3">
      <c r="A573" s="35"/>
      <c r="B573" s="36"/>
      <c r="C573" s="37"/>
      <c r="D573" s="36"/>
      <c r="E573" s="35"/>
      <c r="F573" s="36"/>
      <c r="G573" s="38"/>
      <c r="H573" s="36"/>
      <c r="I573" s="37"/>
      <c r="J573" s="36"/>
      <c r="K573" s="37"/>
      <c r="L573" s="37"/>
    </row>
    <row r="574" spans="1:12" x14ac:dyDescent="0.3">
      <c r="A574" s="35"/>
      <c r="B574" s="36"/>
      <c r="C574" s="37"/>
      <c r="D574" s="36"/>
      <c r="E574" s="35"/>
      <c r="F574" s="36"/>
      <c r="G574" s="38"/>
      <c r="H574" s="36"/>
      <c r="I574" s="37"/>
      <c r="J574" s="36"/>
      <c r="K574" s="37"/>
      <c r="L574" s="37"/>
    </row>
    <row r="575" spans="1:12" x14ac:dyDescent="0.3">
      <c r="A575" s="35"/>
      <c r="B575" s="36"/>
      <c r="C575" s="37"/>
      <c r="D575" s="36"/>
      <c r="E575" s="35"/>
      <c r="F575" s="36"/>
      <c r="G575" s="38"/>
      <c r="H575" s="36"/>
      <c r="I575" s="37"/>
      <c r="J575" s="36"/>
      <c r="K575" s="37"/>
      <c r="L575" s="37"/>
    </row>
    <row r="576" spans="1:12" x14ac:dyDescent="0.3">
      <c r="A576" s="35"/>
      <c r="B576" s="36"/>
      <c r="C576" s="37"/>
      <c r="D576" s="36"/>
      <c r="E576" s="35"/>
      <c r="F576" s="36"/>
      <c r="G576" s="38"/>
      <c r="H576" s="36"/>
      <c r="I576" s="37"/>
      <c r="J576" s="36"/>
      <c r="K576" s="37"/>
      <c r="L576" s="37"/>
    </row>
    <row r="577" spans="1:12" x14ac:dyDescent="0.3">
      <c r="A577" s="35"/>
      <c r="B577" s="36"/>
      <c r="C577" s="37"/>
      <c r="D577" s="36"/>
      <c r="E577" s="35"/>
      <c r="F577" s="36"/>
      <c r="G577" s="38"/>
      <c r="H577" s="36"/>
      <c r="I577" s="37"/>
      <c r="J577" s="36"/>
      <c r="K577" s="37"/>
      <c r="L577" s="37"/>
    </row>
    <row r="578" spans="1:12" x14ac:dyDescent="0.3">
      <c r="A578" s="35"/>
      <c r="B578" s="36"/>
      <c r="C578" s="37"/>
      <c r="D578" s="36"/>
      <c r="E578" s="35"/>
      <c r="F578" s="36"/>
      <c r="G578" s="38"/>
      <c r="H578" s="36"/>
      <c r="I578" s="37"/>
      <c r="J578" s="36"/>
      <c r="K578" s="37"/>
      <c r="L578" s="37"/>
    </row>
    <row r="579" spans="1:12" x14ac:dyDescent="0.3">
      <c r="A579" s="35"/>
      <c r="B579" s="36"/>
      <c r="C579" s="37"/>
      <c r="D579" s="36"/>
      <c r="E579" s="35"/>
      <c r="F579" s="36"/>
      <c r="G579" s="38"/>
      <c r="H579" s="36"/>
      <c r="I579" s="37"/>
      <c r="J579" s="36"/>
      <c r="K579" s="37"/>
      <c r="L579" s="37"/>
    </row>
    <row r="580" spans="1:12" x14ac:dyDescent="0.3">
      <c r="A580" s="35"/>
      <c r="B580" s="36"/>
      <c r="C580" s="37"/>
      <c r="D580" s="36"/>
      <c r="E580" s="35"/>
      <c r="F580" s="36"/>
      <c r="G580" s="38"/>
      <c r="H580" s="36"/>
      <c r="I580" s="37"/>
      <c r="J580" s="36"/>
      <c r="K580" s="37"/>
      <c r="L580" s="37"/>
    </row>
    <row r="581" spans="1:12" x14ac:dyDescent="0.3">
      <c r="A581" s="35"/>
      <c r="B581" s="36"/>
      <c r="C581" s="37"/>
      <c r="D581" s="36"/>
      <c r="E581" s="35"/>
      <c r="F581" s="36"/>
      <c r="G581" s="38"/>
      <c r="H581" s="36"/>
      <c r="I581" s="37"/>
      <c r="J581" s="36"/>
      <c r="K581" s="37"/>
      <c r="L581" s="37"/>
    </row>
    <row r="582" spans="1:12" x14ac:dyDescent="0.3">
      <c r="A582" s="35"/>
      <c r="B582" s="36"/>
      <c r="C582" s="37"/>
      <c r="D582" s="36"/>
      <c r="E582" s="35"/>
      <c r="F582" s="36"/>
      <c r="G582" s="38"/>
      <c r="H582" s="36"/>
      <c r="I582" s="37"/>
      <c r="J582" s="36"/>
      <c r="K582" s="37"/>
      <c r="L582" s="37"/>
    </row>
    <row r="583" spans="1:12" x14ac:dyDescent="0.3">
      <c r="A583" s="35"/>
      <c r="B583" s="36"/>
      <c r="C583" s="37"/>
      <c r="D583" s="36"/>
      <c r="E583" s="35"/>
      <c r="F583" s="36"/>
      <c r="G583" s="38"/>
      <c r="H583" s="36"/>
      <c r="I583" s="37"/>
      <c r="J583" s="36"/>
      <c r="K583" s="37"/>
      <c r="L583" s="37"/>
    </row>
    <row r="584" spans="1:12" x14ac:dyDescent="0.3">
      <c r="A584" s="35"/>
      <c r="B584" s="36"/>
      <c r="C584" s="37"/>
      <c r="D584" s="36"/>
      <c r="E584" s="35"/>
      <c r="F584" s="36"/>
      <c r="G584" s="38"/>
      <c r="H584" s="36"/>
      <c r="I584" s="37"/>
      <c r="J584" s="36"/>
      <c r="K584" s="37"/>
      <c r="L584" s="37"/>
    </row>
    <row r="585" spans="1:12" x14ac:dyDescent="0.3">
      <c r="A585" s="35"/>
      <c r="B585" s="36"/>
      <c r="C585" s="37"/>
      <c r="D585" s="36"/>
      <c r="E585" s="35"/>
      <c r="F585" s="36"/>
      <c r="G585" s="38"/>
      <c r="H585" s="36"/>
      <c r="I585" s="37"/>
      <c r="J585" s="36"/>
      <c r="K585" s="37"/>
      <c r="L585" s="37"/>
    </row>
    <row r="586" spans="1:12" x14ac:dyDescent="0.3">
      <c r="A586" s="35"/>
      <c r="B586" s="36"/>
      <c r="C586" s="37"/>
      <c r="D586" s="36"/>
      <c r="E586" s="35"/>
      <c r="F586" s="36"/>
      <c r="G586" s="38"/>
      <c r="H586" s="36"/>
      <c r="I586" s="37"/>
      <c r="J586" s="36"/>
      <c r="K586" s="37"/>
      <c r="L586" s="37"/>
    </row>
    <row r="587" spans="1:12" x14ac:dyDescent="0.3">
      <c r="A587" s="35"/>
      <c r="B587" s="36"/>
      <c r="C587" s="37"/>
      <c r="D587" s="36"/>
      <c r="E587" s="35"/>
      <c r="F587" s="36"/>
      <c r="G587" s="38"/>
      <c r="H587" s="36"/>
      <c r="I587" s="37"/>
      <c r="J587" s="36"/>
      <c r="K587" s="37"/>
      <c r="L587" s="37"/>
    </row>
    <row r="588" spans="1:12" x14ac:dyDescent="0.3">
      <c r="A588" s="35"/>
      <c r="B588" s="36"/>
      <c r="C588" s="37"/>
      <c r="D588" s="36"/>
      <c r="E588" s="35"/>
      <c r="F588" s="36"/>
      <c r="G588" s="38"/>
      <c r="H588" s="36"/>
      <c r="I588" s="37"/>
      <c r="J588" s="36"/>
      <c r="K588" s="37"/>
      <c r="L588" s="37"/>
    </row>
    <row r="589" spans="1:12" x14ac:dyDescent="0.3">
      <c r="A589" s="35"/>
      <c r="B589" s="36"/>
      <c r="C589" s="37"/>
      <c r="D589" s="36"/>
      <c r="E589" s="35"/>
      <c r="F589" s="36"/>
      <c r="G589" s="38"/>
      <c r="H589" s="36"/>
      <c r="I589" s="37"/>
      <c r="J589" s="36"/>
      <c r="K589" s="37"/>
      <c r="L589" s="37"/>
    </row>
    <row r="590" spans="1:12" x14ac:dyDescent="0.3">
      <c r="A590" s="35"/>
      <c r="B590" s="36"/>
      <c r="C590" s="37"/>
      <c r="D590" s="36"/>
      <c r="E590" s="35"/>
      <c r="F590" s="36"/>
      <c r="G590" s="38"/>
      <c r="H590" s="36"/>
      <c r="I590" s="37"/>
      <c r="J590" s="36"/>
      <c r="K590" s="37"/>
      <c r="L590" s="37"/>
    </row>
    <row r="591" spans="1:12" x14ac:dyDescent="0.3">
      <c r="A591" s="35"/>
      <c r="B591" s="36"/>
      <c r="C591" s="37"/>
      <c r="D591" s="36"/>
      <c r="E591" s="35"/>
      <c r="F591" s="36"/>
      <c r="G591" s="38"/>
      <c r="H591" s="36"/>
      <c r="I591" s="37"/>
      <c r="J591" s="36"/>
      <c r="K591" s="37"/>
      <c r="L591" s="37"/>
    </row>
    <row r="592" spans="1:12" x14ac:dyDescent="0.3">
      <c r="A592" s="35"/>
      <c r="B592" s="36"/>
      <c r="C592" s="37"/>
      <c r="D592" s="36"/>
      <c r="E592" s="35"/>
      <c r="F592" s="36"/>
      <c r="G592" s="38"/>
      <c r="H592" s="36"/>
      <c r="I592" s="37"/>
      <c r="J592" s="36"/>
      <c r="K592" s="37"/>
      <c r="L592" s="37"/>
    </row>
    <row r="593" spans="1:12" x14ac:dyDescent="0.3">
      <c r="A593" s="35"/>
      <c r="B593" s="36"/>
      <c r="C593" s="37"/>
      <c r="D593" s="36"/>
      <c r="E593" s="35"/>
      <c r="F593" s="36"/>
      <c r="G593" s="38"/>
      <c r="H593" s="36"/>
      <c r="I593" s="37"/>
      <c r="J593" s="36"/>
      <c r="K593" s="37"/>
      <c r="L593" s="37"/>
    </row>
    <row r="594" spans="1:12" x14ac:dyDescent="0.3">
      <c r="A594" s="35"/>
      <c r="B594" s="36"/>
      <c r="C594" s="37"/>
      <c r="D594" s="36"/>
      <c r="E594" s="35"/>
      <c r="F594" s="36"/>
      <c r="G594" s="38"/>
      <c r="H594" s="36"/>
      <c r="I594" s="37"/>
      <c r="J594" s="36"/>
      <c r="K594" s="37"/>
      <c r="L594" s="37"/>
    </row>
    <row r="595" spans="1:12" x14ac:dyDescent="0.3">
      <c r="A595" s="35"/>
      <c r="B595" s="36"/>
      <c r="C595" s="37"/>
      <c r="D595" s="36"/>
      <c r="E595" s="35"/>
      <c r="F595" s="36"/>
      <c r="G595" s="38"/>
      <c r="H595" s="36"/>
      <c r="I595" s="37"/>
      <c r="J595" s="36"/>
      <c r="K595" s="37"/>
      <c r="L595" s="37"/>
    </row>
    <row r="596" spans="1:12" x14ac:dyDescent="0.3">
      <c r="A596" s="35"/>
      <c r="B596" s="36"/>
      <c r="C596" s="37"/>
      <c r="D596" s="36"/>
      <c r="E596" s="35"/>
      <c r="F596" s="36"/>
      <c r="G596" s="38"/>
      <c r="H596" s="36"/>
      <c r="I596" s="37"/>
      <c r="J596" s="36"/>
      <c r="K596" s="37"/>
      <c r="L596" s="37"/>
    </row>
    <row r="597" spans="1:12" x14ac:dyDescent="0.3">
      <c r="A597" s="35"/>
      <c r="B597" s="36"/>
      <c r="C597" s="37"/>
      <c r="D597" s="36"/>
      <c r="E597" s="35"/>
      <c r="F597" s="36"/>
      <c r="G597" s="38"/>
      <c r="H597" s="36"/>
      <c r="I597" s="37"/>
      <c r="J597" s="36"/>
      <c r="K597" s="37"/>
      <c r="L597" s="37"/>
    </row>
    <row r="598" spans="1:12" x14ac:dyDescent="0.3">
      <c r="A598" s="35"/>
      <c r="B598" s="36"/>
      <c r="C598" s="37"/>
      <c r="D598" s="36"/>
      <c r="E598" s="35"/>
      <c r="F598" s="36"/>
      <c r="G598" s="38"/>
      <c r="H598" s="36"/>
      <c r="I598" s="37"/>
      <c r="J598" s="36"/>
      <c r="K598" s="37"/>
      <c r="L598" s="37"/>
    </row>
    <row r="599" spans="1:12" x14ac:dyDescent="0.3">
      <c r="A599" s="35"/>
      <c r="B599" s="36"/>
      <c r="C599" s="37"/>
      <c r="D599" s="36"/>
      <c r="E599" s="35"/>
      <c r="F599" s="36"/>
      <c r="G599" s="38"/>
      <c r="H599" s="36"/>
      <c r="I599" s="37"/>
      <c r="J599" s="36"/>
      <c r="K599" s="37"/>
      <c r="L599" s="37"/>
    </row>
    <row r="600" spans="1:12" x14ac:dyDescent="0.3">
      <c r="A600" s="35"/>
      <c r="B600" s="36"/>
      <c r="C600" s="37"/>
      <c r="D600" s="36"/>
      <c r="E600" s="35"/>
      <c r="F600" s="36"/>
      <c r="G600" s="38"/>
      <c r="H600" s="36"/>
      <c r="I600" s="37"/>
      <c r="J600" s="36"/>
      <c r="K600" s="37"/>
      <c r="L600" s="37"/>
    </row>
    <row r="601" spans="1:12" x14ac:dyDescent="0.3">
      <c r="A601" s="35"/>
      <c r="B601" s="36"/>
      <c r="C601" s="37"/>
      <c r="D601" s="36"/>
      <c r="E601" s="35"/>
      <c r="F601" s="36"/>
      <c r="G601" s="38"/>
      <c r="H601" s="36"/>
      <c r="I601" s="37"/>
      <c r="J601" s="36"/>
      <c r="K601" s="37"/>
      <c r="L601" s="37"/>
    </row>
    <row r="602" spans="1:12" x14ac:dyDescent="0.3">
      <c r="A602" s="35"/>
      <c r="B602" s="36"/>
      <c r="C602" s="37"/>
      <c r="D602" s="36"/>
      <c r="E602" s="35"/>
      <c r="F602" s="36"/>
      <c r="G602" s="38"/>
      <c r="H602" s="36"/>
      <c r="I602" s="37"/>
      <c r="J602" s="36"/>
      <c r="K602" s="37"/>
      <c r="L602" s="37"/>
    </row>
    <row r="603" spans="1:12" x14ac:dyDescent="0.3">
      <c r="A603" s="35"/>
      <c r="B603" s="36"/>
      <c r="C603" s="37"/>
      <c r="D603" s="36"/>
      <c r="E603" s="35"/>
      <c r="F603" s="36"/>
      <c r="G603" s="38"/>
      <c r="H603" s="36"/>
      <c r="I603" s="37"/>
      <c r="J603" s="36"/>
      <c r="K603" s="37"/>
      <c r="L603" s="37"/>
    </row>
    <row r="604" spans="1:12" x14ac:dyDescent="0.3">
      <c r="A604" s="35"/>
      <c r="B604" s="36"/>
      <c r="C604" s="37"/>
      <c r="D604" s="36"/>
      <c r="E604" s="35"/>
      <c r="F604" s="36"/>
      <c r="G604" s="38"/>
      <c r="H604" s="36"/>
      <c r="I604" s="37"/>
      <c r="J604" s="36"/>
      <c r="K604" s="37"/>
      <c r="L604" s="37"/>
    </row>
    <row r="605" spans="1:12" x14ac:dyDescent="0.3">
      <c r="A605" s="35"/>
      <c r="B605" s="36"/>
      <c r="C605" s="37"/>
      <c r="D605" s="36"/>
      <c r="E605" s="35"/>
      <c r="F605" s="36"/>
      <c r="G605" s="38"/>
      <c r="H605" s="36"/>
      <c r="I605" s="37"/>
      <c r="J605" s="36"/>
      <c r="K605" s="37"/>
      <c r="L605" s="37"/>
    </row>
    <row r="606" spans="1:12" x14ac:dyDescent="0.3">
      <c r="A606" s="35"/>
      <c r="B606" s="36"/>
      <c r="C606" s="37"/>
      <c r="D606" s="36"/>
      <c r="E606" s="35"/>
      <c r="F606" s="36"/>
      <c r="G606" s="38"/>
      <c r="H606" s="36"/>
      <c r="I606" s="37"/>
      <c r="J606" s="36"/>
      <c r="K606" s="37"/>
      <c r="L606" s="37"/>
    </row>
    <row r="607" spans="1:12" x14ac:dyDescent="0.3">
      <c r="A607" s="35"/>
      <c r="B607" s="36"/>
      <c r="C607" s="37"/>
      <c r="D607" s="36"/>
      <c r="E607" s="35"/>
      <c r="F607" s="36"/>
      <c r="G607" s="38"/>
      <c r="H607" s="36"/>
      <c r="I607" s="37"/>
      <c r="J607" s="36"/>
      <c r="K607" s="37"/>
      <c r="L607" s="37"/>
    </row>
    <row r="608" spans="1:12" x14ac:dyDescent="0.3">
      <c r="A608" s="35"/>
      <c r="B608" s="36"/>
      <c r="C608" s="37"/>
      <c r="D608" s="36"/>
      <c r="E608" s="35"/>
      <c r="F608" s="36"/>
      <c r="G608" s="38"/>
      <c r="H608" s="36"/>
      <c r="I608" s="37"/>
      <c r="J608" s="36"/>
      <c r="K608" s="37"/>
      <c r="L608" s="37"/>
    </row>
    <row r="609" spans="1:12" x14ac:dyDescent="0.3">
      <c r="A609" s="35"/>
      <c r="B609" s="36"/>
      <c r="C609" s="37"/>
      <c r="D609" s="36"/>
      <c r="E609" s="35"/>
      <c r="F609" s="36"/>
      <c r="G609" s="38"/>
      <c r="H609" s="36"/>
      <c r="I609" s="37"/>
      <c r="J609" s="36"/>
      <c r="K609" s="37"/>
      <c r="L609" s="37"/>
    </row>
    <row r="610" spans="1:12" x14ac:dyDescent="0.3">
      <c r="A610" s="35"/>
      <c r="B610" s="36"/>
      <c r="C610" s="37"/>
      <c r="D610" s="36"/>
      <c r="E610" s="35"/>
      <c r="F610" s="36"/>
      <c r="G610" s="38"/>
      <c r="H610" s="36"/>
      <c r="I610" s="37"/>
      <c r="J610" s="36"/>
      <c r="K610" s="37"/>
      <c r="L610" s="37"/>
    </row>
    <row r="611" spans="1:12" x14ac:dyDescent="0.3">
      <c r="A611" s="35"/>
      <c r="B611" s="36"/>
      <c r="C611" s="37"/>
      <c r="D611" s="36"/>
      <c r="E611" s="35"/>
      <c r="F611" s="36"/>
      <c r="G611" s="38"/>
      <c r="H611" s="36"/>
      <c r="I611" s="37"/>
      <c r="J611" s="36"/>
      <c r="K611" s="37"/>
      <c r="L611" s="37"/>
    </row>
    <row r="612" spans="1:12" x14ac:dyDescent="0.3">
      <c r="A612" s="35"/>
      <c r="B612" s="36"/>
      <c r="C612" s="37"/>
      <c r="D612" s="36"/>
      <c r="E612" s="35"/>
      <c r="F612" s="36"/>
      <c r="G612" s="38"/>
      <c r="H612" s="36"/>
      <c r="I612" s="37"/>
      <c r="J612" s="36"/>
      <c r="K612" s="37"/>
      <c r="L612" s="37"/>
    </row>
    <row r="613" spans="1:12" x14ac:dyDescent="0.3">
      <c r="A613" s="35"/>
      <c r="B613" s="36"/>
      <c r="C613" s="37"/>
      <c r="D613" s="36"/>
      <c r="E613" s="35"/>
      <c r="F613" s="36"/>
      <c r="G613" s="38"/>
      <c r="H613" s="36"/>
      <c r="I613" s="37"/>
      <c r="J613" s="36"/>
      <c r="K613" s="37"/>
      <c r="L613" s="37"/>
    </row>
    <row r="614" spans="1:12" x14ac:dyDescent="0.3">
      <c r="A614" s="35"/>
      <c r="B614" s="36"/>
      <c r="C614" s="37"/>
      <c r="D614" s="36"/>
      <c r="E614" s="35"/>
      <c r="F614" s="36"/>
      <c r="G614" s="38"/>
      <c r="H614" s="36"/>
      <c r="I614" s="37"/>
      <c r="J614" s="36"/>
      <c r="K614" s="37"/>
      <c r="L614" s="37"/>
    </row>
    <row r="615" spans="1:12" x14ac:dyDescent="0.3">
      <c r="A615" s="35"/>
      <c r="B615" s="36"/>
      <c r="C615" s="37"/>
      <c r="D615" s="36"/>
      <c r="E615" s="35"/>
      <c r="F615" s="36"/>
      <c r="G615" s="38"/>
      <c r="H615" s="36"/>
      <c r="I615" s="37"/>
      <c r="J615" s="36"/>
      <c r="K615" s="37"/>
      <c r="L615" s="37"/>
    </row>
    <row r="616" spans="1:12" x14ac:dyDescent="0.3">
      <c r="A616" s="35"/>
      <c r="B616" s="36"/>
      <c r="C616" s="37"/>
      <c r="D616" s="36"/>
      <c r="E616" s="35"/>
      <c r="F616" s="36"/>
      <c r="G616" s="38"/>
      <c r="H616" s="36"/>
      <c r="I616" s="37"/>
      <c r="J616" s="36"/>
      <c r="K616" s="37"/>
      <c r="L616" s="37"/>
    </row>
    <row r="617" spans="1:12" x14ac:dyDescent="0.3">
      <c r="A617" s="35"/>
      <c r="B617" s="36"/>
      <c r="C617" s="37"/>
      <c r="D617" s="36"/>
      <c r="E617" s="35"/>
      <c r="F617" s="36"/>
      <c r="G617" s="38"/>
      <c r="H617" s="36"/>
      <c r="I617" s="37"/>
      <c r="J617" s="36"/>
      <c r="K617" s="37"/>
      <c r="L617" s="37"/>
    </row>
    <row r="618" spans="1:12" x14ac:dyDescent="0.3">
      <c r="A618" s="35"/>
      <c r="B618" s="36"/>
      <c r="C618" s="37"/>
      <c r="D618" s="36"/>
      <c r="E618" s="35"/>
      <c r="F618" s="36"/>
      <c r="G618" s="38"/>
      <c r="H618" s="36"/>
      <c r="I618" s="37"/>
      <c r="J618" s="36"/>
      <c r="K618" s="37"/>
      <c r="L618" s="37"/>
    </row>
    <row r="619" spans="1:12" x14ac:dyDescent="0.3">
      <c r="A619" s="35"/>
      <c r="B619" s="36"/>
      <c r="C619" s="37"/>
      <c r="D619" s="36"/>
      <c r="E619" s="35"/>
      <c r="F619" s="36"/>
      <c r="G619" s="38"/>
      <c r="H619" s="36"/>
      <c r="I619" s="37"/>
      <c r="J619" s="36"/>
      <c r="K619" s="37"/>
      <c r="L619" s="37"/>
    </row>
    <row r="620" spans="1:12" x14ac:dyDescent="0.3">
      <c r="A620" s="35"/>
      <c r="B620" s="36"/>
      <c r="C620" s="37"/>
      <c r="D620" s="36"/>
      <c r="E620" s="35"/>
      <c r="F620" s="36"/>
      <c r="G620" s="38"/>
      <c r="H620" s="36"/>
      <c r="I620" s="37"/>
      <c r="J620" s="36"/>
      <c r="K620" s="37"/>
      <c r="L620" s="37"/>
    </row>
    <row r="621" spans="1:12" x14ac:dyDescent="0.3">
      <c r="A621" s="35"/>
      <c r="B621" s="36"/>
      <c r="C621" s="37"/>
      <c r="D621" s="36"/>
      <c r="E621" s="35"/>
      <c r="F621" s="36"/>
      <c r="G621" s="38"/>
      <c r="H621" s="36"/>
      <c r="I621" s="37"/>
      <c r="J621" s="36"/>
      <c r="K621" s="37"/>
      <c r="L621" s="37"/>
    </row>
    <row r="622" spans="1:12" x14ac:dyDescent="0.3">
      <c r="A622" s="35"/>
      <c r="B622" s="36"/>
      <c r="C622" s="37"/>
      <c r="D622" s="36"/>
      <c r="E622" s="35"/>
      <c r="F622" s="36"/>
      <c r="G622" s="38"/>
      <c r="H622" s="36"/>
      <c r="I622" s="37"/>
      <c r="J622" s="36"/>
      <c r="K622" s="37"/>
      <c r="L622" s="37"/>
    </row>
    <row r="623" spans="1:12" x14ac:dyDescent="0.3">
      <c r="A623" s="35"/>
      <c r="B623" s="36"/>
      <c r="C623" s="37"/>
      <c r="D623" s="36"/>
      <c r="E623" s="35"/>
      <c r="F623" s="36"/>
      <c r="G623" s="38"/>
      <c r="H623" s="36"/>
      <c r="I623" s="37"/>
      <c r="J623" s="36"/>
      <c r="K623" s="37"/>
      <c r="L623" s="37"/>
    </row>
    <row r="624" spans="1:12" x14ac:dyDescent="0.3">
      <c r="A624" s="35"/>
      <c r="B624" s="36"/>
      <c r="C624" s="37"/>
      <c r="D624" s="36"/>
      <c r="E624" s="35"/>
      <c r="F624" s="36"/>
      <c r="G624" s="38"/>
      <c r="H624" s="36"/>
      <c r="I624" s="37"/>
      <c r="J624" s="36"/>
      <c r="K624" s="37"/>
      <c r="L624" s="37"/>
    </row>
    <row r="625" spans="1:12" x14ac:dyDescent="0.3">
      <c r="A625" s="35"/>
      <c r="B625" s="36"/>
      <c r="C625" s="37"/>
      <c r="D625" s="36"/>
      <c r="E625" s="35"/>
      <c r="F625" s="36"/>
      <c r="G625" s="38"/>
      <c r="H625" s="36"/>
      <c r="I625" s="37"/>
      <c r="J625" s="36"/>
      <c r="K625" s="37"/>
      <c r="L625" s="37"/>
    </row>
    <row r="626" spans="1:12" x14ac:dyDescent="0.3">
      <c r="A626" s="35"/>
      <c r="B626" s="36"/>
      <c r="C626" s="37"/>
      <c r="D626" s="36"/>
      <c r="E626" s="35"/>
      <c r="F626" s="36"/>
      <c r="G626" s="38"/>
      <c r="H626" s="36"/>
      <c r="I626" s="37"/>
      <c r="J626" s="36"/>
      <c r="K626" s="37"/>
      <c r="L626" s="37"/>
    </row>
    <row r="627" spans="1:12" x14ac:dyDescent="0.3">
      <c r="A627" s="35"/>
      <c r="B627" s="36"/>
      <c r="C627" s="37"/>
      <c r="D627" s="36"/>
      <c r="E627" s="35"/>
      <c r="F627" s="36"/>
      <c r="G627" s="38"/>
      <c r="H627" s="36"/>
      <c r="I627" s="37"/>
      <c r="J627" s="36"/>
      <c r="K627" s="37"/>
      <c r="L627" s="37"/>
    </row>
    <row r="628" spans="1:12" x14ac:dyDescent="0.3">
      <c r="A628" s="35"/>
      <c r="B628" s="36"/>
      <c r="C628" s="37"/>
      <c r="D628" s="36"/>
      <c r="E628" s="35"/>
      <c r="F628" s="36"/>
      <c r="G628" s="38"/>
      <c r="H628" s="36"/>
      <c r="I628" s="37"/>
      <c r="J628" s="36"/>
      <c r="K628" s="37"/>
      <c r="L628" s="37"/>
    </row>
    <row r="629" spans="1:12" x14ac:dyDescent="0.3">
      <c r="A629" s="35"/>
      <c r="B629" s="36"/>
      <c r="C629" s="37"/>
      <c r="D629" s="36"/>
      <c r="E629" s="35"/>
      <c r="F629" s="36"/>
      <c r="G629" s="38"/>
      <c r="H629" s="36"/>
      <c r="I629" s="37"/>
      <c r="J629" s="36"/>
      <c r="K629" s="37"/>
      <c r="L629" s="37"/>
    </row>
    <row r="630" spans="1:12" x14ac:dyDescent="0.3">
      <c r="A630" s="35"/>
      <c r="B630" s="36"/>
      <c r="C630" s="37"/>
      <c r="D630" s="36"/>
      <c r="E630" s="35"/>
      <c r="F630" s="36"/>
      <c r="G630" s="38"/>
      <c r="H630" s="36"/>
      <c r="I630" s="37"/>
      <c r="J630" s="36"/>
      <c r="K630" s="37"/>
      <c r="L630" s="37"/>
    </row>
    <row r="631" spans="1:12" x14ac:dyDescent="0.3">
      <c r="A631" s="35"/>
      <c r="B631" s="36"/>
      <c r="C631" s="37"/>
      <c r="D631" s="36"/>
      <c r="E631" s="35"/>
      <c r="F631" s="36"/>
      <c r="G631" s="38"/>
      <c r="H631" s="36"/>
      <c r="I631" s="37"/>
      <c r="J631" s="36"/>
      <c r="K631" s="37"/>
      <c r="L631" s="37"/>
    </row>
    <row r="632" spans="1:12" x14ac:dyDescent="0.3">
      <c r="A632" s="35"/>
      <c r="B632" s="36"/>
      <c r="C632" s="37"/>
      <c r="D632" s="36"/>
      <c r="E632" s="35"/>
      <c r="F632" s="36"/>
      <c r="G632" s="38"/>
      <c r="H632" s="36"/>
      <c r="I632" s="37"/>
      <c r="J632" s="36"/>
      <c r="K632" s="37"/>
      <c r="L632" s="37"/>
    </row>
    <row r="633" spans="1:12" x14ac:dyDescent="0.3">
      <c r="A633" s="35"/>
      <c r="B633" s="36"/>
      <c r="C633" s="37"/>
      <c r="D633" s="36"/>
      <c r="E633" s="35"/>
      <c r="F633" s="36"/>
      <c r="G633" s="38"/>
      <c r="H633" s="36"/>
      <c r="I633" s="37"/>
      <c r="J633" s="36"/>
      <c r="K633" s="37"/>
      <c r="L633" s="37"/>
    </row>
    <row r="634" spans="1:12" x14ac:dyDescent="0.3">
      <c r="A634" s="35"/>
      <c r="B634" s="36"/>
      <c r="C634" s="37"/>
      <c r="D634" s="36"/>
      <c r="E634" s="35"/>
      <c r="F634" s="36"/>
      <c r="G634" s="38"/>
      <c r="H634" s="36"/>
      <c r="I634" s="37"/>
      <c r="J634" s="36"/>
      <c r="K634" s="37"/>
      <c r="L634" s="37"/>
    </row>
    <row r="635" spans="1:12" x14ac:dyDescent="0.3">
      <c r="A635" s="35"/>
      <c r="B635" s="36"/>
      <c r="C635" s="37"/>
      <c r="D635" s="36"/>
      <c r="E635" s="35"/>
      <c r="F635" s="36"/>
      <c r="G635" s="38"/>
      <c r="H635" s="36"/>
      <c r="I635" s="37"/>
      <c r="J635" s="36"/>
      <c r="K635" s="37"/>
      <c r="L635" s="37"/>
    </row>
    <row r="636" spans="1:12" x14ac:dyDescent="0.3">
      <c r="A636" s="35"/>
      <c r="B636" s="36"/>
      <c r="C636" s="37"/>
      <c r="D636" s="36"/>
      <c r="E636" s="35"/>
      <c r="F636" s="36"/>
      <c r="G636" s="38"/>
      <c r="H636" s="36"/>
      <c r="I636" s="37"/>
      <c r="J636" s="36"/>
      <c r="K636" s="37"/>
      <c r="L636" s="37"/>
    </row>
    <row r="637" spans="1:12" x14ac:dyDescent="0.3">
      <c r="A637" s="35"/>
      <c r="B637" s="36"/>
      <c r="C637" s="37"/>
      <c r="D637" s="36"/>
      <c r="E637" s="35"/>
      <c r="F637" s="36"/>
      <c r="G637" s="38"/>
      <c r="H637" s="36"/>
      <c r="I637" s="37"/>
      <c r="J637" s="36"/>
      <c r="K637" s="37"/>
      <c r="L637" s="37"/>
    </row>
    <row r="638" spans="1:12" x14ac:dyDescent="0.3">
      <c r="A638" s="35"/>
      <c r="B638" s="36"/>
      <c r="C638" s="37"/>
      <c r="D638" s="36"/>
      <c r="E638" s="35"/>
      <c r="F638" s="36"/>
      <c r="G638" s="38"/>
      <c r="H638" s="36"/>
      <c r="I638" s="37"/>
      <c r="J638" s="36"/>
      <c r="K638" s="37"/>
      <c r="L638" s="37"/>
    </row>
    <row r="639" spans="1:12" x14ac:dyDescent="0.3">
      <c r="A639" s="35"/>
      <c r="B639" s="36"/>
      <c r="C639" s="37"/>
      <c r="D639" s="36"/>
      <c r="E639" s="35"/>
      <c r="F639" s="36"/>
      <c r="G639" s="38"/>
      <c r="H639" s="36"/>
      <c r="I639" s="37"/>
      <c r="J639" s="36"/>
      <c r="K639" s="37"/>
      <c r="L639" s="37"/>
    </row>
    <row r="640" spans="1:12" x14ac:dyDescent="0.3">
      <c r="A640" s="35"/>
      <c r="B640" s="36"/>
      <c r="C640" s="37"/>
      <c r="D640" s="36"/>
      <c r="E640" s="35"/>
      <c r="F640" s="36"/>
      <c r="G640" s="38"/>
      <c r="H640" s="36"/>
      <c r="I640" s="37"/>
      <c r="J640" s="36"/>
      <c r="K640" s="37"/>
      <c r="L640" s="37"/>
    </row>
    <row r="641" spans="1:12" x14ac:dyDescent="0.3">
      <c r="A641" s="35"/>
      <c r="B641" s="36"/>
      <c r="C641" s="37"/>
      <c r="D641" s="36"/>
      <c r="E641" s="35"/>
      <c r="F641" s="36"/>
      <c r="G641" s="38"/>
      <c r="H641" s="36"/>
      <c r="I641" s="37"/>
      <c r="J641" s="36"/>
      <c r="K641" s="37"/>
      <c r="L641" s="37"/>
    </row>
    <row r="642" spans="1:12" x14ac:dyDescent="0.3">
      <c r="A642" s="35"/>
      <c r="B642" s="36"/>
      <c r="C642" s="37"/>
      <c r="D642" s="36"/>
      <c r="E642" s="35"/>
      <c r="F642" s="36"/>
      <c r="G642" s="38"/>
      <c r="H642" s="36"/>
      <c r="I642" s="37"/>
      <c r="J642" s="36"/>
      <c r="K642" s="37"/>
      <c r="L642" s="37"/>
    </row>
    <row r="643" spans="1:12" x14ac:dyDescent="0.3">
      <c r="A643" s="35"/>
      <c r="B643" s="36"/>
      <c r="C643" s="37"/>
      <c r="D643" s="36"/>
      <c r="E643" s="35"/>
      <c r="F643" s="36"/>
      <c r="G643" s="38"/>
      <c r="H643" s="36"/>
      <c r="I643" s="37"/>
      <c r="J643" s="36"/>
      <c r="K643" s="37"/>
      <c r="L643" s="37"/>
    </row>
    <row r="644" spans="1:12" x14ac:dyDescent="0.3">
      <c r="A644" s="35"/>
      <c r="B644" s="36"/>
      <c r="C644" s="37"/>
      <c r="D644" s="36"/>
      <c r="E644" s="35"/>
      <c r="F644" s="36"/>
      <c r="G644" s="38"/>
      <c r="H644" s="36"/>
      <c r="I644" s="37"/>
      <c r="J644" s="36"/>
      <c r="K644" s="37"/>
      <c r="L644" s="37"/>
    </row>
    <row r="645" spans="1:12" x14ac:dyDescent="0.3">
      <c r="A645" s="35"/>
      <c r="B645" s="36"/>
      <c r="C645" s="37"/>
      <c r="D645" s="36"/>
      <c r="E645" s="35"/>
      <c r="F645" s="36"/>
      <c r="G645" s="38"/>
      <c r="H645" s="36"/>
      <c r="I645" s="37"/>
      <c r="J645" s="36"/>
      <c r="K645" s="37"/>
      <c r="L645" s="37"/>
    </row>
    <row r="646" spans="1:12" x14ac:dyDescent="0.3">
      <c r="A646" s="35"/>
      <c r="B646" s="36"/>
      <c r="C646" s="37"/>
      <c r="D646" s="36"/>
      <c r="E646" s="35"/>
      <c r="F646" s="36"/>
      <c r="G646" s="38"/>
      <c r="H646" s="36"/>
      <c r="I646" s="37"/>
      <c r="J646" s="36"/>
      <c r="K646" s="37"/>
      <c r="L646" s="37"/>
    </row>
    <row r="647" spans="1:12" x14ac:dyDescent="0.3">
      <c r="A647" s="35"/>
      <c r="B647" s="36"/>
      <c r="C647" s="37"/>
      <c r="D647" s="36"/>
      <c r="E647" s="35"/>
      <c r="F647" s="36"/>
      <c r="G647" s="38"/>
      <c r="H647" s="36"/>
      <c r="I647" s="37"/>
      <c r="J647" s="36"/>
      <c r="K647" s="37"/>
      <c r="L647" s="37"/>
    </row>
    <row r="648" spans="1:12" x14ac:dyDescent="0.3">
      <c r="A648" s="35"/>
      <c r="B648" s="36"/>
      <c r="C648" s="37"/>
      <c r="D648" s="36"/>
      <c r="E648" s="35"/>
      <c r="F648" s="36"/>
      <c r="G648" s="38"/>
      <c r="H648" s="36"/>
      <c r="I648" s="37"/>
      <c r="J648" s="36"/>
      <c r="K648" s="37"/>
      <c r="L648" s="37"/>
    </row>
    <row r="649" spans="1:12" x14ac:dyDescent="0.3">
      <c r="A649" s="35"/>
      <c r="B649" s="36"/>
      <c r="C649" s="37"/>
      <c r="D649" s="36"/>
      <c r="E649" s="35"/>
      <c r="F649" s="36"/>
      <c r="G649" s="38"/>
      <c r="H649" s="36"/>
      <c r="I649" s="37"/>
      <c r="J649" s="36"/>
      <c r="K649" s="37"/>
      <c r="L649" s="37"/>
    </row>
    <row r="650" spans="1:12" x14ac:dyDescent="0.3">
      <c r="A650" s="35"/>
      <c r="B650" s="36"/>
      <c r="C650" s="37"/>
      <c r="D650" s="36"/>
      <c r="E650" s="35"/>
      <c r="F650" s="36"/>
      <c r="G650" s="38"/>
      <c r="H650" s="36"/>
      <c r="I650" s="37"/>
      <c r="J650" s="36"/>
      <c r="K650" s="37"/>
      <c r="L650" s="37"/>
    </row>
    <row r="651" spans="1:12" x14ac:dyDescent="0.3">
      <c r="A651" s="35"/>
      <c r="B651" s="36"/>
      <c r="C651" s="37"/>
      <c r="D651" s="36"/>
      <c r="E651" s="35"/>
      <c r="F651" s="36"/>
      <c r="G651" s="38"/>
      <c r="H651" s="36"/>
      <c r="I651" s="37"/>
      <c r="J651" s="36"/>
      <c r="K651" s="37"/>
      <c r="L651" s="37"/>
    </row>
    <row r="652" spans="1:12" x14ac:dyDescent="0.3">
      <c r="A652" s="35"/>
      <c r="B652" s="36"/>
      <c r="C652" s="37"/>
      <c r="D652" s="36"/>
      <c r="E652" s="35"/>
      <c r="F652" s="36"/>
      <c r="G652" s="38"/>
      <c r="H652" s="36"/>
      <c r="I652" s="37"/>
      <c r="J652" s="36"/>
      <c r="K652" s="37"/>
      <c r="L652" s="37"/>
    </row>
    <row r="653" spans="1:12" x14ac:dyDescent="0.3">
      <c r="A653" s="35"/>
      <c r="B653" s="36"/>
      <c r="C653" s="37"/>
      <c r="D653" s="36"/>
      <c r="E653" s="35"/>
      <c r="F653" s="36"/>
      <c r="G653" s="38"/>
      <c r="H653" s="36"/>
      <c r="I653" s="37"/>
      <c r="J653" s="36"/>
      <c r="K653" s="37"/>
      <c r="L653" s="37"/>
    </row>
    <row r="654" spans="1:12" x14ac:dyDescent="0.3">
      <c r="A654" s="35"/>
      <c r="B654" s="36"/>
      <c r="C654" s="37"/>
      <c r="D654" s="36"/>
      <c r="E654" s="35"/>
      <c r="F654" s="36"/>
      <c r="G654" s="38"/>
      <c r="H654" s="36"/>
      <c r="I654" s="37"/>
      <c r="J654" s="36"/>
      <c r="K654" s="37"/>
      <c r="L654" s="37"/>
    </row>
    <row r="655" spans="1:12" x14ac:dyDescent="0.3">
      <c r="A655" s="35"/>
      <c r="B655" s="36"/>
      <c r="C655" s="37"/>
      <c r="D655" s="36"/>
      <c r="E655" s="35"/>
      <c r="F655" s="36"/>
      <c r="G655" s="38"/>
      <c r="H655" s="36"/>
      <c r="I655" s="37"/>
      <c r="J655" s="36"/>
      <c r="K655" s="37"/>
      <c r="L655" s="37"/>
    </row>
    <row r="656" spans="1:12" x14ac:dyDescent="0.3">
      <c r="A656" s="35"/>
      <c r="B656" s="36"/>
      <c r="C656" s="37"/>
      <c r="D656" s="36"/>
      <c r="E656" s="35"/>
      <c r="F656" s="36"/>
      <c r="G656" s="38"/>
      <c r="H656" s="36"/>
      <c r="I656" s="37"/>
      <c r="J656" s="36"/>
      <c r="K656" s="37"/>
      <c r="L656" s="37"/>
    </row>
    <row r="657" spans="1:12" x14ac:dyDescent="0.3">
      <c r="A657" s="35"/>
      <c r="B657" s="36"/>
      <c r="C657" s="37"/>
      <c r="D657" s="36"/>
      <c r="E657" s="35"/>
      <c r="F657" s="36"/>
      <c r="G657" s="38"/>
      <c r="H657" s="36"/>
      <c r="I657" s="37"/>
      <c r="J657" s="36"/>
      <c r="K657" s="37"/>
      <c r="L657" s="37"/>
    </row>
    <row r="658" spans="1:12" x14ac:dyDescent="0.3">
      <c r="A658" s="35"/>
      <c r="B658" s="36"/>
      <c r="C658" s="37"/>
      <c r="D658" s="36"/>
      <c r="E658" s="35"/>
      <c r="F658" s="36"/>
      <c r="G658" s="38"/>
      <c r="H658" s="36"/>
      <c r="I658" s="37"/>
      <c r="J658" s="36"/>
      <c r="K658" s="37"/>
      <c r="L658" s="37"/>
    </row>
    <row r="659" spans="1:12" x14ac:dyDescent="0.3">
      <c r="A659" s="35"/>
      <c r="B659" s="36"/>
      <c r="C659" s="37"/>
      <c r="D659" s="36"/>
      <c r="E659" s="35"/>
      <c r="F659" s="36"/>
      <c r="G659" s="38"/>
      <c r="H659" s="36"/>
      <c r="I659" s="37"/>
      <c r="J659" s="36"/>
      <c r="K659" s="37"/>
      <c r="L659" s="37"/>
    </row>
    <row r="660" spans="1:12" x14ac:dyDescent="0.3">
      <c r="A660" s="35"/>
      <c r="B660" s="36"/>
      <c r="C660" s="37"/>
      <c r="D660" s="36"/>
      <c r="E660" s="35"/>
      <c r="F660" s="36"/>
      <c r="G660" s="38"/>
      <c r="H660" s="36"/>
      <c r="I660" s="37"/>
      <c r="J660" s="36"/>
      <c r="K660" s="37"/>
      <c r="L660" s="37"/>
    </row>
    <row r="661" spans="1:12" x14ac:dyDescent="0.3">
      <c r="A661" s="35"/>
      <c r="B661" s="36"/>
      <c r="C661" s="37"/>
      <c r="D661" s="36"/>
      <c r="E661" s="35"/>
      <c r="F661" s="36"/>
      <c r="G661" s="38"/>
      <c r="H661" s="36"/>
      <c r="I661" s="37"/>
      <c r="J661" s="36"/>
      <c r="K661" s="37"/>
      <c r="L661" s="37"/>
    </row>
    <row r="662" spans="1:12" x14ac:dyDescent="0.3">
      <c r="A662" s="35"/>
      <c r="B662" s="36"/>
      <c r="C662" s="37"/>
      <c r="D662" s="36"/>
      <c r="E662" s="35"/>
      <c r="F662" s="36"/>
      <c r="G662" s="38"/>
      <c r="H662" s="36"/>
      <c r="I662" s="37"/>
      <c r="J662" s="36"/>
      <c r="K662" s="37"/>
      <c r="L662" s="37"/>
    </row>
    <row r="663" spans="1:12" x14ac:dyDescent="0.3">
      <c r="A663" s="35"/>
      <c r="B663" s="36"/>
      <c r="C663" s="37"/>
      <c r="D663" s="36"/>
      <c r="E663" s="35"/>
      <c r="F663" s="36"/>
      <c r="G663" s="38"/>
      <c r="H663" s="36"/>
      <c r="I663" s="37"/>
      <c r="J663" s="36"/>
      <c r="K663" s="37"/>
      <c r="L663" s="37"/>
    </row>
    <row r="664" spans="1:12" x14ac:dyDescent="0.3">
      <c r="A664" s="35"/>
      <c r="B664" s="36"/>
      <c r="C664" s="37"/>
      <c r="D664" s="36"/>
      <c r="E664" s="37"/>
      <c r="F664" s="36"/>
      <c r="G664" s="38"/>
      <c r="H664" s="36"/>
      <c r="I664" s="37"/>
      <c r="J664" s="36"/>
      <c r="K664" s="37"/>
      <c r="L664" s="37"/>
    </row>
  </sheetData>
  <mergeCells count="11">
    <mergeCell ref="E9:F9"/>
    <mergeCell ref="A1:L1"/>
    <mergeCell ref="E8:F8"/>
    <mergeCell ref="A2:L2"/>
    <mergeCell ref="B3:H3"/>
    <mergeCell ref="B4:H4"/>
    <mergeCell ref="B5:H5"/>
    <mergeCell ref="B6:H6"/>
    <mergeCell ref="J3:K3"/>
    <mergeCell ref="J4:K4"/>
    <mergeCell ref="J5:K5"/>
  </mergeCells>
  <pageMargins left="0.7" right="0.7" top="0.75" bottom="0.75" header="0.3" footer="0.3"/>
  <pageSetup scale="50" fitToHeight="0" orientation="portrait" horizontalDpi="360" verticalDpi="36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EDB12-3545-48C6-B2AD-9234C4B79CC7}">
  <sheetPr codeName="Hoja8"/>
  <dimension ref="A1:AP599"/>
  <sheetViews>
    <sheetView topLeftCell="B1" workbookViewId="0">
      <selection activeCell="E18" sqref="E18"/>
    </sheetView>
  </sheetViews>
  <sheetFormatPr baseColWidth="10" defaultRowHeight="14.4" x14ac:dyDescent="0.3"/>
  <cols>
    <col min="1" max="1" width="16.109375" bestFit="1" customWidth="1"/>
    <col min="2" max="2" width="31.6640625" customWidth="1"/>
    <col min="3" max="3" width="31.88671875" customWidth="1"/>
    <col min="4" max="4" width="25.77734375" customWidth="1"/>
    <col min="5" max="9" width="25.77734375" style="31" customWidth="1"/>
    <col min="10" max="10" width="14.109375" style="31" bestFit="1" customWidth="1"/>
    <col min="11" max="11" width="13.6640625" style="31" bestFit="1" customWidth="1"/>
    <col min="12" max="12" width="14.21875" style="31" bestFit="1" customWidth="1"/>
    <col min="13" max="13" width="14.109375" style="31" bestFit="1" customWidth="1"/>
    <col min="14" max="14" width="14.33203125" style="31" bestFit="1" customWidth="1"/>
    <col min="15" max="15" width="13.44140625" style="31" bestFit="1" customWidth="1"/>
    <col min="16" max="16" width="12.88671875" style="31" bestFit="1" customWidth="1"/>
    <col min="17" max="17" width="13.88671875" style="31" bestFit="1" customWidth="1"/>
    <col min="18" max="19" width="13.6640625" style="31" bestFit="1" customWidth="1"/>
    <col min="20" max="20" width="14.109375" style="31" bestFit="1" customWidth="1"/>
    <col min="21" max="21" width="13.33203125" style="31" bestFit="1" customWidth="1"/>
    <col min="22" max="22" width="13.77734375" style="31" bestFit="1" customWidth="1"/>
    <col min="23" max="23" width="13.6640625" style="31" bestFit="1" customWidth="1"/>
    <col min="24" max="24" width="14.109375" style="31" bestFit="1" customWidth="1"/>
    <col min="25" max="25" width="13.5546875" style="31" bestFit="1" customWidth="1"/>
    <col min="26" max="26" width="14.33203125" style="31" bestFit="1" customWidth="1"/>
    <col min="27" max="27" width="13.44140625" style="31" bestFit="1" customWidth="1"/>
    <col min="28" max="28" width="12.88671875" style="31" bestFit="1" customWidth="1"/>
    <col min="29" max="29" width="13.88671875" style="31" bestFit="1" customWidth="1"/>
    <col min="30" max="31" width="13.6640625" style="31" bestFit="1" customWidth="1"/>
    <col min="32" max="32" width="14.109375" style="31" bestFit="1" customWidth="1"/>
    <col min="33" max="33" width="13.33203125" style="31" bestFit="1" customWidth="1"/>
    <col min="34" max="34" width="13.77734375" style="31" bestFit="1" customWidth="1"/>
    <col min="35" max="35" width="13.6640625" style="31" bestFit="1" customWidth="1"/>
    <col min="36" max="36" width="14.109375" style="31" bestFit="1" customWidth="1"/>
    <col min="37" max="37" width="13.5546875" style="31" bestFit="1" customWidth="1"/>
    <col min="38" max="38" width="14.33203125" style="31" bestFit="1" customWidth="1"/>
    <col min="39" max="39" width="13.44140625" style="31" bestFit="1" customWidth="1"/>
    <col min="40" max="40" width="12.88671875" style="31" bestFit="1" customWidth="1"/>
    <col min="41" max="41" width="13.77734375" bestFit="1" customWidth="1"/>
  </cols>
  <sheetData>
    <row r="1" spans="1:42" x14ac:dyDescent="0.3">
      <c r="A1" s="15" t="s">
        <v>0</v>
      </c>
      <c r="B1" s="12" t="s">
        <v>1</v>
      </c>
      <c r="C1" s="24" t="s">
        <v>49</v>
      </c>
      <c r="D1" s="11" t="s">
        <v>14</v>
      </c>
      <c r="E1" s="31" t="s">
        <v>1918</v>
      </c>
      <c r="F1" s="31" t="s">
        <v>1919</v>
      </c>
      <c r="G1" s="31" t="s">
        <v>1917</v>
      </c>
      <c r="H1" s="31" t="s">
        <v>1916</v>
      </c>
      <c r="I1" s="31" t="s">
        <v>1915</v>
      </c>
      <c r="J1" s="31" t="s">
        <v>1882</v>
      </c>
      <c r="K1" s="31" t="s">
        <v>1883</v>
      </c>
      <c r="L1" s="31" t="s">
        <v>1884</v>
      </c>
      <c r="M1" s="31" t="s">
        <v>1885</v>
      </c>
      <c r="N1" s="31" t="s">
        <v>1886</v>
      </c>
      <c r="O1" s="31" t="s">
        <v>1887</v>
      </c>
      <c r="P1" s="31" t="s">
        <v>1888</v>
      </c>
      <c r="Q1" s="31" t="s">
        <v>1889</v>
      </c>
      <c r="R1" s="31" t="s">
        <v>1890</v>
      </c>
      <c r="S1" s="31" t="s">
        <v>1891</v>
      </c>
      <c r="T1" s="31" t="s">
        <v>1892</v>
      </c>
      <c r="U1" s="31" t="s">
        <v>1893</v>
      </c>
      <c r="V1" s="31" t="s">
        <v>1894</v>
      </c>
      <c r="W1" s="31" t="s">
        <v>1895</v>
      </c>
      <c r="X1" s="31" t="s">
        <v>1896</v>
      </c>
      <c r="Y1" s="31" t="s">
        <v>1897</v>
      </c>
      <c r="Z1" s="31" t="s">
        <v>1898</v>
      </c>
      <c r="AA1" s="31" t="s">
        <v>1899</v>
      </c>
      <c r="AB1" s="31" t="s">
        <v>1900</v>
      </c>
      <c r="AC1" s="31" t="s">
        <v>1901</v>
      </c>
      <c r="AD1" s="31" t="s">
        <v>1902</v>
      </c>
      <c r="AE1" s="31" t="s">
        <v>1903</v>
      </c>
      <c r="AF1" s="31" t="s">
        <v>1904</v>
      </c>
      <c r="AG1" s="31" t="s">
        <v>1905</v>
      </c>
      <c r="AH1" s="31" t="s">
        <v>1906</v>
      </c>
      <c r="AI1" s="31" t="s">
        <v>1907</v>
      </c>
      <c r="AJ1" s="31" t="s">
        <v>1908</v>
      </c>
      <c r="AK1" s="31" t="s">
        <v>1909</v>
      </c>
      <c r="AL1" s="31" t="s">
        <v>1910</v>
      </c>
      <c r="AM1" s="31" t="s">
        <v>1911</v>
      </c>
      <c r="AN1" s="31" t="s">
        <v>1912</v>
      </c>
      <c r="AO1" t="s">
        <v>1913</v>
      </c>
      <c r="AP1" t="s">
        <v>1914</v>
      </c>
    </row>
    <row r="2" spans="1:42" ht="15.6" x14ac:dyDescent="0.3">
      <c r="A2" s="158" t="s">
        <v>654</v>
      </c>
      <c r="B2" s="69">
        <v>33128453</v>
      </c>
      <c r="C2" s="67" t="s">
        <v>1521</v>
      </c>
      <c r="D2" s="68">
        <v>800231235</v>
      </c>
      <c r="E2" s="199"/>
      <c r="F2" s="199">
        <v>800000</v>
      </c>
      <c r="G2" s="199"/>
      <c r="H2" s="199"/>
      <c r="I2" s="199"/>
      <c r="J2" s="31">
        <v>500000</v>
      </c>
      <c r="M2" s="31">
        <v>250000</v>
      </c>
    </row>
    <row r="3" spans="1:42" ht="15.6" x14ac:dyDescent="0.3">
      <c r="A3" s="158" t="s">
        <v>656</v>
      </c>
      <c r="B3" s="69">
        <v>34523687</v>
      </c>
      <c r="C3" s="67" t="s">
        <v>1521</v>
      </c>
      <c r="D3" s="68">
        <v>800231235</v>
      </c>
      <c r="E3" s="199"/>
      <c r="F3" s="199"/>
      <c r="G3" s="199">
        <v>350000</v>
      </c>
      <c r="H3" s="199"/>
      <c r="I3" s="199"/>
      <c r="L3" s="31">
        <v>50000</v>
      </c>
    </row>
    <row r="4" spans="1:42" ht="15.6" x14ac:dyDescent="0.3">
      <c r="A4" s="158" t="s">
        <v>1820</v>
      </c>
      <c r="B4" s="69">
        <v>37815104</v>
      </c>
      <c r="C4" s="67" t="s">
        <v>1524</v>
      </c>
      <c r="D4" s="68">
        <v>814002561</v>
      </c>
      <c r="E4" s="199"/>
      <c r="F4" s="199"/>
      <c r="G4" s="199"/>
      <c r="H4" s="199"/>
      <c r="I4" s="199"/>
    </row>
    <row r="5" spans="1:42" ht="15.6" x14ac:dyDescent="0.3">
      <c r="A5" s="158" t="s">
        <v>1835</v>
      </c>
      <c r="B5" s="69">
        <v>28372879</v>
      </c>
      <c r="C5" s="67" t="s">
        <v>1542</v>
      </c>
      <c r="D5" s="68">
        <v>890201235</v>
      </c>
      <c r="E5" s="199"/>
      <c r="F5" s="199"/>
      <c r="G5" s="199"/>
      <c r="H5" s="199"/>
      <c r="I5" s="199"/>
    </row>
    <row r="6" spans="1:42" ht="15.6" x14ac:dyDescent="0.3">
      <c r="A6" s="158" t="s">
        <v>845</v>
      </c>
      <c r="B6" s="69">
        <v>324258</v>
      </c>
      <c r="C6" s="67" t="s">
        <v>1542</v>
      </c>
      <c r="D6" s="68">
        <v>890201235</v>
      </c>
      <c r="E6" s="199"/>
      <c r="F6" s="199"/>
      <c r="G6" s="199"/>
      <c r="H6" s="199"/>
      <c r="I6" s="199"/>
    </row>
    <row r="7" spans="1:42" ht="15.6" x14ac:dyDescent="0.3">
      <c r="A7" s="158" t="s">
        <v>494</v>
      </c>
      <c r="B7" s="69">
        <v>1918635</v>
      </c>
      <c r="C7" s="67" t="s">
        <v>1542</v>
      </c>
      <c r="D7" s="68">
        <v>890201235</v>
      </c>
      <c r="E7" s="199"/>
      <c r="F7" s="199"/>
      <c r="G7" s="199"/>
      <c r="H7" s="199"/>
      <c r="I7" s="199"/>
    </row>
    <row r="8" spans="1:42" ht="15.6" x14ac:dyDescent="0.3">
      <c r="A8" s="158" t="s">
        <v>1836</v>
      </c>
      <c r="B8" s="69">
        <v>27953706</v>
      </c>
      <c r="C8" s="67" t="s">
        <v>1542</v>
      </c>
      <c r="D8" s="68">
        <v>890201235</v>
      </c>
      <c r="E8" s="199"/>
      <c r="F8" s="199"/>
      <c r="G8" s="199"/>
      <c r="H8" s="199"/>
      <c r="I8" s="199"/>
    </row>
    <row r="9" spans="1:42" ht="15.6" x14ac:dyDescent="0.3">
      <c r="A9" s="158" t="s">
        <v>849</v>
      </c>
      <c r="B9" s="69">
        <v>3791097</v>
      </c>
      <c r="C9" s="67" t="s">
        <v>1542</v>
      </c>
      <c r="D9" s="68">
        <v>890201235</v>
      </c>
      <c r="E9" s="199"/>
      <c r="F9" s="199"/>
      <c r="G9" s="199"/>
      <c r="H9" s="199"/>
      <c r="I9" s="199"/>
    </row>
    <row r="10" spans="1:42" ht="15.6" x14ac:dyDescent="0.3">
      <c r="A10" s="158" t="s">
        <v>827</v>
      </c>
      <c r="B10" s="69">
        <v>5556311</v>
      </c>
      <c r="C10" s="67" t="s">
        <v>1542</v>
      </c>
      <c r="D10" s="68">
        <v>890201235</v>
      </c>
      <c r="E10" s="199"/>
      <c r="F10" s="199"/>
      <c r="G10" s="199"/>
      <c r="H10" s="199"/>
      <c r="I10" s="199"/>
    </row>
    <row r="11" spans="1:42" ht="15.6" x14ac:dyDescent="0.3">
      <c r="A11" s="158" t="s">
        <v>851</v>
      </c>
      <c r="B11" s="69">
        <v>17137559</v>
      </c>
      <c r="C11" s="67" t="s">
        <v>1542</v>
      </c>
      <c r="D11" s="68">
        <v>890201235</v>
      </c>
      <c r="E11" s="199"/>
      <c r="F11" s="199"/>
      <c r="G11" s="199"/>
      <c r="H11" s="199"/>
      <c r="I11" s="199"/>
    </row>
    <row r="12" spans="1:42" ht="15.6" x14ac:dyDescent="0.3">
      <c r="A12" s="158" t="s">
        <v>853</v>
      </c>
      <c r="B12" s="69">
        <v>5567916</v>
      </c>
      <c r="C12" s="67" t="s">
        <v>1542</v>
      </c>
      <c r="D12" s="68">
        <v>890201235</v>
      </c>
      <c r="E12" s="199"/>
      <c r="F12" s="199"/>
      <c r="G12" s="199"/>
      <c r="H12" s="199"/>
      <c r="I12" s="199"/>
    </row>
    <row r="13" spans="1:42" ht="15.6" x14ac:dyDescent="0.3">
      <c r="A13" s="158" t="s">
        <v>855</v>
      </c>
      <c r="B13" s="69">
        <v>5591853</v>
      </c>
      <c r="C13" s="67" t="s">
        <v>1542</v>
      </c>
      <c r="D13" s="68">
        <v>890201235</v>
      </c>
      <c r="E13" s="199"/>
      <c r="F13" s="199"/>
      <c r="G13" s="199"/>
      <c r="H13" s="199"/>
      <c r="I13" s="199"/>
    </row>
    <row r="14" spans="1:42" ht="15.6" x14ac:dyDescent="0.3">
      <c r="A14" s="158" t="s">
        <v>654</v>
      </c>
      <c r="B14" s="69">
        <v>33128453</v>
      </c>
      <c r="C14" s="67" t="s">
        <v>1542</v>
      </c>
      <c r="D14" s="68">
        <v>890201235</v>
      </c>
      <c r="E14" s="199"/>
      <c r="F14" s="199"/>
      <c r="G14" s="199"/>
      <c r="H14" s="199"/>
      <c r="I14" s="199"/>
    </row>
    <row r="15" spans="1:42" ht="15.6" x14ac:dyDescent="0.3">
      <c r="A15" s="158" t="s">
        <v>857</v>
      </c>
      <c r="B15" s="69">
        <v>13803171</v>
      </c>
      <c r="C15" s="67" t="s">
        <v>1542</v>
      </c>
      <c r="D15" s="68">
        <v>890201235</v>
      </c>
      <c r="E15" s="199"/>
      <c r="F15" s="199"/>
      <c r="G15" s="199"/>
      <c r="H15" s="199"/>
      <c r="I15" s="199"/>
    </row>
    <row r="16" spans="1:42" ht="15.6" x14ac:dyDescent="0.3">
      <c r="A16" s="158" t="s">
        <v>859</v>
      </c>
      <c r="B16" s="69">
        <v>13803205</v>
      </c>
      <c r="C16" s="67" t="s">
        <v>1542</v>
      </c>
      <c r="D16" s="68">
        <v>890201235</v>
      </c>
      <c r="E16" s="199"/>
      <c r="F16" s="199"/>
      <c r="G16" s="199"/>
      <c r="H16" s="199"/>
      <c r="I16" s="199"/>
    </row>
    <row r="17" spans="1:9" ht="15.6" x14ac:dyDescent="0.3">
      <c r="A17" s="158" t="s">
        <v>861</v>
      </c>
      <c r="B17" s="69">
        <v>37805436</v>
      </c>
      <c r="C17" s="67" t="s">
        <v>1542</v>
      </c>
      <c r="D17" s="68">
        <v>890201235</v>
      </c>
      <c r="E17" s="199"/>
      <c r="F17" s="199"/>
      <c r="G17" s="199"/>
      <c r="H17" s="199"/>
      <c r="I17" s="199"/>
    </row>
    <row r="18" spans="1:9" ht="15.6" x14ac:dyDescent="0.3">
      <c r="A18" s="158" t="s">
        <v>1837</v>
      </c>
      <c r="B18" s="69">
        <v>37804047</v>
      </c>
      <c r="C18" s="67" t="s">
        <v>1542</v>
      </c>
      <c r="D18" s="68">
        <v>890201235</v>
      </c>
      <c r="E18" s="199"/>
      <c r="F18" s="199"/>
      <c r="G18" s="199"/>
      <c r="H18" s="199"/>
      <c r="I18" s="199"/>
    </row>
    <row r="19" spans="1:9" ht="15.6" x14ac:dyDescent="0.3">
      <c r="A19" s="158" t="s">
        <v>864</v>
      </c>
      <c r="B19" s="69">
        <v>5549123</v>
      </c>
      <c r="C19" s="67" t="s">
        <v>1542</v>
      </c>
      <c r="D19" s="68">
        <v>890201235</v>
      </c>
      <c r="E19" s="199"/>
      <c r="F19" s="199"/>
      <c r="G19" s="199"/>
      <c r="H19" s="199"/>
      <c r="I19" s="199"/>
    </row>
    <row r="20" spans="1:9" ht="15.6" x14ac:dyDescent="0.3">
      <c r="A20" s="158" t="s">
        <v>866</v>
      </c>
      <c r="B20" s="69">
        <v>5566789</v>
      </c>
      <c r="C20" s="67" t="s">
        <v>1542</v>
      </c>
      <c r="D20" s="68">
        <v>890201235</v>
      </c>
      <c r="E20" s="199"/>
      <c r="F20" s="199"/>
      <c r="G20" s="199"/>
      <c r="H20" s="199"/>
      <c r="I20" s="199"/>
    </row>
    <row r="21" spans="1:9" ht="15.6" x14ac:dyDescent="0.3">
      <c r="A21" s="158" t="s">
        <v>872</v>
      </c>
      <c r="B21" s="69">
        <v>13810562</v>
      </c>
      <c r="C21" s="67" t="s">
        <v>1542</v>
      </c>
      <c r="D21" s="68">
        <v>890201235</v>
      </c>
      <c r="E21" s="199"/>
      <c r="F21" s="199"/>
      <c r="G21" s="199"/>
      <c r="H21" s="199"/>
      <c r="I21" s="199"/>
    </row>
    <row r="22" spans="1:9" ht="15.6" x14ac:dyDescent="0.3">
      <c r="A22" s="158" t="s">
        <v>749</v>
      </c>
      <c r="B22" s="69">
        <v>37810875</v>
      </c>
      <c r="C22" s="67" t="s">
        <v>1542</v>
      </c>
      <c r="D22" s="68">
        <v>890201235</v>
      </c>
      <c r="E22" s="199"/>
      <c r="F22" s="199"/>
      <c r="G22" s="199"/>
      <c r="H22" s="199"/>
      <c r="I22" s="199"/>
    </row>
    <row r="23" spans="1:9" ht="15.6" x14ac:dyDescent="0.3">
      <c r="A23" s="158" t="s">
        <v>876</v>
      </c>
      <c r="B23" s="69">
        <v>6753463</v>
      </c>
      <c r="C23" s="67" t="s">
        <v>1542</v>
      </c>
      <c r="D23" s="68">
        <v>890201235</v>
      </c>
      <c r="E23" s="199"/>
      <c r="F23" s="199"/>
      <c r="G23" s="199"/>
      <c r="H23" s="199"/>
      <c r="I23" s="199"/>
    </row>
    <row r="24" spans="1:9" ht="15.6" x14ac:dyDescent="0.3">
      <c r="A24" s="158" t="s">
        <v>878</v>
      </c>
      <c r="B24" s="69">
        <v>37809356</v>
      </c>
      <c r="C24" s="67" t="s">
        <v>1542</v>
      </c>
      <c r="D24" s="68">
        <v>890201235</v>
      </c>
      <c r="E24" s="199"/>
      <c r="F24" s="199"/>
      <c r="G24" s="199"/>
      <c r="H24" s="199"/>
      <c r="I24" s="199"/>
    </row>
    <row r="25" spans="1:9" ht="15.6" x14ac:dyDescent="0.3">
      <c r="A25" s="158" t="s">
        <v>880</v>
      </c>
      <c r="B25" s="69">
        <v>13818680</v>
      </c>
      <c r="C25" s="67" t="s">
        <v>1542</v>
      </c>
      <c r="D25" s="68">
        <v>890201235</v>
      </c>
      <c r="E25" s="199"/>
      <c r="F25" s="199"/>
      <c r="G25" s="199"/>
      <c r="H25" s="199"/>
      <c r="I25" s="199"/>
    </row>
    <row r="26" spans="1:9" ht="15.6" x14ac:dyDescent="0.3">
      <c r="A26" s="158" t="s">
        <v>882</v>
      </c>
      <c r="B26" s="69">
        <v>37814386</v>
      </c>
      <c r="C26" s="67" t="s">
        <v>1542</v>
      </c>
      <c r="D26" s="68">
        <v>890201235</v>
      </c>
      <c r="E26" s="199"/>
      <c r="F26" s="199"/>
      <c r="G26" s="199"/>
      <c r="H26" s="199"/>
      <c r="I26" s="199"/>
    </row>
    <row r="27" spans="1:9" ht="15.6" x14ac:dyDescent="0.3">
      <c r="A27" s="158" t="s">
        <v>884</v>
      </c>
      <c r="B27" s="69">
        <v>5567032</v>
      </c>
      <c r="C27" s="67" t="s">
        <v>1542</v>
      </c>
      <c r="D27" s="68">
        <v>890201235</v>
      </c>
      <c r="E27" s="199"/>
      <c r="F27" s="199"/>
      <c r="G27" s="199"/>
      <c r="H27" s="199"/>
      <c r="I27" s="199"/>
    </row>
    <row r="28" spans="1:9" ht="15.6" x14ac:dyDescent="0.3">
      <c r="A28" s="158" t="s">
        <v>886</v>
      </c>
      <c r="B28" s="69">
        <v>5644931</v>
      </c>
      <c r="C28" s="67" t="s">
        <v>1542</v>
      </c>
      <c r="D28" s="68">
        <v>890201235</v>
      </c>
      <c r="E28" s="199"/>
      <c r="F28" s="199"/>
      <c r="G28" s="199"/>
      <c r="H28" s="199"/>
      <c r="I28" s="199"/>
    </row>
    <row r="29" spans="1:9" ht="15.6" x14ac:dyDescent="0.3">
      <c r="A29" s="158" t="s">
        <v>898</v>
      </c>
      <c r="B29" s="69">
        <v>29638027</v>
      </c>
      <c r="C29" s="67" t="s">
        <v>1549</v>
      </c>
      <c r="D29" s="68">
        <v>890303461</v>
      </c>
      <c r="E29" s="199"/>
      <c r="F29" s="199"/>
      <c r="G29" s="199"/>
      <c r="H29" s="199"/>
      <c r="I29" s="199"/>
    </row>
    <row r="30" spans="1:9" ht="15.6" x14ac:dyDescent="0.3">
      <c r="A30" s="158" t="s">
        <v>1838</v>
      </c>
      <c r="B30" s="69">
        <v>22353595</v>
      </c>
      <c r="C30" s="67" t="s">
        <v>1549</v>
      </c>
      <c r="D30" s="68">
        <v>890303461</v>
      </c>
      <c r="E30" s="199"/>
      <c r="F30" s="199"/>
      <c r="G30" s="199"/>
      <c r="H30" s="199"/>
      <c r="I30" s="199"/>
    </row>
    <row r="31" spans="1:9" ht="15.6" x14ac:dyDescent="0.3">
      <c r="A31" s="158" t="s">
        <v>1839</v>
      </c>
      <c r="B31" s="69">
        <v>14955542</v>
      </c>
      <c r="C31" s="67" t="s">
        <v>1549</v>
      </c>
      <c r="D31" s="68">
        <v>890303461</v>
      </c>
      <c r="E31" s="199"/>
      <c r="F31" s="199"/>
      <c r="G31" s="199"/>
      <c r="H31" s="199"/>
      <c r="I31" s="199"/>
    </row>
    <row r="32" spans="1:9" ht="15.6" x14ac:dyDescent="0.3">
      <c r="A32" s="158" t="s">
        <v>1185</v>
      </c>
      <c r="B32" s="69">
        <v>6435800</v>
      </c>
      <c r="C32" s="67" t="s">
        <v>1576</v>
      </c>
      <c r="D32" s="68">
        <v>890904996</v>
      </c>
      <c r="E32" s="199"/>
      <c r="F32" s="199"/>
      <c r="G32" s="199"/>
      <c r="H32" s="199"/>
      <c r="I32" s="199"/>
    </row>
    <row r="33" spans="1:9" ht="15.6" x14ac:dyDescent="0.3">
      <c r="A33" s="158" t="s">
        <v>1858</v>
      </c>
      <c r="B33" s="69">
        <v>6781718</v>
      </c>
      <c r="C33" s="67" t="s">
        <v>1576</v>
      </c>
      <c r="D33" s="68">
        <v>890904996</v>
      </c>
      <c r="E33" s="199"/>
      <c r="F33" s="199"/>
      <c r="G33" s="199"/>
      <c r="H33" s="199"/>
      <c r="I33" s="199"/>
    </row>
    <row r="34" spans="1:9" ht="15.6" x14ac:dyDescent="0.3">
      <c r="A34" s="158" t="s">
        <v>1190</v>
      </c>
      <c r="B34" s="69">
        <v>8276654</v>
      </c>
      <c r="C34" s="67" t="s">
        <v>1576</v>
      </c>
      <c r="D34" s="68">
        <v>890904996</v>
      </c>
      <c r="E34" s="199"/>
      <c r="F34" s="199"/>
      <c r="G34" s="199"/>
      <c r="H34" s="199"/>
      <c r="I34" s="199"/>
    </row>
    <row r="35" spans="1:9" ht="15.6" x14ac:dyDescent="0.3">
      <c r="A35" s="158" t="s">
        <v>977</v>
      </c>
      <c r="B35" s="69">
        <v>6366164</v>
      </c>
      <c r="C35" s="67" t="s">
        <v>1588</v>
      </c>
      <c r="D35" s="68">
        <v>891380007</v>
      </c>
      <c r="E35" s="199"/>
      <c r="F35" s="199"/>
      <c r="G35" s="199"/>
      <c r="H35" s="199"/>
      <c r="I35" s="199"/>
    </row>
    <row r="36" spans="1:9" ht="15.6" x14ac:dyDescent="0.3">
      <c r="A36" s="158" t="s">
        <v>1247</v>
      </c>
      <c r="B36" s="69">
        <v>31138356</v>
      </c>
      <c r="C36" s="67" t="s">
        <v>1588</v>
      </c>
      <c r="D36" s="68">
        <v>891380007</v>
      </c>
      <c r="E36" s="199"/>
      <c r="F36" s="199"/>
      <c r="G36" s="199"/>
      <c r="H36" s="199"/>
      <c r="I36" s="199"/>
    </row>
    <row r="37" spans="1:9" ht="15.6" x14ac:dyDescent="0.3">
      <c r="A37" s="158" t="s">
        <v>1256</v>
      </c>
      <c r="B37" s="69">
        <v>10055169</v>
      </c>
      <c r="C37" s="67" t="s">
        <v>1592</v>
      </c>
      <c r="D37" s="68">
        <v>891480030</v>
      </c>
      <c r="E37" s="199"/>
      <c r="F37" s="199"/>
      <c r="G37" s="199"/>
      <c r="H37" s="199"/>
      <c r="I37" s="199"/>
    </row>
    <row r="38" spans="1:9" ht="15.6" x14ac:dyDescent="0.3">
      <c r="A38" s="158" t="s">
        <v>1258</v>
      </c>
      <c r="B38" s="69">
        <v>25168950</v>
      </c>
      <c r="C38" s="67" t="s">
        <v>1592</v>
      </c>
      <c r="D38" s="68">
        <v>891480030</v>
      </c>
      <c r="E38" s="199"/>
      <c r="F38" s="199"/>
      <c r="G38" s="199"/>
      <c r="H38" s="199"/>
      <c r="I38" s="199"/>
    </row>
    <row r="39" spans="1:9" ht="15.6" x14ac:dyDescent="0.3">
      <c r="A39" s="158" t="s">
        <v>1256</v>
      </c>
      <c r="B39" s="69">
        <v>10055169</v>
      </c>
      <c r="C39" s="67" t="s">
        <v>1593</v>
      </c>
      <c r="D39" s="68">
        <v>891480085</v>
      </c>
      <c r="E39" s="199"/>
      <c r="F39" s="199"/>
      <c r="G39" s="199"/>
      <c r="H39" s="199"/>
      <c r="I39" s="199"/>
    </row>
    <row r="40" spans="1:9" ht="16.2" thickBot="1" x14ac:dyDescent="0.35">
      <c r="A40" s="158" t="s">
        <v>1262</v>
      </c>
      <c r="B40" s="147">
        <v>10217838</v>
      </c>
      <c r="C40" s="67" t="s">
        <v>1593</v>
      </c>
      <c r="D40" s="68">
        <v>891480085</v>
      </c>
      <c r="E40" s="199"/>
      <c r="F40" s="199"/>
      <c r="G40" s="199"/>
      <c r="H40" s="199"/>
      <c r="I40" s="199"/>
    </row>
    <row r="41" spans="1:9" ht="15.6" x14ac:dyDescent="0.3">
      <c r="A41" s="158" t="s">
        <v>1264</v>
      </c>
      <c r="B41" s="148">
        <v>4575380</v>
      </c>
      <c r="C41" s="67" t="s">
        <v>1593</v>
      </c>
      <c r="D41" s="68">
        <v>891480085</v>
      </c>
      <c r="E41" s="199"/>
      <c r="F41" s="199"/>
      <c r="G41" s="199"/>
      <c r="H41" s="199"/>
      <c r="I41" s="199"/>
    </row>
    <row r="42" spans="1:9" ht="15.6" x14ac:dyDescent="0.3">
      <c r="A42" s="158" t="s">
        <v>1800</v>
      </c>
      <c r="B42" s="69">
        <v>467493</v>
      </c>
      <c r="C42" s="67" t="s">
        <v>1628</v>
      </c>
      <c r="D42" s="68">
        <v>899999114</v>
      </c>
      <c r="E42" s="199"/>
      <c r="F42" s="199"/>
      <c r="G42" s="199"/>
      <c r="H42" s="199"/>
      <c r="I42" s="199"/>
    </row>
    <row r="43" spans="1:9" ht="15.6" x14ac:dyDescent="0.3">
      <c r="A43" s="158" t="s">
        <v>674</v>
      </c>
      <c r="B43" s="69">
        <v>48463</v>
      </c>
      <c r="C43" s="67" t="s">
        <v>1628</v>
      </c>
      <c r="D43" s="68">
        <v>899999114</v>
      </c>
      <c r="E43" s="199"/>
      <c r="F43" s="199"/>
      <c r="G43" s="199"/>
      <c r="H43" s="199"/>
      <c r="I43" s="199"/>
    </row>
    <row r="44" spans="1:9" ht="15.6" x14ac:dyDescent="0.3">
      <c r="A44" s="158" t="s">
        <v>1801</v>
      </c>
      <c r="B44" s="148">
        <v>28505549</v>
      </c>
      <c r="C44" s="67" t="s">
        <v>1628</v>
      </c>
      <c r="D44" s="68">
        <v>899999114</v>
      </c>
      <c r="E44" s="199"/>
      <c r="F44" s="199"/>
      <c r="G44" s="199"/>
      <c r="H44" s="199"/>
      <c r="I44" s="199"/>
    </row>
    <row r="45" spans="1:9" ht="15.6" x14ac:dyDescent="0.3">
      <c r="A45" s="158" t="s">
        <v>1796</v>
      </c>
      <c r="B45" s="69">
        <v>48483</v>
      </c>
      <c r="C45" s="67" t="s">
        <v>1628</v>
      </c>
      <c r="D45" s="68">
        <v>899999114</v>
      </c>
      <c r="E45" s="199"/>
      <c r="F45" s="199"/>
      <c r="G45" s="199"/>
      <c r="H45" s="199"/>
      <c r="I45" s="199"/>
    </row>
    <row r="46" spans="1:9" ht="15.6" x14ac:dyDescent="0.3">
      <c r="A46" s="158" t="s">
        <v>1411</v>
      </c>
      <c r="B46" s="69">
        <v>29022287</v>
      </c>
      <c r="C46" s="67" t="s">
        <v>1628</v>
      </c>
      <c r="D46" s="68">
        <v>899999114</v>
      </c>
      <c r="E46" s="199"/>
      <c r="F46" s="199"/>
      <c r="G46" s="199"/>
      <c r="H46" s="199"/>
      <c r="I46" s="199"/>
    </row>
    <row r="47" spans="1:9" ht="15.6" x14ac:dyDescent="0.3">
      <c r="A47" s="158" t="s">
        <v>1413</v>
      </c>
      <c r="B47" s="69">
        <v>23251569</v>
      </c>
      <c r="C47" s="67" t="s">
        <v>1628</v>
      </c>
      <c r="D47" s="68">
        <v>899999114</v>
      </c>
      <c r="E47" s="199"/>
      <c r="F47" s="199"/>
      <c r="G47" s="199"/>
      <c r="H47" s="199"/>
      <c r="I47" s="199"/>
    </row>
    <row r="48" spans="1:9" ht="15.6" x14ac:dyDescent="0.3">
      <c r="A48" s="158" t="s">
        <v>1415</v>
      </c>
      <c r="B48" s="69">
        <v>20288423</v>
      </c>
      <c r="C48" s="67" t="s">
        <v>1628</v>
      </c>
      <c r="D48" s="68">
        <v>899999114</v>
      </c>
      <c r="E48" s="199"/>
      <c r="F48" s="199"/>
      <c r="G48" s="199"/>
      <c r="H48" s="199"/>
      <c r="I48" s="199"/>
    </row>
    <row r="49" spans="1:9" ht="15.6" x14ac:dyDescent="0.3">
      <c r="A49" s="158" t="s">
        <v>1802</v>
      </c>
      <c r="B49" s="69">
        <v>21286792</v>
      </c>
      <c r="C49" s="67" t="s">
        <v>1628</v>
      </c>
      <c r="D49" s="68">
        <v>899999114</v>
      </c>
      <c r="E49" s="199"/>
      <c r="F49" s="199"/>
      <c r="G49" s="199"/>
      <c r="H49" s="199"/>
      <c r="I49" s="199"/>
    </row>
    <row r="50" spans="1:9" ht="15.6" x14ac:dyDescent="0.3">
      <c r="A50" s="158" t="s">
        <v>1803</v>
      </c>
      <c r="B50" s="69">
        <v>20334626</v>
      </c>
      <c r="C50" s="67" t="s">
        <v>1628</v>
      </c>
      <c r="D50" s="68">
        <v>899999114</v>
      </c>
      <c r="E50" s="199"/>
      <c r="F50" s="199"/>
      <c r="G50" s="199"/>
      <c r="H50" s="199"/>
      <c r="I50" s="199"/>
    </row>
    <row r="51" spans="1:9" ht="15.6" x14ac:dyDescent="0.3">
      <c r="A51" s="158" t="s">
        <v>1421</v>
      </c>
      <c r="B51" s="69">
        <v>13213283</v>
      </c>
      <c r="C51" s="67" t="s">
        <v>1628</v>
      </c>
      <c r="D51" s="68">
        <v>899999114</v>
      </c>
      <c r="E51" s="199"/>
      <c r="F51" s="199"/>
      <c r="G51" s="199"/>
      <c r="H51" s="199"/>
      <c r="I51" s="199"/>
    </row>
    <row r="52" spans="1:9" ht="15.6" x14ac:dyDescent="0.3">
      <c r="A52" s="158" t="s">
        <v>1804</v>
      </c>
      <c r="B52" s="69">
        <v>3011821</v>
      </c>
      <c r="C52" s="67" t="s">
        <v>1628</v>
      </c>
      <c r="D52" s="68">
        <v>899999114</v>
      </c>
      <c r="E52" s="199"/>
      <c r="F52" s="199"/>
      <c r="G52" s="199"/>
      <c r="H52" s="199"/>
      <c r="I52" s="199"/>
    </row>
    <row r="53" spans="1:9" ht="15.6" x14ac:dyDescent="0.3">
      <c r="A53" s="158" t="s">
        <v>985</v>
      </c>
      <c r="B53" s="69">
        <v>20161316</v>
      </c>
      <c r="C53" s="67" t="s">
        <v>1628</v>
      </c>
      <c r="D53" s="68">
        <v>899999114</v>
      </c>
      <c r="E53" s="199"/>
      <c r="F53" s="199"/>
      <c r="G53" s="199"/>
      <c r="H53" s="199"/>
      <c r="I53" s="199"/>
    </row>
    <row r="54" spans="1:9" ht="15.6" x14ac:dyDescent="0.3">
      <c r="A54" s="158" t="s">
        <v>1425</v>
      </c>
      <c r="B54" s="69">
        <v>17008660</v>
      </c>
      <c r="C54" s="67" t="s">
        <v>1628</v>
      </c>
      <c r="D54" s="68">
        <v>899999114</v>
      </c>
      <c r="E54" s="199"/>
      <c r="F54" s="199"/>
      <c r="G54" s="199"/>
      <c r="H54" s="199"/>
      <c r="I54" s="199"/>
    </row>
    <row r="55" spans="1:9" ht="15.6" x14ac:dyDescent="0.3">
      <c r="A55" s="158" t="s">
        <v>716</v>
      </c>
      <c r="B55" s="69">
        <v>41314945</v>
      </c>
      <c r="C55" s="67" t="s">
        <v>1628</v>
      </c>
      <c r="D55" s="68">
        <v>899999114</v>
      </c>
      <c r="E55" s="199"/>
      <c r="F55" s="199"/>
      <c r="G55" s="199"/>
      <c r="H55" s="199"/>
      <c r="I55" s="199"/>
    </row>
    <row r="56" spans="1:9" ht="15.6" x14ac:dyDescent="0.3">
      <c r="A56" s="158" t="s">
        <v>1805</v>
      </c>
      <c r="B56" s="69">
        <v>17135950</v>
      </c>
      <c r="C56" s="67" t="s">
        <v>1628</v>
      </c>
      <c r="D56" s="68">
        <v>899999114</v>
      </c>
      <c r="E56" s="199"/>
      <c r="F56" s="199"/>
      <c r="G56" s="199"/>
      <c r="H56" s="199"/>
      <c r="I56" s="199"/>
    </row>
    <row r="57" spans="1:9" ht="15.6" x14ac:dyDescent="0.3">
      <c r="A57" s="158" t="s">
        <v>1806</v>
      </c>
      <c r="B57" s="69">
        <v>41339522</v>
      </c>
      <c r="C57" s="67" t="s">
        <v>1628</v>
      </c>
      <c r="D57" s="68">
        <v>899999114</v>
      </c>
      <c r="E57" s="199"/>
      <c r="F57" s="199"/>
      <c r="G57" s="199"/>
      <c r="H57" s="199"/>
      <c r="I57" s="199"/>
    </row>
    <row r="58" spans="1:9" ht="15.6" x14ac:dyDescent="0.3">
      <c r="A58" s="158" t="s">
        <v>1433</v>
      </c>
      <c r="B58" s="69">
        <v>17178348</v>
      </c>
      <c r="C58" s="67" t="s">
        <v>1628</v>
      </c>
      <c r="D58" s="68">
        <v>899999114</v>
      </c>
      <c r="E58" s="199"/>
      <c r="F58" s="199"/>
      <c r="G58" s="199"/>
      <c r="H58" s="199"/>
      <c r="I58" s="199"/>
    </row>
    <row r="59" spans="1:9" ht="15.6" x14ac:dyDescent="0.3">
      <c r="A59" s="158" t="s">
        <v>1807</v>
      </c>
      <c r="B59" s="69">
        <v>41448731</v>
      </c>
      <c r="C59" s="67" t="s">
        <v>1628</v>
      </c>
      <c r="D59" s="68">
        <v>899999114</v>
      </c>
      <c r="E59" s="199"/>
      <c r="F59" s="199"/>
      <c r="G59" s="199"/>
      <c r="H59" s="199"/>
      <c r="I59" s="199"/>
    </row>
    <row r="60" spans="1:9" ht="15.6" x14ac:dyDescent="0.3">
      <c r="A60" s="158" t="s">
        <v>1437</v>
      </c>
      <c r="B60" s="69">
        <v>41491714</v>
      </c>
      <c r="C60" s="67" t="s">
        <v>1628</v>
      </c>
      <c r="D60" s="68">
        <v>899999114</v>
      </c>
      <c r="E60" s="199"/>
      <c r="F60" s="199"/>
      <c r="G60" s="199"/>
      <c r="H60" s="199"/>
      <c r="I60" s="199"/>
    </row>
    <row r="61" spans="1:9" ht="15.6" x14ac:dyDescent="0.3">
      <c r="A61" s="158" t="s">
        <v>1439</v>
      </c>
      <c r="B61" s="69">
        <v>17182518</v>
      </c>
      <c r="C61" s="67" t="s">
        <v>1628</v>
      </c>
      <c r="D61" s="68">
        <v>899999114</v>
      </c>
      <c r="E61" s="199"/>
      <c r="F61" s="199"/>
      <c r="G61" s="199"/>
      <c r="H61" s="199"/>
      <c r="I61" s="199"/>
    </row>
    <row r="62" spans="1:9" ht="15.6" x14ac:dyDescent="0.3">
      <c r="A62" s="158" t="s">
        <v>1441</v>
      </c>
      <c r="B62" s="69">
        <v>11292350</v>
      </c>
      <c r="C62" s="67" t="s">
        <v>1628</v>
      </c>
      <c r="D62" s="68">
        <v>899999114</v>
      </c>
      <c r="E62" s="199"/>
      <c r="F62" s="199"/>
      <c r="G62" s="199"/>
      <c r="H62" s="199"/>
      <c r="I62" s="199"/>
    </row>
    <row r="63" spans="1:9" ht="15.6" x14ac:dyDescent="0.3">
      <c r="A63" s="158" t="s">
        <v>1808</v>
      </c>
      <c r="B63" s="69">
        <v>41443975</v>
      </c>
      <c r="C63" s="67" t="s">
        <v>1628</v>
      </c>
      <c r="D63" s="68">
        <v>899999114</v>
      </c>
      <c r="E63" s="199"/>
      <c r="F63" s="199"/>
      <c r="G63" s="199"/>
      <c r="H63" s="199"/>
      <c r="I63" s="199"/>
    </row>
    <row r="64" spans="1:9" ht="15.6" x14ac:dyDescent="0.3">
      <c r="A64" s="158" t="s">
        <v>1445</v>
      </c>
      <c r="B64" s="69">
        <v>41485099</v>
      </c>
      <c r="C64" s="67" t="s">
        <v>1628</v>
      </c>
      <c r="D64" s="68">
        <v>899999114</v>
      </c>
      <c r="E64" s="199"/>
      <c r="F64" s="199"/>
      <c r="G64" s="199"/>
      <c r="H64" s="199"/>
      <c r="I64" s="199"/>
    </row>
    <row r="65" spans="1:9" ht="15.6" x14ac:dyDescent="0.3">
      <c r="A65" s="158" t="s">
        <v>1809</v>
      </c>
      <c r="B65" s="69">
        <v>17174648</v>
      </c>
      <c r="C65" s="67" t="s">
        <v>1628</v>
      </c>
      <c r="D65" s="68">
        <v>899999114</v>
      </c>
      <c r="E65" s="199"/>
      <c r="F65" s="199"/>
      <c r="G65" s="199"/>
      <c r="H65" s="199"/>
      <c r="I65" s="199"/>
    </row>
    <row r="66" spans="1:9" ht="15.6" x14ac:dyDescent="0.3">
      <c r="A66" s="158" t="s">
        <v>1449</v>
      </c>
      <c r="B66" s="69">
        <v>3013490</v>
      </c>
      <c r="C66" s="67" t="s">
        <v>1628</v>
      </c>
      <c r="D66" s="68">
        <v>899999114</v>
      </c>
      <c r="E66" s="199"/>
      <c r="F66" s="199"/>
      <c r="G66" s="199"/>
      <c r="H66" s="199"/>
      <c r="I66" s="199"/>
    </row>
    <row r="67" spans="1:9" ht="15.6" x14ac:dyDescent="0.3">
      <c r="A67" s="158" t="s">
        <v>1451</v>
      </c>
      <c r="B67" s="69">
        <v>41549095</v>
      </c>
      <c r="C67" s="67" t="s">
        <v>1628</v>
      </c>
      <c r="D67" s="68">
        <v>899999114</v>
      </c>
      <c r="E67" s="199"/>
      <c r="F67" s="199"/>
      <c r="G67" s="199"/>
      <c r="H67" s="199"/>
      <c r="I67" s="199"/>
    </row>
    <row r="68" spans="1:9" ht="15.6" x14ac:dyDescent="0.3">
      <c r="A68" s="158" t="s">
        <v>771</v>
      </c>
      <c r="B68" s="69">
        <v>17196930</v>
      </c>
      <c r="C68" s="67" t="s">
        <v>1628</v>
      </c>
      <c r="D68" s="68">
        <v>899999114</v>
      </c>
      <c r="E68" s="199"/>
      <c r="F68" s="199"/>
      <c r="G68" s="199"/>
      <c r="H68" s="199"/>
      <c r="I68" s="199"/>
    </row>
    <row r="69" spans="1:9" ht="15.6" x14ac:dyDescent="0.3">
      <c r="A69" s="158" t="s">
        <v>1455</v>
      </c>
      <c r="B69" s="69">
        <v>41621038</v>
      </c>
      <c r="C69" s="67" t="s">
        <v>1628</v>
      </c>
      <c r="D69" s="68">
        <v>899999114</v>
      </c>
      <c r="E69" s="199"/>
      <c r="F69" s="199"/>
      <c r="G69" s="199"/>
      <c r="H69" s="199"/>
      <c r="I69" s="199"/>
    </row>
    <row r="70" spans="1:9" ht="15.6" x14ac:dyDescent="0.3">
      <c r="A70" s="158" t="s">
        <v>1457</v>
      </c>
      <c r="B70" s="69">
        <v>3226873</v>
      </c>
      <c r="C70" s="67" t="s">
        <v>1628</v>
      </c>
      <c r="D70" s="68">
        <v>899999114</v>
      </c>
      <c r="E70" s="199"/>
      <c r="F70" s="199"/>
      <c r="G70" s="199"/>
      <c r="H70" s="199"/>
      <c r="I70" s="199"/>
    </row>
    <row r="71" spans="1:9" ht="15.6" x14ac:dyDescent="0.3">
      <c r="A71" s="158" t="s">
        <v>1460</v>
      </c>
      <c r="B71" s="69">
        <v>17110172</v>
      </c>
      <c r="C71" s="67" t="s">
        <v>1628</v>
      </c>
      <c r="D71" s="68">
        <v>899999114</v>
      </c>
      <c r="E71" s="199"/>
      <c r="F71" s="199"/>
      <c r="G71" s="199"/>
      <c r="H71" s="199"/>
      <c r="I71" s="199"/>
    </row>
    <row r="455" spans="3:9" ht="15.6" x14ac:dyDescent="0.3">
      <c r="C455" s="67"/>
      <c r="D455" s="68"/>
      <c r="E455" s="199"/>
      <c r="F455" s="199"/>
      <c r="G455" s="199"/>
      <c r="H455" s="199"/>
      <c r="I455" s="199"/>
    </row>
    <row r="456" spans="3:9" ht="15.6" x14ac:dyDescent="0.3">
      <c r="C456" s="67"/>
      <c r="D456" s="68"/>
      <c r="E456" s="199"/>
      <c r="F456" s="199"/>
      <c r="G456" s="199"/>
      <c r="H456" s="199"/>
      <c r="I456" s="199"/>
    </row>
    <row r="457" spans="3:9" ht="15.6" x14ac:dyDescent="0.3">
      <c r="C457" s="67"/>
      <c r="D457" s="68"/>
      <c r="E457" s="199"/>
      <c r="F457" s="199"/>
      <c r="G457" s="199"/>
      <c r="H457" s="199"/>
      <c r="I457" s="199"/>
    </row>
    <row r="458" spans="3:9" ht="15.6" x14ac:dyDescent="0.3">
      <c r="C458" s="67"/>
      <c r="D458" s="68"/>
      <c r="E458" s="199"/>
      <c r="F458" s="199"/>
      <c r="G458" s="199"/>
      <c r="H458" s="199"/>
      <c r="I458" s="199"/>
    </row>
    <row r="459" spans="3:9" ht="15.6" x14ac:dyDescent="0.3">
      <c r="C459" s="67"/>
      <c r="D459" s="68"/>
      <c r="E459" s="199"/>
      <c r="F459" s="199"/>
      <c r="G459" s="199"/>
      <c r="H459" s="199"/>
      <c r="I459" s="199"/>
    </row>
    <row r="460" spans="3:9" ht="15.6" x14ac:dyDescent="0.3">
      <c r="C460" s="67"/>
      <c r="D460" s="68"/>
      <c r="E460" s="199"/>
      <c r="F460" s="199"/>
      <c r="G460" s="199"/>
      <c r="H460" s="199"/>
      <c r="I460" s="199"/>
    </row>
    <row r="461" spans="3:9" ht="15.6" x14ac:dyDescent="0.3">
      <c r="C461" s="67"/>
      <c r="D461" s="68"/>
      <c r="E461" s="199"/>
      <c r="F461" s="199"/>
      <c r="G461" s="199"/>
      <c r="H461" s="199"/>
      <c r="I461" s="199"/>
    </row>
    <row r="462" spans="3:9" ht="15.6" x14ac:dyDescent="0.3">
      <c r="C462" s="67"/>
      <c r="D462" s="68"/>
      <c r="E462" s="199"/>
      <c r="F462" s="199"/>
      <c r="G462" s="199"/>
      <c r="H462" s="199"/>
      <c r="I462" s="199"/>
    </row>
    <row r="463" spans="3:9" ht="15.6" x14ac:dyDescent="0.3">
      <c r="C463" s="67"/>
      <c r="D463" s="68"/>
      <c r="E463" s="199"/>
      <c r="F463" s="199"/>
      <c r="G463" s="199"/>
      <c r="H463" s="199"/>
      <c r="I463" s="199"/>
    </row>
    <row r="464" spans="3:9" ht="15.6" x14ac:dyDescent="0.3">
      <c r="C464" s="67"/>
      <c r="D464" s="68"/>
      <c r="E464" s="199"/>
      <c r="F464" s="199"/>
      <c r="G464" s="199"/>
      <c r="H464" s="199"/>
      <c r="I464" s="199"/>
    </row>
    <row r="465" spans="3:9" ht="15.6" x14ac:dyDescent="0.3">
      <c r="C465" s="67"/>
      <c r="D465" s="68"/>
      <c r="E465" s="199"/>
      <c r="F465" s="199"/>
      <c r="G465" s="199"/>
      <c r="H465" s="199"/>
      <c r="I465" s="199"/>
    </row>
    <row r="466" spans="3:9" ht="15.6" x14ac:dyDescent="0.3">
      <c r="C466" s="67"/>
      <c r="D466" s="68"/>
      <c r="E466" s="199"/>
      <c r="F466" s="199"/>
      <c r="G466" s="199"/>
      <c r="H466" s="199"/>
      <c r="I466" s="199"/>
    </row>
    <row r="467" spans="3:9" ht="15.6" x14ac:dyDescent="0.3">
      <c r="C467" s="67"/>
      <c r="D467" s="68"/>
      <c r="E467" s="199"/>
      <c r="F467" s="199"/>
      <c r="G467" s="199"/>
      <c r="H467" s="199"/>
      <c r="I467" s="199"/>
    </row>
    <row r="468" spans="3:9" ht="15.6" x14ac:dyDescent="0.3">
      <c r="C468" s="67"/>
      <c r="D468" s="68"/>
      <c r="E468" s="199"/>
      <c r="F468" s="199"/>
      <c r="G468" s="199"/>
      <c r="H468" s="199"/>
      <c r="I468" s="199"/>
    </row>
    <row r="469" spans="3:9" ht="15.6" x14ac:dyDescent="0.3">
      <c r="C469" s="67"/>
      <c r="D469" s="68"/>
      <c r="E469" s="199"/>
      <c r="F469" s="199"/>
      <c r="G469" s="199"/>
      <c r="H469" s="199"/>
      <c r="I469" s="199"/>
    </row>
    <row r="470" spans="3:9" ht="15.6" x14ac:dyDescent="0.3">
      <c r="C470" s="67"/>
      <c r="D470" s="68"/>
      <c r="E470" s="199"/>
      <c r="F470" s="199"/>
      <c r="G470" s="199"/>
      <c r="H470" s="199"/>
      <c r="I470" s="199"/>
    </row>
    <row r="471" spans="3:9" ht="15.6" x14ac:dyDescent="0.3">
      <c r="C471" s="67"/>
      <c r="D471" s="68"/>
      <c r="E471" s="199"/>
      <c r="F471" s="199"/>
      <c r="G471" s="199"/>
      <c r="H471" s="199"/>
      <c r="I471" s="199"/>
    </row>
    <row r="472" spans="3:9" ht="15.6" x14ac:dyDescent="0.3">
      <c r="C472" s="67"/>
      <c r="D472" s="68"/>
      <c r="E472" s="199"/>
      <c r="F472" s="199"/>
      <c r="G472" s="199"/>
      <c r="H472" s="199"/>
      <c r="I472" s="199"/>
    </row>
    <row r="473" spans="3:9" ht="15.6" x14ac:dyDescent="0.3">
      <c r="C473" s="67"/>
      <c r="D473" s="68"/>
      <c r="E473" s="199"/>
      <c r="F473" s="199"/>
      <c r="G473" s="199"/>
      <c r="H473" s="199"/>
      <c r="I473" s="199"/>
    </row>
    <row r="474" spans="3:9" ht="15.6" x14ac:dyDescent="0.3">
      <c r="C474" s="67"/>
      <c r="D474" s="68"/>
      <c r="E474" s="199"/>
      <c r="F474" s="199"/>
      <c r="G474" s="199"/>
      <c r="H474" s="199"/>
      <c r="I474" s="199"/>
    </row>
    <row r="475" spans="3:9" ht="15.6" x14ac:dyDescent="0.3">
      <c r="C475" s="67"/>
      <c r="D475" s="68"/>
      <c r="E475" s="199"/>
      <c r="F475" s="199"/>
      <c r="G475" s="199"/>
      <c r="H475" s="199"/>
      <c r="I475" s="199"/>
    </row>
    <row r="476" spans="3:9" ht="15.6" x14ac:dyDescent="0.3">
      <c r="C476" s="67"/>
      <c r="D476" s="68"/>
      <c r="E476" s="199"/>
      <c r="F476" s="199"/>
      <c r="G476" s="199"/>
      <c r="H476" s="199"/>
      <c r="I476" s="199"/>
    </row>
    <row r="477" spans="3:9" ht="15.6" x14ac:dyDescent="0.3">
      <c r="C477" s="67"/>
      <c r="D477" s="68"/>
      <c r="E477" s="199"/>
      <c r="F477" s="199"/>
      <c r="G477" s="199"/>
      <c r="H477" s="199"/>
      <c r="I477" s="199"/>
    </row>
    <row r="478" spans="3:9" ht="15.6" x14ac:dyDescent="0.3">
      <c r="C478" s="67"/>
      <c r="D478" s="68"/>
      <c r="E478" s="199"/>
      <c r="F478" s="199"/>
      <c r="G478" s="199"/>
      <c r="H478" s="199"/>
      <c r="I478" s="199"/>
    </row>
    <row r="479" spans="3:9" ht="15.6" x14ac:dyDescent="0.3">
      <c r="C479" s="67"/>
      <c r="D479" s="68"/>
      <c r="E479" s="199"/>
      <c r="F479" s="199"/>
      <c r="G479" s="199"/>
      <c r="H479" s="199"/>
      <c r="I479" s="199"/>
    </row>
    <row r="480" spans="3:9" ht="15.6" x14ac:dyDescent="0.3">
      <c r="C480" s="67"/>
      <c r="D480" s="68"/>
      <c r="E480" s="199"/>
      <c r="F480" s="199"/>
      <c r="G480" s="199"/>
      <c r="H480" s="199"/>
      <c r="I480" s="199"/>
    </row>
    <row r="481" spans="3:9" ht="15.6" x14ac:dyDescent="0.3">
      <c r="C481" s="67"/>
      <c r="D481" s="68"/>
      <c r="E481" s="199"/>
      <c r="F481" s="199"/>
      <c r="G481" s="199"/>
      <c r="H481" s="199"/>
      <c r="I481" s="199"/>
    </row>
    <row r="482" spans="3:9" ht="15.6" x14ac:dyDescent="0.3">
      <c r="C482" s="67"/>
      <c r="D482" s="68"/>
      <c r="E482" s="199"/>
      <c r="F482" s="199"/>
      <c r="G482" s="199"/>
      <c r="H482" s="199"/>
      <c r="I482" s="199"/>
    </row>
    <row r="483" spans="3:9" ht="15.6" x14ac:dyDescent="0.3">
      <c r="C483" s="67"/>
      <c r="D483" s="68"/>
      <c r="E483" s="199"/>
      <c r="F483" s="199"/>
      <c r="G483" s="199"/>
      <c r="H483" s="199"/>
      <c r="I483" s="199"/>
    </row>
    <row r="484" spans="3:9" ht="15.6" x14ac:dyDescent="0.3">
      <c r="C484" s="67"/>
      <c r="D484" s="68"/>
      <c r="E484" s="199"/>
      <c r="F484" s="199"/>
      <c r="G484" s="199"/>
      <c r="H484" s="199"/>
      <c r="I484" s="199"/>
    </row>
    <row r="485" spans="3:9" ht="15.6" x14ac:dyDescent="0.3">
      <c r="C485" s="67"/>
      <c r="D485" s="68"/>
      <c r="E485" s="199"/>
      <c r="F485" s="199"/>
      <c r="G485" s="199"/>
      <c r="H485" s="199"/>
      <c r="I485" s="199"/>
    </row>
    <row r="486" spans="3:9" ht="15.6" x14ac:dyDescent="0.3">
      <c r="C486" s="67"/>
      <c r="D486" s="68"/>
      <c r="E486" s="199"/>
      <c r="F486" s="199"/>
      <c r="G486" s="199"/>
      <c r="H486" s="199"/>
      <c r="I486" s="199"/>
    </row>
    <row r="487" spans="3:9" ht="15.6" x14ac:dyDescent="0.3">
      <c r="C487" s="67"/>
      <c r="D487" s="68"/>
      <c r="E487" s="199"/>
      <c r="F487" s="199"/>
      <c r="G487" s="199"/>
      <c r="H487" s="199"/>
      <c r="I487" s="199"/>
    </row>
    <row r="488" spans="3:9" ht="15.6" x14ac:dyDescent="0.3">
      <c r="C488" s="67"/>
      <c r="D488" s="68"/>
      <c r="E488" s="199"/>
      <c r="F488" s="199"/>
      <c r="G488" s="199"/>
      <c r="H488" s="199"/>
      <c r="I488" s="199"/>
    </row>
    <row r="489" spans="3:9" ht="15.6" x14ac:dyDescent="0.3">
      <c r="C489" s="67"/>
      <c r="D489" s="68"/>
      <c r="E489" s="199"/>
      <c r="F489" s="199"/>
      <c r="G489" s="199"/>
      <c r="H489" s="199"/>
      <c r="I489" s="199"/>
    </row>
    <row r="490" spans="3:9" ht="15.6" x14ac:dyDescent="0.3">
      <c r="C490" s="67"/>
      <c r="D490" s="68"/>
      <c r="E490" s="199"/>
      <c r="F490" s="199"/>
      <c r="G490" s="199"/>
      <c r="H490" s="199"/>
      <c r="I490" s="199"/>
    </row>
    <row r="491" spans="3:9" ht="15.6" x14ac:dyDescent="0.3">
      <c r="C491" s="67"/>
      <c r="D491" s="68"/>
      <c r="E491" s="199"/>
      <c r="F491" s="199"/>
      <c r="G491" s="199"/>
      <c r="H491" s="199"/>
      <c r="I491" s="199"/>
    </row>
    <row r="492" spans="3:9" ht="15.6" x14ac:dyDescent="0.3">
      <c r="C492" s="67"/>
      <c r="D492" s="68"/>
      <c r="E492" s="199"/>
      <c r="F492" s="199"/>
      <c r="G492" s="199"/>
      <c r="H492" s="199"/>
      <c r="I492" s="199"/>
    </row>
    <row r="493" spans="3:9" ht="15.6" x14ac:dyDescent="0.3">
      <c r="C493" s="67"/>
      <c r="D493" s="68"/>
      <c r="E493" s="199"/>
      <c r="F493" s="199"/>
      <c r="G493" s="199"/>
      <c r="H493" s="199"/>
      <c r="I493" s="199"/>
    </row>
    <row r="494" spans="3:9" ht="15.6" x14ac:dyDescent="0.3">
      <c r="C494" s="67"/>
      <c r="D494" s="68"/>
      <c r="E494" s="199"/>
      <c r="F494" s="199"/>
      <c r="G494" s="199"/>
      <c r="H494" s="199"/>
      <c r="I494" s="199"/>
    </row>
    <row r="495" spans="3:9" ht="15.6" x14ac:dyDescent="0.3">
      <c r="C495" s="67"/>
      <c r="D495" s="68"/>
      <c r="E495" s="199"/>
      <c r="F495" s="199"/>
      <c r="G495" s="199"/>
      <c r="H495" s="199"/>
      <c r="I495" s="199"/>
    </row>
    <row r="496" spans="3:9" ht="15.6" x14ac:dyDescent="0.3">
      <c r="C496" s="67"/>
      <c r="D496" s="68"/>
      <c r="E496" s="199"/>
      <c r="F496" s="199"/>
      <c r="G496" s="199"/>
      <c r="H496" s="199"/>
      <c r="I496" s="199"/>
    </row>
    <row r="497" spans="3:9" ht="15.6" x14ac:dyDescent="0.3">
      <c r="C497" s="67"/>
      <c r="D497" s="68"/>
      <c r="E497" s="199"/>
      <c r="F497" s="199"/>
      <c r="G497" s="199"/>
      <c r="H497" s="199"/>
      <c r="I497" s="199"/>
    </row>
    <row r="498" spans="3:9" ht="15.6" x14ac:dyDescent="0.3">
      <c r="C498" s="67"/>
      <c r="D498" s="68"/>
      <c r="E498" s="199"/>
      <c r="F498" s="199"/>
      <c r="G498" s="199"/>
      <c r="H498" s="199"/>
      <c r="I498" s="199"/>
    </row>
    <row r="499" spans="3:9" ht="15.6" x14ac:dyDescent="0.3">
      <c r="C499" s="67"/>
      <c r="D499" s="68"/>
      <c r="E499" s="199"/>
      <c r="F499" s="199"/>
      <c r="G499" s="199"/>
      <c r="H499" s="199"/>
      <c r="I499" s="199"/>
    </row>
    <row r="500" spans="3:9" ht="15.6" x14ac:dyDescent="0.3">
      <c r="C500" s="67"/>
      <c r="D500" s="68"/>
      <c r="E500" s="199"/>
      <c r="F500" s="199"/>
      <c r="G500" s="199"/>
      <c r="H500" s="199"/>
      <c r="I500" s="199"/>
    </row>
    <row r="501" spans="3:9" ht="15.6" x14ac:dyDescent="0.3">
      <c r="C501" s="67"/>
      <c r="D501" s="68"/>
      <c r="E501" s="199"/>
      <c r="F501" s="199"/>
      <c r="G501" s="199"/>
      <c r="H501" s="199"/>
      <c r="I501" s="199"/>
    </row>
    <row r="502" spans="3:9" ht="15.6" x14ac:dyDescent="0.3">
      <c r="C502" s="67"/>
      <c r="D502" s="68"/>
      <c r="E502" s="199"/>
      <c r="F502" s="199"/>
      <c r="G502" s="199"/>
      <c r="H502" s="199"/>
      <c r="I502" s="199"/>
    </row>
    <row r="503" spans="3:9" ht="15.6" x14ac:dyDescent="0.3">
      <c r="C503" s="67"/>
      <c r="D503" s="68"/>
      <c r="E503" s="199"/>
      <c r="F503" s="199"/>
      <c r="G503" s="199"/>
      <c r="H503" s="199"/>
      <c r="I503" s="199"/>
    </row>
    <row r="504" spans="3:9" ht="15.6" x14ac:dyDescent="0.3">
      <c r="C504" s="67"/>
      <c r="D504" s="68"/>
      <c r="E504" s="199"/>
      <c r="F504" s="199"/>
      <c r="G504" s="199"/>
      <c r="H504" s="199"/>
      <c r="I504" s="199"/>
    </row>
    <row r="505" spans="3:9" ht="15.6" x14ac:dyDescent="0.3">
      <c r="C505" s="67"/>
      <c r="D505" s="68"/>
      <c r="E505" s="199"/>
      <c r="F505" s="199"/>
      <c r="G505" s="199"/>
      <c r="H505" s="199"/>
      <c r="I505" s="199"/>
    </row>
    <row r="506" spans="3:9" ht="15.6" x14ac:dyDescent="0.3">
      <c r="C506" s="67"/>
      <c r="D506" s="68"/>
      <c r="E506" s="199"/>
      <c r="F506" s="199"/>
      <c r="G506" s="199"/>
      <c r="H506" s="199"/>
      <c r="I506" s="199"/>
    </row>
    <row r="507" spans="3:9" ht="15.6" x14ac:dyDescent="0.3">
      <c r="C507" s="67"/>
      <c r="D507" s="68"/>
      <c r="E507" s="199"/>
      <c r="F507" s="199"/>
      <c r="G507" s="199"/>
      <c r="H507" s="199"/>
      <c r="I507" s="199"/>
    </row>
    <row r="508" spans="3:9" ht="15.6" x14ac:dyDescent="0.3">
      <c r="C508" s="67"/>
      <c r="D508" s="68"/>
      <c r="E508" s="199"/>
      <c r="F508" s="199"/>
      <c r="G508" s="199"/>
      <c r="H508" s="199"/>
      <c r="I508" s="199"/>
    </row>
    <row r="509" spans="3:9" ht="15.6" x14ac:dyDescent="0.3">
      <c r="C509" s="67"/>
      <c r="D509" s="68"/>
      <c r="E509" s="199"/>
      <c r="F509" s="199"/>
      <c r="G509" s="199"/>
      <c r="H509" s="199"/>
      <c r="I509" s="199"/>
    </row>
    <row r="510" spans="3:9" ht="15.6" x14ac:dyDescent="0.3">
      <c r="C510" s="67"/>
      <c r="D510" s="68"/>
      <c r="E510" s="199"/>
      <c r="F510" s="199"/>
      <c r="G510" s="199"/>
      <c r="H510" s="199"/>
      <c r="I510" s="199"/>
    </row>
    <row r="511" spans="3:9" ht="15.6" x14ac:dyDescent="0.3">
      <c r="C511" s="67"/>
      <c r="D511" s="68"/>
      <c r="E511" s="199"/>
      <c r="F511" s="199"/>
      <c r="G511" s="199"/>
      <c r="H511" s="199"/>
      <c r="I511" s="199"/>
    </row>
    <row r="512" spans="3:9" ht="15.6" x14ac:dyDescent="0.3">
      <c r="C512" s="67"/>
      <c r="D512" s="68"/>
      <c r="E512" s="199"/>
      <c r="F512" s="199"/>
      <c r="G512" s="199"/>
      <c r="H512" s="199"/>
      <c r="I512" s="199"/>
    </row>
    <row r="513" spans="3:9" ht="15.6" x14ac:dyDescent="0.3">
      <c r="C513" s="67"/>
      <c r="D513" s="68"/>
      <c r="E513" s="199"/>
      <c r="F513" s="199"/>
      <c r="G513" s="199"/>
      <c r="H513" s="199"/>
      <c r="I513" s="199"/>
    </row>
    <row r="514" spans="3:9" ht="15.6" x14ac:dyDescent="0.3">
      <c r="C514" s="67"/>
      <c r="D514" s="68"/>
      <c r="E514" s="199"/>
      <c r="F514" s="199"/>
      <c r="G514" s="199"/>
      <c r="H514" s="199"/>
      <c r="I514" s="199"/>
    </row>
    <row r="515" spans="3:9" ht="15.6" x14ac:dyDescent="0.3">
      <c r="C515" s="67"/>
      <c r="D515" s="68"/>
      <c r="E515" s="199"/>
      <c r="F515" s="199"/>
      <c r="G515" s="199"/>
      <c r="H515" s="199"/>
      <c r="I515" s="199"/>
    </row>
    <row r="516" spans="3:9" ht="15.6" x14ac:dyDescent="0.3">
      <c r="C516" s="67"/>
      <c r="D516" s="68"/>
      <c r="E516" s="199"/>
      <c r="F516" s="199"/>
      <c r="G516" s="199"/>
      <c r="H516" s="199"/>
      <c r="I516" s="199"/>
    </row>
    <row r="517" spans="3:9" ht="15.6" x14ac:dyDescent="0.3">
      <c r="C517" s="67"/>
      <c r="D517" s="68"/>
      <c r="E517" s="199"/>
      <c r="F517" s="199"/>
      <c r="G517" s="199"/>
      <c r="H517" s="199"/>
      <c r="I517" s="199"/>
    </row>
    <row r="518" spans="3:9" ht="15.6" x14ac:dyDescent="0.3">
      <c r="C518" s="67"/>
      <c r="D518" s="68"/>
      <c r="E518" s="199"/>
      <c r="F518" s="199"/>
      <c r="G518" s="199"/>
      <c r="H518" s="199"/>
      <c r="I518" s="199"/>
    </row>
    <row r="519" spans="3:9" ht="15.6" x14ac:dyDescent="0.3">
      <c r="C519" s="67"/>
      <c r="D519" s="68"/>
      <c r="E519" s="199"/>
      <c r="F519" s="199"/>
      <c r="G519" s="199"/>
      <c r="H519" s="199"/>
      <c r="I519" s="199"/>
    </row>
    <row r="520" spans="3:9" ht="15.6" x14ac:dyDescent="0.3">
      <c r="C520" s="67"/>
      <c r="D520" s="68"/>
      <c r="E520" s="199"/>
      <c r="F520" s="199"/>
      <c r="G520" s="199"/>
      <c r="H520" s="199"/>
      <c r="I520" s="199"/>
    </row>
    <row r="521" spans="3:9" ht="15.6" x14ac:dyDescent="0.3">
      <c r="C521" s="67"/>
      <c r="D521" s="68"/>
      <c r="E521" s="199"/>
      <c r="F521" s="199"/>
      <c r="G521" s="199"/>
      <c r="H521" s="199"/>
      <c r="I521" s="199"/>
    </row>
    <row r="522" spans="3:9" ht="15.6" x14ac:dyDescent="0.3">
      <c r="C522" s="67"/>
      <c r="D522" s="68"/>
      <c r="E522" s="199"/>
      <c r="F522" s="199"/>
      <c r="G522" s="199"/>
      <c r="H522" s="199"/>
      <c r="I522" s="199"/>
    </row>
    <row r="523" spans="3:9" ht="15.6" x14ac:dyDescent="0.3">
      <c r="C523" s="67"/>
      <c r="D523" s="68"/>
      <c r="E523" s="199"/>
      <c r="F523" s="199"/>
      <c r="G523" s="199"/>
      <c r="H523" s="199"/>
      <c r="I523" s="199"/>
    </row>
    <row r="524" spans="3:9" ht="15.6" x14ac:dyDescent="0.3">
      <c r="C524" s="67"/>
      <c r="D524" s="68"/>
      <c r="E524" s="199"/>
      <c r="F524" s="199"/>
      <c r="G524" s="199"/>
      <c r="H524" s="199"/>
      <c r="I524" s="199"/>
    </row>
    <row r="525" spans="3:9" ht="15.6" x14ac:dyDescent="0.3">
      <c r="C525" s="67"/>
      <c r="D525" s="68"/>
      <c r="E525" s="199"/>
      <c r="F525" s="199"/>
      <c r="G525" s="199"/>
      <c r="H525" s="199"/>
      <c r="I525" s="199"/>
    </row>
    <row r="526" spans="3:9" ht="15.6" x14ac:dyDescent="0.3">
      <c r="C526" s="67"/>
      <c r="D526" s="68"/>
      <c r="E526" s="199"/>
      <c r="F526" s="199"/>
      <c r="G526" s="199"/>
      <c r="H526" s="199"/>
      <c r="I526" s="199"/>
    </row>
    <row r="527" spans="3:9" ht="15.6" x14ac:dyDescent="0.3">
      <c r="C527" s="67"/>
      <c r="D527" s="68"/>
      <c r="E527" s="199"/>
      <c r="F527" s="199"/>
      <c r="G527" s="199"/>
      <c r="H527" s="199"/>
      <c r="I527" s="199"/>
    </row>
    <row r="528" spans="3:9" ht="15.6" x14ac:dyDescent="0.3">
      <c r="C528" s="67"/>
      <c r="D528" s="68"/>
      <c r="E528" s="199"/>
      <c r="F528" s="199"/>
      <c r="G528" s="199"/>
      <c r="H528" s="199"/>
      <c r="I528" s="199"/>
    </row>
    <row r="529" spans="3:9" ht="15.6" x14ac:dyDescent="0.3">
      <c r="C529" s="67"/>
      <c r="D529" s="68"/>
      <c r="E529" s="199"/>
      <c r="F529" s="199"/>
      <c r="G529" s="199"/>
      <c r="H529" s="199"/>
      <c r="I529" s="199"/>
    </row>
    <row r="530" spans="3:9" ht="15.6" x14ac:dyDescent="0.3">
      <c r="C530" s="67"/>
      <c r="D530" s="68"/>
      <c r="E530" s="199"/>
      <c r="F530" s="199"/>
      <c r="G530" s="199"/>
      <c r="H530" s="199"/>
      <c r="I530" s="199"/>
    </row>
    <row r="531" spans="3:9" ht="15.6" x14ac:dyDescent="0.3">
      <c r="C531" s="67"/>
      <c r="D531" s="68"/>
      <c r="E531" s="199"/>
      <c r="F531" s="199"/>
      <c r="G531" s="199"/>
      <c r="H531" s="199"/>
      <c r="I531" s="199"/>
    </row>
    <row r="532" spans="3:9" ht="15.6" x14ac:dyDescent="0.3">
      <c r="C532" s="67"/>
      <c r="D532" s="68"/>
      <c r="E532" s="199"/>
      <c r="F532" s="199"/>
      <c r="G532" s="199"/>
      <c r="H532" s="199"/>
      <c r="I532" s="199"/>
    </row>
    <row r="533" spans="3:9" ht="15.6" x14ac:dyDescent="0.3">
      <c r="C533" s="67"/>
      <c r="D533" s="68"/>
      <c r="E533" s="199"/>
      <c r="F533" s="199"/>
      <c r="G533" s="199"/>
      <c r="H533" s="199"/>
      <c r="I533" s="199"/>
    </row>
    <row r="534" spans="3:9" ht="15.6" x14ac:dyDescent="0.3">
      <c r="C534" s="67"/>
      <c r="D534" s="68"/>
      <c r="E534" s="199"/>
      <c r="F534" s="199"/>
      <c r="G534" s="199"/>
      <c r="H534" s="199"/>
      <c r="I534" s="199"/>
    </row>
    <row r="535" spans="3:9" ht="15.6" x14ac:dyDescent="0.3">
      <c r="C535" s="67"/>
      <c r="D535" s="68"/>
      <c r="E535" s="199"/>
      <c r="F535" s="199"/>
      <c r="G535" s="199"/>
      <c r="H535" s="199"/>
      <c r="I535" s="199"/>
    </row>
    <row r="536" spans="3:9" ht="15.6" x14ac:dyDescent="0.3">
      <c r="C536" s="67"/>
      <c r="D536" s="68"/>
      <c r="E536" s="199"/>
      <c r="F536" s="199"/>
      <c r="G536" s="199"/>
      <c r="H536" s="199"/>
      <c r="I536" s="199"/>
    </row>
    <row r="537" spans="3:9" ht="15.6" x14ac:dyDescent="0.3">
      <c r="C537" s="67"/>
      <c r="D537" s="68"/>
      <c r="E537" s="199"/>
      <c r="F537" s="199"/>
      <c r="G537" s="199"/>
      <c r="H537" s="199"/>
      <c r="I537" s="199"/>
    </row>
    <row r="538" spans="3:9" ht="15.6" x14ac:dyDescent="0.3">
      <c r="C538" s="67"/>
      <c r="D538" s="68"/>
      <c r="E538" s="199"/>
      <c r="F538" s="199"/>
      <c r="G538" s="199"/>
      <c r="H538" s="199"/>
      <c r="I538" s="199"/>
    </row>
    <row r="539" spans="3:9" ht="15.6" x14ac:dyDescent="0.3">
      <c r="C539" s="67"/>
      <c r="D539" s="68"/>
      <c r="E539" s="199"/>
      <c r="F539" s="199"/>
      <c r="G539" s="199"/>
      <c r="H539" s="199"/>
      <c r="I539" s="199"/>
    </row>
    <row r="540" spans="3:9" ht="15.6" x14ac:dyDescent="0.3">
      <c r="C540" s="67"/>
      <c r="D540" s="68"/>
      <c r="E540" s="199"/>
      <c r="F540" s="199"/>
      <c r="G540" s="199"/>
      <c r="H540" s="199"/>
      <c r="I540" s="199"/>
    </row>
    <row r="541" spans="3:9" ht="15.6" x14ac:dyDescent="0.3">
      <c r="C541" s="67"/>
      <c r="D541" s="68"/>
      <c r="E541" s="199"/>
      <c r="F541" s="199"/>
      <c r="G541" s="199"/>
      <c r="H541" s="199"/>
      <c r="I541" s="199"/>
    </row>
    <row r="542" spans="3:9" ht="15.6" x14ac:dyDescent="0.3">
      <c r="C542" s="67"/>
      <c r="D542" s="68"/>
      <c r="E542" s="199"/>
      <c r="F542" s="199"/>
      <c r="G542" s="199"/>
      <c r="H542" s="199"/>
      <c r="I542" s="199"/>
    </row>
    <row r="543" spans="3:9" ht="15.6" x14ac:dyDescent="0.3">
      <c r="C543" s="67"/>
      <c r="D543" s="68"/>
      <c r="E543" s="199"/>
      <c r="F543" s="199"/>
      <c r="G543" s="199"/>
      <c r="H543" s="199"/>
      <c r="I543" s="199"/>
    </row>
    <row r="544" spans="3:9" ht="15.6" x14ac:dyDescent="0.3">
      <c r="C544" s="67"/>
      <c r="D544" s="68"/>
      <c r="E544" s="199"/>
      <c r="F544" s="199"/>
      <c r="G544" s="199"/>
      <c r="H544" s="199"/>
      <c r="I544" s="199"/>
    </row>
    <row r="545" spans="3:9" ht="15.6" x14ac:dyDescent="0.3">
      <c r="C545" s="67"/>
      <c r="D545" s="68"/>
      <c r="E545" s="199"/>
      <c r="F545" s="199"/>
      <c r="G545" s="199"/>
      <c r="H545" s="199"/>
      <c r="I545" s="199"/>
    </row>
    <row r="546" spans="3:9" ht="15.6" x14ac:dyDescent="0.3">
      <c r="C546" s="67"/>
      <c r="D546" s="68"/>
      <c r="E546" s="199"/>
      <c r="F546" s="199"/>
      <c r="G546" s="199"/>
      <c r="H546" s="199"/>
      <c r="I546" s="199"/>
    </row>
    <row r="547" spans="3:9" ht="15.6" x14ac:dyDescent="0.3">
      <c r="C547" s="67"/>
      <c r="D547" s="68"/>
      <c r="E547" s="199"/>
      <c r="F547" s="199"/>
      <c r="G547" s="199"/>
      <c r="H547" s="199"/>
      <c r="I547" s="199"/>
    </row>
    <row r="548" spans="3:9" ht="15.6" x14ac:dyDescent="0.3">
      <c r="C548" s="67"/>
      <c r="D548" s="68"/>
      <c r="E548" s="199"/>
      <c r="F548" s="199"/>
      <c r="G548" s="199"/>
      <c r="H548" s="199"/>
      <c r="I548" s="199"/>
    </row>
    <row r="549" spans="3:9" ht="15.6" x14ac:dyDescent="0.3">
      <c r="C549" s="67"/>
      <c r="D549" s="68"/>
      <c r="E549" s="199"/>
      <c r="F549" s="199"/>
      <c r="G549" s="199"/>
      <c r="H549" s="199"/>
      <c r="I549" s="199"/>
    </row>
    <row r="550" spans="3:9" ht="15.6" x14ac:dyDescent="0.3">
      <c r="C550" s="67"/>
      <c r="D550" s="68"/>
      <c r="E550" s="199"/>
      <c r="F550" s="199"/>
      <c r="G550" s="199"/>
      <c r="H550" s="199"/>
      <c r="I550" s="199"/>
    </row>
    <row r="551" spans="3:9" ht="15.6" x14ac:dyDescent="0.3">
      <c r="C551" s="67"/>
      <c r="D551" s="68"/>
      <c r="E551" s="199"/>
      <c r="F551" s="199"/>
      <c r="G551" s="199"/>
      <c r="H551" s="199"/>
      <c r="I551" s="199"/>
    </row>
    <row r="552" spans="3:9" ht="15.6" x14ac:dyDescent="0.3">
      <c r="C552" s="67"/>
      <c r="D552" s="68"/>
      <c r="E552" s="199"/>
      <c r="F552" s="199"/>
      <c r="G552" s="199"/>
      <c r="H552" s="199"/>
      <c r="I552" s="199"/>
    </row>
    <row r="553" spans="3:9" ht="15.6" x14ac:dyDescent="0.3">
      <c r="C553" s="67"/>
      <c r="D553" s="68"/>
      <c r="E553" s="199"/>
      <c r="F553" s="199"/>
      <c r="G553" s="199"/>
      <c r="H553" s="199"/>
      <c r="I553" s="199"/>
    </row>
    <row r="554" spans="3:9" ht="15.6" x14ac:dyDescent="0.3">
      <c r="C554" s="67"/>
      <c r="D554" s="68"/>
      <c r="E554" s="199"/>
      <c r="F554" s="199"/>
      <c r="G554" s="199"/>
      <c r="H554" s="199"/>
      <c r="I554" s="199"/>
    </row>
    <row r="555" spans="3:9" ht="15.6" x14ac:dyDescent="0.3">
      <c r="C555" s="67"/>
      <c r="D555" s="68"/>
      <c r="E555" s="199"/>
      <c r="F555" s="199"/>
      <c r="G555" s="199"/>
      <c r="H555" s="199"/>
      <c r="I555" s="199"/>
    </row>
    <row r="556" spans="3:9" ht="15.6" x14ac:dyDescent="0.3">
      <c r="C556" s="67"/>
      <c r="D556" s="68"/>
      <c r="E556" s="199"/>
      <c r="F556" s="199"/>
      <c r="G556" s="199"/>
      <c r="H556" s="199"/>
      <c r="I556" s="199"/>
    </row>
    <row r="557" spans="3:9" ht="15.6" x14ac:dyDescent="0.3">
      <c r="C557" s="67"/>
      <c r="D557" s="68"/>
      <c r="E557" s="199"/>
      <c r="F557" s="199"/>
      <c r="G557" s="199"/>
      <c r="H557" s="199"/>
      <c r="I557" s="199"/>
    </row>
    <row r="558" spans="3:9" ht="15.6" x14ac:dyDescent="0.3">
      <c r="C558" s="67"/>
      <c r="D558" s="68"/>
      <c r="E558" s="199"/>
      <c r="F558" s="199"/>
      <c r="G558" s="199"/>
      <c r="H558" s="199"/>
      <c r="I558" s="199"/>
    </row>
    <row r="559" spans="3:9" ht="15.6" x14ac:dyDescent="0.3">
      <c r="C559" s="67"/>
      <c r="D559" s="68"/>
      <c r="E559" s="199"/>
      <c r="F559" s="199"/>
      <c r="G559" s="199"/>
      <c r="H559" s="199"/>
      <c r="I559" s="199"/>
    </row>
    <row r="560" spans="3:9" ht="15.6" x14ac:dyDescent="0.3">
      <c r="C560" s="67"/>
      <c r="D560" s="68"/>
      <c r="E560" s="199"/>
      <c r="F560" s="199"/>
      <c r="G560" s="199"/>
      <c r="H560" s="199"/>
      <c r="I560" s="199"/>
    </row>
    <row r="561" spans="3:9" ht="15.6" x14ac:dyDescent="0.3">
      <c r="C561" s="67"/>
      <c r="D561" s="68"/>
      <c r="E561" s="199"/>
      <c r="F561" s="199"/>
      <c r="G561" s="199"/>
      <c r="H561" s="199"/>
      <c r="I561" s="199"/>
    </row>
    <row r="562" spans="3:9" ht="15.6" x14ac:dyDescent="0.3">
      <c r="C562" s="67"/>
      <c r="D562" s="68"/>
      <c r="E562" s="199"/>
      <c r="F562" s="199"/>
      <c r="G562" s="199"/>
      <c r="H562" s="199"/>
      <c r="I562" s="199"/>
    </row>
    <row r="563" spans="3:9" ht="15.6" x14ac:dyDescent="0.3">
      <c r="C563" s="67"/>
      <c r="D563" s="68"/>
      <c r="E563" s="199"/>
      <c r="F563" s="199"/>
      <c r="G563" s="199"/>
      <c r="H563" s="199"/>
      <c r="I563" s="199"/>
    </row>
    <row r="564" spans="3:9" ht="15.6" x14ac:dyDescent="0.3">
      <c r="C564" s="67"/>
      <c r="D564" s="68"/>
      <c r="E564" s="199"/>
      <c r="F564" s="199"/>
      <c r="G564" s="199"/>
      <c r="H564" s="199"/>
      <c r="I564" s="199"/>
    </row>
    <row r="565" spans="3:9" ht="15.6" x14ac:dyDescent="0.3">
      <c r="C565" s="67"/>
      <c r="D565" s="68"/>
      <c r="E565" s="199"/>
      <c r="F565" s="199"/>
      <c r="G565" s="199"/>
      <c r="H565" s="199"/>
      <c r="I565" s="199"/>
    </row>
    <row r="566" spans="3:9" ht="15.6" x14ac:dyDescent="0.3">
      <c r="C566" s="67"/>
      <c r="D566" s="68"/>
      <c r="E566" s="199"/>
      <c r="F566" s="199"/>
      <c r="G566" s="199"/>
      <c r="H566" s="199"/>
      <c r="I566" s="199"/>
    </row>
    <row r="567" spans="3:9" ht="15.6" x14ac:dyDescent="0.3">
      <c r="C567" s="67"/>
      <c r="D567" s="68"/>
      <c r="E567" s="199"/>
      <c r="F567" s="199"/>
      <c r="G567" s="199"/>
      <c r="H567" s="199"/>
      <c r="I567" s="199"/>
    </row>
    <row r="568" spans="3:9" ht="15.6" x14ac:dyDescent="0.3">
      <c r="C568" s="67"/>
      <c r="D568" s="68"/>
      <c r="E568" s="199"/>
      <c r="F568" s="199"/>
      <c r="G568" s="199"/>
      <c r="H568" s="199"/>
      <c r="I568" s="199"/>
    </row>
    <row r="569" spans="3:9" ht="15.6" x14ac:dyDescent="0.3">
      <c r="C569" s="67"/>
      <c r="D569" s="68"/>
      <c r="E569" s="199"/>
      <c r="F569" s="199"/>
      <c r="G569" s="199"/>
      <c r="H569" s="199"/>
      <c r="I569" s="199"/>
    </row>
    <row r="570" spans="3:9" ht="15.6" x14ac:dyDescent="0.3">
      <c r="C570" s="67"/>
      <c r="D570" s="68"/>
      <c r="E570" s="199"/>
      <c r="F570" s="199"/>
      <c r="G570" s="199"/>
      <c r="H570" s="199"/>
      <c r="I570" s="199"/>
    </row>
    <row r="571" spans="3:9" ht="15.6" x14ac:dyDescent="0.3">
      <c r="C571" s="67"/>
      <c r="D571" s="68"/>
      <c r="E571" s="199"/>
      <c r="F571" s="199"/>
      <c r="G571" s="199"/>
      <c r="H571" s="199"/>
      <c r="I571" s="199"/>
    </row>
    <row r="572" spans="3:9" ht="15.6" x14ac:dyDescent="0.3">
      <c r="C572" s="67"/>
      <c r="D572" s="68"/>
      <c r="E572" s="199"/>
      <c r="F572" s="199"/>
      <c r="G572" s="199"/>
      <c r="H572" s="199"/>
      <c r="I572" s="199"/>
    </row>
    <row r="573" spans="3:9" ht="15.6" x14ac:dyDescent="0.3">
      <c r="C573" s="67"/>
      <c r="D573" s="68"/>
      <c r="E573" s="199"/>
      <c r="F573" s="199"/>
      <c r="G573" s="199"/>
      <c r="H573" s="199"/>
      <c r="I573" s="199"/>
    </row>
    <row r="574" spans="3:9" ht="15.6" x14ac:dyDescent="0.3">
      <c r="C574" s="67"/>
      <c r="D574" s="68"/>
      <c r="E574" s="199"/>
      <c r="F574" s="199"/>
      <c r="G574" s="199"/>
      <c r="H574" s="199"/>
      <c r="I574" s="199"/>
    </row>
    <row r="575" spans="3:9" ht="15.6" x14ac:dyDescent="0.3">
      <c r="C575" s="67"/>
      <c r="D575" s="68"/>
      <c r="E575" s="199"/>
      <c r="F575" s="199"/>
      <c r="G575" s="199"/>
      <c r="H575" s="199"/>
      <c r="I575" s="199"/>
    </row>
    <row r="576" spans="3:9" ht="15.6" x14ac:dyDescent="0.3">
      <c r="C576" s="67"/>
      <c r="D576" s="68"/>
      <c r="E576" s="199"/>
      <c r="F576" s="199"/>
      <c r="G576" s="199"/>
      <c r="H576" s="199"/>
      <c r="I576" s="199"/>
    </row>
    <row r="577" spans="3:9" ht="15.6" x14ac:dyDescent="0.3">
      <c r="C577" s="67"/>
      <c r="D577" s="68"/>
      <c r="E577" s="199"/>
      <c r="F577" s="199"/>
      <c r="G577" s="199"/>
      <c r="H577" s="199"/>
      <c r="I577" s="199"/>
    </row>
    <row r="578" spans="3:9" ht="15.6" x14ac:dyDescent="0.3">
      <c r="C578" s="67"/>
      <c r="D578" s="68"/>
      <c r="E578" s="199"/>
      <c r="F578" s="199"/>
      <c r="G578" s="199"/>
      <c r="H578" s="199"/>
      <c r="I578" s="199"/>
    </row>
    <row r="579" spans="3:9" ht="15.6" x14ac:dyDescent="0.3">
      <c r="C579" s="67"/>
      <c r="D579" s="68"/>
      <c r="E579" s="199"/>
      <c r="F579" s="199"/>
      <c r="G579" s="199"/>
      <c r="H579" s="199"/>
      <c r="I579" s="199"/>
    </row>
    <row r="580" spans="3:9" ht="15.6" x14ac:dyDescent="0.3">
      <c r="C580" s="67"/>
      <c r="D580" s="68"/>
      <c r="E580" s="199"/>
      <c r="F580" s="199"/>
      <c r="G580" s="199"/>
      <c r="H580" s="199"/>
      <c r="I580" s="199"/>
    </row>
    <row r="581" spans="3:9" ht="15.6" x14ac:dyDescent="0.3">
      <c r="C581" s="67"/>
      <c r="D581" s="68"/>
      <c r="E581" s="199"/>
      <c r="F581" s="199"/>
      <c r="G581" s="199"/>
      <c r="H581" s="199"/>
      <c r="I581" s="199"/>
    </row>
    <row r="582" spans="3:9" ht="15.6" x14ac:dyDescent="0.3">
      <c r="C582" s="67"/>
      <c r="D582" s="68"/>
      <c r="E582" s="199"/>
      <c r="F582" s="199"/>
      <c r="G582" s="199"/>
      <c r="H582" s="199"/>
      <c r="I582" s="199"/>
    </row>
    <row r="583" spans="3:9" ht="15.6" x14ac:dyDescent="0.3">
      <c r="C583" s="67"/>
      <c r="D583" s="68"/>
      <c r="E583" s="199"/>
      <c r="F583" s="199"/>
      <c r="G583" s="199"/>
      <c r="H583" s="199"/>
      <c r="I583" s="199"/>
    </row>
    <row r="584" spans="3:9" ht="15.6" x14ac:dyDescent="0.3">
      <c r="C584" s="67"/>
      <c r="D584" s="68"/>
      <c r="E584" s="199"/>
      <c r="F584" s="199"/>
      <c r="G584" s="199"/>
      <c r="H584" s="199"/>
      <c r="I584" s="199"/>
    </row>
    <row r="585" spans="3:9" ht="15.6" x14ac:dyDescent="0.3">
      <c r="C585" s="67"/>
      <c r="D585" s="68"/>
      <c r="E585" s="199"/>
      <c r="F585" s="199"/>
      <c r="G585" s="199"/>
      <c r="H585" s="199"/>
      <c r="I585" s="199"/>
    </row>
    <row r="586" spans="3:9" ht="15.6" x14ac:dyDescent="0.3">
      <c r="C586" s="67"/>
      <c r="D586" s="68"/>
      <c r="E586" s="199"/>
      <c r="F586" s="199"/>
      <c r="G586" s="199"/>
      <c r="H586" s="199"/>
      <c r="I586" s="199"/>
    </row>
    <row r="587" spans="3:9" ht="15.6" x14ac:dyDescent="0.3">
      <c r="C587" s="67"/>
      <c r="D587" s="68"/>
      <c r="E587" s="199"/>
      <c r="F587" s="199"/>
      <c r="G587" s="199"/>
      <c r="H587" s="199"/>
      <c r="I587" s="199"/>
    </row>
    <row r="588" spans="3:9" ht="15.6" x14ac:dyDescent="0.3">
      <c r="C588" s="67"/>
      <c r="D588" s="68"/>
      <c r="E588" s="199"/>
      <c r="F588" s="199"/>
      <c r="G588" s="199"/>
      <c r="H588" s="199"/>
      <c r="I588" s="199"/>
    </row>
    <row r="589" spans="3:9" ht="15.6" x14ac:dyDescent="0.3">
      <c r="C589" s="67"/>
      <c r="D589" s="68"/>
      <c r="E589" s="199"/>
      <c r="F589" s="199"/>
      <c r="G589" s="199"/>
      <c r="H589" s="199"/>
      <c r="I589" s="199"/>
    </row>
    <row r="590" spans="3:9" ht="15.6" x14ac:dyDescent="0.3">
      <c r="C590" s="67"/>
      <c r="D590" s="68"/>
      <c r="E590" s="199"/>
      <c r="F590" s="199"/>
      <c r="G590" s="199"/>
      <c r="H590" s="199"/>
      <c r="I590" s="199"/>
    </row>
    <row r="591" spans="3:9" ht="15.6" x14ac:dyDescent="0.3">
      <c r="C591" s="67"/>
      <c r="D591" s="68"/>
      <c r="E591" s="199"/>
      <c r="F591" s="199"/>
      <c r="G591" s="199"/>
      <c r="H591" s="199"/>
      <c r="I591" s="199"/>
    </row>
    <row r="592" spans="3:9" ht="15.6" x14ac:dyDescent="0.3">
      <c r="C592" s="67"/>
      <c r="D592" s="68"/>
      <c r="E592" s="199"/>
      <c r="F592" s="199"/>
      <c r="G592" s="199"/>
      <c r="H592" s="199"/>
      <c r="I592" s="199"/>
    </row>
    <row r="593" spans="3:9" ht="15.6" x14ac:dyDescent="0.3">
      <c r="C593" s="67"/>
      <c r="D593" s="68"/>
      <c r="E593" s="199"/>
      <c r="F593" s="199"/>
      <c r="G593" s="199"/>
      <c r="H593" s="199"/>
      <c r="I593" s="199"/>
    </row>
    <row r="595" spans="3:9" ht="15.6" x14ac:dyDescent="0.3">
      <c r="C595" s="67"/>
      <c r="D595" s="68"/>
      <c r="E595" s="199"/>
      <c r="F595" s="199"/>
      <c r="G595" s="199"/>
      <c r="H595" s="199"/>
      <c r="I595" s="199"/>
    </row>
    <row r="596" spans="3:9" ht="15.6" x14ac:dyDescent="0.3">
      <c r="C596" s="67"/>
      <c r="D596" s="68"/>
      <c r="E596" s="199"/>
      <c r="F596" s="199"/>
      <c r="G596" s="199"/>
      <c r="H596" s="199"/>
      <c r="I596" s="199"/>
    </row>
    <row r="597" spans="3:9" ht="15.6" x14ac:dyDescent="0.3">
      <c r="C597" s="67"/>
      <c r="D597" s="68"/>
      <c r="E597" s="199"/>
      <c r="F597" s="199"/>
      <c r="G597" s="199"/>
      <c r="H597" s="199"/>
      <c r="I597" s="199"/>
    </row>
    <row r="598" spans="3:9" ht="15.6" x14ac:dyDescent="0.3">
      <c r="C598" s="67"/>
      <c r="D598" s="68"/>
      <c r="E598" s="199"/>
      <c r="F598" s="199"/>
      <c r="G598" s="199"/>
      <c r="H598" s="199"/>
      <c r="I598" s="199"/>
    </row>
    <row r="599" spans="3:9" ht="15.6" x14ac:dyDescent="0.3">
      <c r="C599" s="67"/>
      <c r="D599" s="68"/>
      <c r="E599" s="199"/>
      <c r="F599" s="199"/>
      <c r="G599" s="199"/>
      <c r="H599" s="199"/>
      <c r="I599" s="199"/>
    </row>
  </sheetData>
  <conditionalFormatting sqref="B1">
    <cfRule type="duplicateValues" dxfId="8" priority="1"/>
  </conditionalFormatting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C306-B581-4C55-A794-F0E565D5D033}">
  <sheetPr codeName="Hoja5"/>
  <dimension ref="A1:W358"/>
  <sheetViews>
    <sheetView topLeftCell="H68" zoomScale="70" zoomScaleNormal="70" workbookViewId="0">
      <selection activeCell="V2" sqref="V2:V355"/>
    </sheetView>
  </sheetViews>
  <sheetFormatPr baseColWidth="10" defaultRowHeight="14.4" x14ac:dyDescent="0.3"/>
  <cols>
    <col min="1" max="1" width="36" bestFit="1" customWidth="1"/>
    <col min="5" max="5" width="21.88671875" bestFit="1" customWidth="1"/>
    <col min="7" max="7" width="12.6640625" bestFit="1" customWidth="1"/>
    <col min="8" max="8" width="12.44140625" bestFit="1" customWidth="1"/>
    <col min="9" max="9" width="18.33203125" bestFit="1" customWidth="1"/>
    <col min="10" max="10" width="16.88671875" bestFit="1" customWidth="1"/>
    <col min="11" max="11" width="19.109375" bestFit="1" customWidth="1"/>
    <col min="18" max="18" width="55.6640625" customWidth="1"/>
    <col min="19" max="19" width="14" bestFit="1" customWidth="1"/>
    <col min="21" max="21" width="53.77734375" bestFit="1" customWidth="1"/>
    <col min="22" max="22" width="12.21875" bestFit="1" customWidth="1"/>
    <col min="23" max="23" width="12.6640625" bestFit="1" customWidth="1"/>
  </cols>
  <sheetData>
    <row r="1" spans="1:23" ht="48" x14ac:dyDescent="0.3">
      <c r="A1" s="15" t="s">
        <v>0</v>
      </c>
      <c r="B1" s="12" t="s">
        <v>1</v>
      </c>
      <c r="C1" s="13" t="s">
        <v>2</v>
      </c>
      <c r="D1" s="25" t="s">
        <v>48</v>
      </c>
      <c r="E1" s="16" t="s">
        <v>3</v>
      </c>
      <c r="F1" s="9" t="s">
        <v>4</v>
      </c>
      <c r="G1" s="61" t="s">
        <v>5</v>
      </c>
      <c r="H1" s="20" t="s">
        <v>6</v>
      </c>
      <c r="I1" s="29" t="s">
        <v>33</v>
      </c>
      <c r="J1" s="4" t="s">
        <v>34</v>
      </c>
      <c r="K1" s="12" t="s">
        <v>7</v>
      </c>
      <c r="L1" s="19" t="s">
        <v>8</v>
      </c>
      <c r="M1" s="18" t="s">
        <v>9</v>
      </c>
      <c r="N1" s="10" t="s">
        <v>10</v>
      </c>
      <c r="O1" s="17" t="s">
        <v>11</v>
      </c>
      <c r="P1" s="21" t="s">
        <v>12</v>
      </c>
      <c r="Q1" s="21" t="s">
        <v>13</v>
      </c>
      <c r="R1" s="24" t="s">
        <v>49</v>
      </c>
      <c r="S1" s="11" t="s">
        <v>14</v>
      </c>
      <c r="T1" s="11" t="s">
        <v>15</v>
      </c>
      <c r="U1" s="11" t="s">
        <v>16</v>
      </c>
      <c r="V1" s="11" t="s">
        <v>1779</v>
      </c>
      <c r="W1" s="41" t="s">
        <v>53</v>
      </c>
    </row>
    <row r="2" spans="1:23" ht="15.6" x14ac:dyDescent="0.3">
      <c r="A2" s="158" t="s">
        <v>467</v>
      </c>
      <c r="B2" s="69">
        <v>12953626</v>
      </c>
      <c r="C2" s="69" t="s">
        <v>470</v>
      </c>
      <c r="D2" s="69">
        <v>0</v>
      </c>
      <c r="E2" s="70" t="s">
        <v>19</v>
      </c>
      <c r="F2" s="67" t="s">
        <v>1643</v>
      </c>
      <c r="G2" s="71">
        <v>38961</v>
      </c>
      <c r="H2" s="72"/>
      <c r="I2" s="133">
        <v>5234234.6399999997</v>
      </c>
      <c r="J2" s="134">
        <v>748277.29</v>
      </c>
      <c r="K2" s="123" t="s">
        <v>1470</v>
      </c>
      <c r="L2" s="74">
        <v>0.1779</v>
      </c>
      <c r="M2" s="75">
        <v>288635</v>
      </c>
      <c r="N2" s="76">
        <v>14</v>
      </c>
      <c r="O2" s="76"/>
      <c r="P2" s="76"/>
      <c r="Q2" s="76"/>
      <c r="R2" s="67" t="s">
        <v>1493</v>
      </c>
      <c r="S2" s="68">
        <v>800094164</v>
      </c>
      <c r="T2" s="77"/>
      <c r="U2" s="78"/>
      <c r="V2" s="79">
        <v>250000</v>
      </c>
      <c r="W2" s="80">
        <v>711240</v>
      </c>
    </row>
    <row r="3" spans="1:23" ht="15.6" x14ac:dyDescent="0.3">
      <c r="A3" s="158" t="s">
        <v>468</v>
      </c>
      <c r="B3" s="69">
        <v>391274</v>
      </c>
      <c r="C3" s="69" t="s">
        <v>471</v>
      </c>
      <c r="D3" s="69">
        <v>0</v>
      </c>
      <c r="E3" s="70" t="s">
        <v>472</v>
      </c>
      <c r="F3" s="67" t="s">
        <v>1643</v>
      </c>
      <c r="G3" s="71">
        <v>34698</v>
      </c>
      <c r="H3" s="72">
        <v>43584</v>
      </c>
      <c r="I3" s="133">
        <v>8029483.4400000004</v>
      </c>
      <c r="J3" s="134">
        <v>1147881.31</v>
      </c>
      <c r="K3" s="123" t="s">
        <v>1471</v>
      </c>
      <c r="L3" s="74">
        <v>0.20630000000000001</v>
      </c>
      <c r="M3" s="75">
        <v>96721</v>
      </c>
      <c r="N3" s="76">
        <v>14</v>
      </c>
      <c r="O3" s="76"/>
      <c r="P3" s="76"/>
      <c r="Q3" s="76"/>
      <c r="R3" s="67" t="s">
        <v>1494</v>
      </c>
      <c r="S3" s="68">
        <v>800094755</v>
      </c>
      <c r="T3" s="77"/>
      <c r="U3" s="78"/>
      <c r="V3" s="79">
        <v>250000</v>
      </c>
      <c r="W3" s="80">
        <v>940865</v>
      </c>
    </row>
    <row r="4" spans="1:23" ht="15.6" x14ac:dyDescent="0.3">
      <c r="A4" s="158" t="s">
        <v>478</v>
      </c>
      <c r="B4" s="69">
        <v>7486105</v>
      </c>
      <c r="C4" s="69" t="s">
        <v>479</v>
      </c>
      <c r="D4" s="69">
        <v>0</v>
      </c>
      <c r="E4" s="70" t="s">
        <v>19</v>
      </c>
      <c r="F4" s="67" t="s">
        <v>1643</v>
      </c>
      <c r="G4" s="71">
        <v>35247</v>
      </c>
      <c r="H4" s="72"/>
      <c r="I4" s="133">
        <v>6608337.2000000002</v>
      </c>
      <c r="J4" s="134">
        <v>944716.66</v>
      </c>
      <c r="K4" s="123" t="s">
        <v>1474</v>
      </c>
      <c r="L4" s="74">
        <v>0.18820000000000001</v>
      </c>
      <c r="M4" s="75">
        <v>64379</v>
      </c>
      <c r="N4" s="76">
        <v>14</v>
      </c>
      <c r="O4" s="76"/>
      <c r="P4" s="76"/>
      <c r="Q4" s="76"/>
      <c r="R4" s="67" t="s">
        <v>1498</v>
      </c>
      <c r="S4" s="68">
        <v>800096761</v>
      </c>
      <c r="T4" s="77">
        <v>35005093</v>
      </c>
      <c r="U4" s="78" t="s">
        <v>1650</v>
      </c>
      <c r="V4" s="79">
        <v>250000</v>
      </c>
      <c r="W4" s="80">
        <v>848812</v>
      </c>
    </row>
    <row r="5" spans="1:23" ht="15.6" x14ac:dyDescent="0.3">
      <c r="A5" s="158" t="s">
        <v>486</v>
      </c>
      <c r="B5" s="69">
        <v>2244039</v>
      </c>
      <c r="C5" s="69" t="s">
        <v>487</v>
      </c>
      <c r="D5" s="69">
        <v>0</v>
      </c>
      <c r="E5" s="70" t="s">
        <v>19</v>
      </c>
      <c r="F5" s="67" t="s">
        <v>1643</v>
      </c>
      <c r="G5" s="71">
        <v>25797</v>
      </c>
      <c r="H5" s="72">
        <v>42369</v>
      </c>
      <c r="I5" s="133">
        <v>8029076.3499999996</v>
      </c>
      <c r="J5" s="134">
        <v>1147823.1100000001</v>
      </c>
      <c r="K5" s="123" t="s">
        <v>1477</v>
      </c>
      <c r="L5" s="74">
        <v>7.9200000000000007E-2</v>
      </c>
      <c r="M5" s="75">
        <v>3535</v>
      </c>
      <c r="N5" s="76">
        <v>14</v>
      </c>
      <c r="O5" s="76"/>
      <c r="P5" s="76"/>
      <c r="Q5" s="76"/>
      <c r="R5" s="67" t="s">
        <v>1501</v>
      </c>
      <c r="S5" s="68">
        <v>800100048</v>
      </c>
      <c r="T5" s="77">
        <v>28971602</v>
      </c>
      <c r="U5" s="78" t="s">
        <v>1654</v>
      </c>
      <c r="V5" s="79">
        <v>250000</v>
      </c>
      <c r="W5" s="80">
        <v>2450639</v>
      </c>
    </row>
    <row r="6" spans="1:23" ht="15.6" x14ac:dyDescent="0.3">
      <c r="A6" s="158" t="s">
        <v>488</v>
      </c>
      <c r="B6" s="69">
        <v>2344430</v>
      </c>
      <c r="C6" s="69" t="s">
        <v>489</v>
      </c>
      <c r="D6" s="69">
        <v>0</v>
      </c>
      <c r="E6" s="70" t="s">
        <v>19</v>
      </c>
      <c r="F6" s="67" t="s">
        <v>1643</v>
      </c>
      <c r="G6" s="71">
        <v>30317</v>
      </c>
      <c r="H6" s="72">
        <v>43510</v>
      </c>
      <c r="I6" s="133">
        <v>41675180.920000002</v>
      </c>
      <c r="J6" s="134">
        <v>5957813.0300000003</v>
      </c>
      <c r="K6" s="123" t="s">
        <v>1477</v>
      </c>
      <c r="L6" s="74">
        <v>0.58540000000000003</v>
      </c>
      <c r="M6" s="75">
        <v>3225</v>
      </c>
      <c r="N6" s="76">
        <v>14</v>
      </c>
      <c r="O6" s="76"/>
      <c r="P6" s="76"/>
      <c r="Q6" s="76"/>
      <c r="R6" s="67" t="s">
        <v>1502</v>
      </c>
      <c r="S6" s="68">
        <v>800100050</v>
      </c>
      <c r="T6" s="77">
        <v>28708753</v>
      </c>
      <c r="U6" s="78" t="s">
        <v>1655</v>
      </c>
      <c r="V6" s="79">
        <v>250000</v>
      </c>
      <c r="W6" s="80">
        <v>1720932</v>
      </c>
    </row>
    <row r="7" spans="1:23" ht="15.6" x14ac:dyDescent="0.3">
      <c r="A7" s="158" t="s">
        <v>486</v>
      </c>
      <c r="B7" s="69">
        <v>2244039</v>
      </c>
      <c r="C7" s="69" t="s">
        <v>487</v>
      </c>
      <c r="D7" s="69">
        <v>0</v>
      </c>
      <c r="E7" s="70" t="s">
        <v>19</v>
      </c>
      <c r="F7" s="67" t="s">
        <v>1643</v>
      </c>
      <c r="G7" s="71">
        <v>25797</v>
      </c>
      <c r="H7" s="72"/>
      <c r="I7" s="133">
        <v>8029076.3499999996</v>
      </c>
      <c r="J7" s="134">
        <v>1147823.1100000001</v>
      </c>
      <c r="K7" s="123" t="s">
        <v>1477</v>
      </c>
      <c r="L7" s="74">
        <v>7.9200000000000007E-2</v>
      </c>
      <c r="M7" s="75">
        <v>1830</v>
      </c>
      <c r="N7" s="76">
        <v>14</v>
      </c>
      <c r="O7" s="76"/>
      <c r="P7" s="76"/>
      <c r="Q7" s="76"/>
      <c r="R7" s="67" t="s">
        <v>1504</v>
      </c>
      <c r="S7" s="68">
        <v>800100136</v>
      </c>
      <c r="T7" s="77">
        <v>28971602</v>
      </c>
      <c r="U7" s="78" t="s">
        <v>1654</v>
      </c>
      <c r="V7" s="79">
        <v>250000</v>
      </c>
      <c r="W7" s="80">
        <v>2450639</v>
      </c>
    </row>
    <row r="8" spans="1:23" ht="15.6" x14ac:dyDescent="0.3">
      <c r="A8" s="158" t="s">
        <v>492</v>
      </c>
      <c r="B8" s="69">
        <v>6091190</v>
      </c>
      <c r="C8" s="69" t="s">
        <v>493</v>
      </c>
      <c r="D8" s="69">
        <v>0</v>
      </c>
      <c r="E8" s="70" t="s">
        <v>21</v>
      </c>
      <c r="F8" s="67" t="s">
        <v>1643</v>
      </c>
      <c r="G8" s="71">
        <v>35431</v>
      </c>
      <c r="H8" s="72"/>
      <c r="I8" s="133">
        <v>606199.55000000005</v>
      </c>
      <c r="J8" s="134">
        <v>86661.26</v>
      </c>
      <c r="K8" s="123" t="s">
        <v>1478</v>
      </c>
      <c r="L8" s="74">
        <v>1.6299999999999999E-2</v>
      </c>
      <c r="M8" s="75">
        <v>11520</v>
      </c>
      <c r="N8" s="76">
        <v>14</v>
      </c>
      <c r="O8" s="76"/>
      <c r="P8" s="76"/>
      <c r="Q8" s="76"/>
      <c r="R8" s="67" t="s">
        <v>1505</v>
      </c>
      <c r="S8" s="68">
        <v>800100521</v>
      </c>
      <c r="T8" s="77">
        <v>31211012</v>
      </c>
      <c r="U8" s="78" t="s">
        <v>1656</v>
      </c>
      <c r="V8" s="79">
        <v>250000</v>
      </c>
      <c r="W8" s="80">
        <v>899015</v>
      </c>
    </row>
    <row r="9" spans="1:23" ht="15.6" x14ac:dyDescent="0.3">
      <c r="A9" s="158" t="s">
        <v>494</v>
      </c>
      <c r="B9" s="69">
        <v>1918635</v>
      </c>
      <c r="C9" s="69" t="s">
        <v>495</v>
      </c>
      <c r="D9" s="69">
        <v>0</v>
      </c>
      <c r="E9" s="70" t="s">
        <v>472</v>
      </c>
      <c r="F9" s="67" t="s">
        <v>1643</v>
      </c>
      <c r="G9" s="71">
        <v>34060</v>
      </c>
      <c r="H9" s="72"/>
      <c r="I9" s="133">
        <v>1020611.66</v>
      </c>
      <c r="J9" s="134">
        <v>145904.91</v>
      </c>
      <c r="K9" s="123" t="s">
        <v>1479</v>
      </c>
      <c r="L9" s="74">
        <v>3.6700000000000003E-2</v>
      </c>
      <c r="M9" s="75">
        <v>15492</v>
      </c>
      <c r="N9" s="76">
        <v>14</v>
      </c>
      <c r="O9" s="76">
        <v>0</v>
      </c>
      <c r="P9" s="83">
        <v>246135</v>
      </c>
      <c r="Q9" s="83">
        <v>284894</v>
      </c>
      <c r="R9" s="67" t="s">
        <v>1506</v>
      </c>
      <c r="S9" s="68">
        <v>800102838</v>
      </c>
      <c r="T9" s="77">
        <v>27576342</v>
      </c>
      <c r="U9" s="78" t="s">
        <v>1657</v>
      </c>
      <c r="V9" s="79">
        <v>250000</v>
      </c>
      <c r="W9" s="80">
        <v>672254</v>
      </c>
    </row>
    <row r="10" spans="1:23" ht="15.6" x14ac:dyDescent="0.3">
      <c r="A10" s="158" t="s">
        <v>1810</v>
      </c>
      <c r="B10" s="69">
        <v>13348376</v>
      </c>
      <c r="C10" s="69" t="s">
        <v>497</v>
      </c>
      <c r="D10" s="69">
        <v>0</v>
      </c>
      <c r="E10" s="70" t="s">
        <v>19</v>
      </c>
      <c r="F10" s="67" t="s">
        <v>1643</v>
      </c>
      <c r="G10" s="71">
        <v>39782</v>
      </c>
      <c r="H10" s="72"/>
      <c r="I10" s="133">
        <v>773926.82</v>
      </c>
      <c r="J10" s="134">
        <v>110639.26</v>
      </c>
      <c r="K10" s="123" t="s">
        <v>1479</v>
      </c>
      <c r="L10" s="74">
        <v>6.9800000000000001E-2</v>
      </c>
      <c r="M10" s="75">
        <v>101224</v>
      </c>
      <c r="N10" s="76">
        <v>14</v>
      </c>
      <c r="O10" s="76">
        <v>0</v>
      </c>
      <c r="P10" s="83">
        <v>131699</v>
      </c>
      <c r="Q10" s="83">
        <v>1647552</v>
      </c>
      <c r="R10" s="67" t="s">
        <v>1506</v>
      </c>
      <c r="S10" s="68">
        <v>800102838</v>
      </c>
      <c r="T10" s="77"/>
      <c r="U10" s="78"/>
      <c r="V10" s="79">
        <v>250000</v>
      </c>
      <c r="W10" s="80">
        <v>268030</v>
      </c>
    </row>
    <row r="11" spans="1:23" ht="15.6" x14ac:dyDescent="0.3">
      <c r="A11" s="158" t="s">
        <v>498</v>
      </c>
      <c r="B11" s="69">
        <v>15240013</v>
      </c>
      <c r="C11" s="69" t="s">
        <v>499</v>
      </c>
      <c r="D11" s="69">
        <v>0</v>
      </c>
      <c r="E11" s="70" t="s">
        <v>472</v>
      </c>
      <c r="F11" s="67" t="s">
        <v>1643</v>
      </c>
      <c r="G11" s="71">
        <v>39569</v>
      </c>
      <c r="H11" s="72"/>
      <c r="I11" s="133">
        <v>13778276.57</v>
      </c>
      <c r="J11" s="134">
        <v>1969719</v>
      </c>
      <c r="K11" s="123" t="s">
        <v>1480</v>
      </c>
      <c r="L11" s="74">
        <v>0.36099999999999999</v>
      </c>
      <c r="M11" s="75">
        <v>480445</v>
      </c>
      <c r="N11" s="76">
        <v>14</v>
      </c>
      <c r="O11" s="76">
        <v>0</v>
      </c>
      <c r="P11" s="83">
        <v>1330873</v>
      </c>
      <c r="Q11" s="76"/>
      <c r="R11" s="67" t="s">
        <v>1507</v>
      </c>
      <c r="S11" s="68">
        <v>800103021</v>
      </c>
      <c r="T11" s="77"/>
      <c r="U11" s="78"/>
      <c r="V11" s="79">
        <v>250000</v>
      </c>
      <c r="W11" s="80">
        <v>922628</v>
      </c>
    </row>
    <row r="12" spans="1:23" ht="15.6" x14ac:dyDescent="0.3">
      <c r="A12" s="158" t="s">
        <v>500</v>
      </c>
      <c r="B12" s="69">
        <v>26417008</v>
      </c>
      <c r="C12" s="69" t="s">
        <v>501</v>
      </c>
      <c r="D12" s="69">
        <v>0</v>
      </c>
      <c r="E12" s="70" t="s">
        <v>472</v>
      </c>
      <c r="F12" s="67" t="s">
        <v>1643</v>
      </c>
      <c r="G12" s="71">
        <v>34668</v>
      </c>
      <c r="H12" s="72"/>
      <c r="I12" s="133">
        <v>2902342.6</v>
      </c>
      <c r="J12" s="134">
        <v>414913.97</v>
      </c>
      <c r="K12" s="123" t="s">
        <v>1471</v>
      </c>
      <c r="L12" s="74">
        <v>0.20030000000000001</v>
      </c>
      <c r="M12" s="75">
        <v>87866</v>
      </c>
      <c r="N12" s="76">
        <v>14</v>
      </c>
      <c r="O12" s="76"/>
      <c r="P12" s="76"/>
      <c r="Q12" s="76"/>
      <c r="R12" s="67" t="s">
        <v>1508</v>
      </c>
      <c r="S12" s="68">
        <v>800103913</v>
      </c>
      <c r="T12" s="77"/>
      <c r="U12" s="78"/>
      <c r="V12" s="79">
        <v>250000</v>
      </c>
      <c r="W12" s="80">
        <v>350273</v>
      </c>
    </row>
    <row r="13" spans="1:23" ht="15.6" x14ac:dyDescent="0.3">
      <c r="A13" s="158" t="s">
        <v>502</v>
      </c>
      <c r="B13" s="69">
        <v>26489799</v>
      </c>
      <c r="C13" s="69" t="s">
        <v>503</v>
      </c>
      <c r="D13" s="69">
        <v>0</v>
      </c>
      <c r="E13" s="70" t="s">
        <v>21</v>
      </c>
      <c r="F13" s="67" t="s">
        <v>1643</v>
      </c>
      <c r="G13" s="71">
        <v>42795</v>
      </c>
      <c r="H13" s="72"/>
      <c r="I13" s="133">
        <v>20553852.07</v>
      </c>
      <c r="J13" s="134">
        <v>2938343.76</v>
      </c>
      <c r="K13" s="123" t="s">
        <v>1471</v>
      </c>
      <c r="L13" s="74">
        <v>0.128</v>
      </c>
      <c r="M13" s="75">
        <v>83854</v>
      </c>
      <c r="N13" s="76">
        <v>14</v>
      </c>
      <c r="O13" s="76"/>
      <c r="P13" s="76"/>
      <c r="Q13" s="76"/>
      <c r="R13" s="67" t="s">
        <v>1508</v>
      </c>
      <c r="S13" s="68">
        <v>800103913</v>
      </c>
      <c r="T13" s="77"/>
      <c r="U13" s="78"/>
      <c r="V13" s="79">
        <v>250000</v>
      </c>
      <c r="W13" s="80">
        <v>3881702</v>
      </c>
    </row>
    <row r="14" spans="1:23" ht="15.6" x14ac:dyDescent="0.3">
      <c r="A14" s="158" t="s">
        <v>504</v>
      </c>
      <c r="B14" s="69">
        <v>36147055</v>
      </c>
      <c r="C14" s="69" t="s">
        <v>505</v>
      </c>
      <c r="D14" s="69">
        <v>0</v>
      </c>
      <c r="E14" s="70" t="s">
        <v>19</v>
      </c>
      <c r="F14" s="67" t="s">
        <v>1643</v>
      </c>
      <c r="G14" s="71">
        <v>37225</v>
      </c>
      <c r="H14" s="72"/>
      <c r="I14" s="133">
        <v>847454.44</v>
      </c>
      <c r="J14" s="134">
        <v>121150.65</v>
      </c>
      <c r="K14" s="123" t="s">
        <v>1471</v>
      </c>
      <c r="L14" s="74">
        <v>6.93E-2</v>
      </c>
      <c r="M14" s="75">
        <v>88280</v>
      </c>
      <c r="N14" s="76">
        <v>14</v>
      </c>
      <c r="O14" s="76"/>
      <c r="P14" s="76"/>
      <c r="Q14" s="76"/>
      <c r="R14" s="67" t="s">
        <v>1508</v>
      </c>
      <c r="S14" s="68">
        <v>800103913</v>
      </c>
      <c r="T14" s="77"/>
      <c r="U14" s="78"/>
      <c r="V14" s="79">
        <v>250000</v>
      </c>
      <c r="W14" s="80">
        <v>295612</v>
      </c>
    </row>
    <row r="15" spans="1:23" ht="15.6" x14ac:dyDescent="0.3">
      <c r="A15" s="158" t="s">
        <v>506</v>
      </c>
      <c r="B15" s="69">
        <v>6187313</v>
      </c>
      <c r="C15" s="69" t="s">
        <v>507</v>
      </c>
      <c r="D15" s="69">
        <v>0</v>
      </c>
      <c r="E15" s="70" t="s">
        <v>19</v>
      </c>
      <c r="F15" s="67" t="s">
        <v>1643</v>
      </c>
      <c r="G15" s="71">
        <v>38369</v>
      </c>
      <c r="H15" s="72"/>
      <c r="I15" s="133">
        <v>1146273.43</v>
      </c>
      <c r="J15" s="134">
        <v>163869.29999999999</v>
      </c>
      <c r="K15" s="123" t="s">
        <v>1481</v>
      </c>
      <c r="L15" s="74">
        <v>5.4899999999999997E-2</v>
      </c>
      <c r="M15" s="75">
        <v>99272</v>
      </c>
      <c r="N15" s="76">
        <v>14</v>
      </c>
      <c r="O15" s="76"/>
      <c r="P15" s="76"/>
      <c r="Q15" s="76"/>
      <c r="R15" s="67" t="s">
        <v>1508</v>
      </c>
      <c r="S15" s="68">
        <v>800103913</v>
      </c>
      <c r="T15" s="77"/>
      <c r="U15" s="78"/>
      <c r="V15" s="79">
        <v>250000</v>
      </c>
      <c r="W15" s="80">
        <v>504725</v>
      </c>
    </row>
    <row r="16" spans="1:23" ht="15.6" x14ac:dyDescent="0.3">
      <c r="A16" s="158" t="s">
        <v>508</v>
      </c>
      <c r="B16" s="69">
        <v>37805436</v>
      </c>
      <c r="C16" s="69" t="s">
        <v>509</v>
      </c>
      <c r="D16" s="69">
        <v>0</v>
      </c>
      <c r="E16" s="70" t="s">
        <v>472</v>
      </c>
      <c r="F16" s="67" t="s">
        <v>1643</v>
      </c>
      <c r="G16" s="71">
        <v>38643</v>
      </c>
      <c r="H16" s="72"/>
      <c r="I16" s="133">
        <v>2020459.03</v>
      </c>
      <c r="J16" s="134">
        <v>288841.39</v>
      </c>
      <c r="K16" s="123" t="s">
        <v>20</v>
      </c>
      <c r="L16" s="74">
        <v>3.4200000000000001E-2</v>
      </c>
      <c r="M16" s="75">
        <v>189784</v>
      </c>
      <c r="N16" s="76">
        <v>14</v>
      </c>
      <c r="O16" s="76"/>
      <c r="P16" s="76"/>
      <c r="Q16" s="76"/>
      <c r="R16" s="67" t="s">
        <v>1508</v>
      </c>
      <c r="S16" s="68">
        <v>800103913</v>
      </c>
      <c r="T16" s="77"/>
      <c r="U16" s="78"/>
      <c r="V16" s="79">
        <v>250000</v>
      </c>
      <c r="W16" s="80">
        <v>1428114</v>
      </c>
    </row>
    <row r="17" spans="1:23" ht="15.6" x14ac:dyDescent="0.3">
      <c r="A17" s="158" t="s">
        <v>510</v>
      </c>
      <c r="B17" s="69">
        <v>12100630</v>
      </c>
      <c r="C17" s="69" t="s">
        <v>511</v>
      </c>
      <c r="D17" s="69">
        <v>0</v>
      </c>
      <c r="E17" s="70" t="s">
        <v>19</v>
      </c>
      <c r="F17" s="67" t="s">
        <v>1643</v>
      </c>
      <c r="G17" s="71">
        <v>38729</v>
      </c>
      <c r="H17" s="72"/>
      <c r="I17" s="133">
        <v>456044.27</v>
      </c>
      <c r="J17" s="134">
        <v>65195.31</v>
      </c>
      <c r="K17" s="123" t="s">
        <v>1482</v>
      </c>
      <c r="L17" s="74">
        <v>4.1099999999999998E-2</v>
      </c>
      <c r="M17" s="75">
        <v>103650</v>
      </c>
      <c r="N17" s="76">
        <v>14</v>
      </c>
      <c r="O17" s="76"/>
      <c r="P17" s="76"/>
      <c r="Q17" s="76"/>
      <c r="R17" s="67" t="s">
        <v>1508</v>
      </c>
      <c r="S17" s="68">
        <v>800103913</v>
      </c>
      <c r="T17" s="77"/>
      <c r="U17" s="78"/>
      <c r="V17" s="79">
        <v>250000</v>
      </c>
      <c r="W17" s="80">
        <v>268228</v>
      </c>
    </row>
    <row r="18" spans="1:23" ht="15.6" x14ac:dyDescent="0.3">
      <c r="A18" s="158" t="s">
        <v>512</v>
      </c>
      <c r="B18" s="69">
        <v>3560978</v>
      </c>
      <c r="C18" s="69" t="s">
        <v>513</v>
      </c>
      <c r="D18" s="69">
        <v>0</v>
      </c>
      <c r="E18" s="70" t="s">
        <v>19</v>
      </c>
      <c r="F18" s="67" t="s">
        <v>1643</v>
      </c>
      <c r="G18" s="71">
        <v>39051</v>
      </c>
      <c r="H18" s="72"/>
      <c r="I18" s="133">
        <v>2601482.7400000002</v>
      </c>
      <c r="J18" s="134">
        <v>371903.55</v>
      </c>
      <c r="K18" s="123" t="s">
        <v>1471</v>
      </c>
      <c r="L18" s="74">
        <v>4.5699999999999998E-2</v>
      </c>
      <c r="M18" s="75">
        <v>69657</v>
      </c>
      <c r="N18" s="76">
        <v>14</v>
      </c>
      <c r="O18" s="76"/>
      <c r="P18" s="76"/>
      <c r="Q18" s="76"/>
      <c r="R18" s="67" t="s">
        <v>1508</v>
      </c>
      <c r="S18" s="68">
        <v>800103913</v>
      </c>
      <c r="T18" s="77"/>
      <c r="U18" s="78"/>
      <c r="V18" s="79">
        <v>250000</v>
      </c>
      <c r="W18" s="80">
        <v>1376080</v>
      </c>
    </row>
    <row r="19" spans="1:23" ht="15.6" x14ac:dyDescent="0.3">
      <c r="A19" s="158" t="s">
        <v>514</v>
      </c>
      <c r="B19" s="69">
        <v>12101948</v>
      </c>
      <c r="C19" s="69" t="s">
        <v>515</v>
      </c>
      <c r="D19" s="69">
        <v>0</v>
      </c>
      <c r="E19" s="70" t="s">
        <v>19</v>
      </c>
      <c r="F19" s="67" t="s">
        <v>1643</v>
      </c>
      <c r="G19" s="71">
        <v>39066</v>
      </c>
      <c r="H19" s="72"/>
      <c r="I19" s="133">
        <v>4198811.9400000004</v>
      </c>
      <c r="J19" s="134">
        <v>600255.02</v>
      </c>
      <c r="K19" s="123" t="s">
        <v>1483</v>
      </c>
      <c r="L19" s="74">
        <v>0.09</v>
      </c>
      <c r="M19" s="75">
        <v>142400</v>
      </c>
      <c r="N19" s="76">
        <v>14</v>
      </c>
      <c r="O19" s="76"/>
      <c r="P19" s="76"/>
      <c r="Q19" s="76"/>
      <c r="R19" s="67" t="s">
        <v>1508</v>
      </c>
      <c r="S19" s="68">
        <v>800103913</v>
      </c>
      <c r="T19" s="77"/>
      <c r="U19" s="78"/>
      <c r="V19" s="79">
        <v>250000</v>
      </c>
      <c r="W19" s="80">
        <v>1127776</v>
      </c>
    </row>
    <row r="20" spans="1:23" ht="15.6" x14ac:dyDescent="0.3">
      <c r="A20" s="158" t="s">
        <v>1811</v>
      </c>
      <c r="B20" s="69">
        <v>13233332</v>
      </c>
      <c r="C20" s="69" t="s">
        <v>517</v>
      </c>
      <c r="D20" s="69">
        <v>0</v>
      </c>
      <c r="E20" s="70" t="s">
        <v>19</v>
      </c>
      <c r="F20" s="67" t="s">
        <v>1643</v>
      </c>
      <c r="G20" s="71">
        <v>39066</v>
      </c>
      <c r="H20" s="72"/>
      <c r="I20" s="133">
        <v>41575.050000000003</v>
      </c>
      <c r="J20" s="134">
        <v>5943.5</v>
      </c>
      <c r="K20" s="123" t="s">
        <v>1481</v>
      </c>
      <c r="L20" s="74">
        <v>1.29E-2</v>
      </c>
      <c r="M20" s="75">
        <v>32459</v>
      </c>
      <c r="N20" s="76">
        <v>13</v>
      </c>
      <c r="O20" s="76"/>
      <c r="P20" s="76"/>
      <c r="Q20" s="76"/>
      <c r="R20" s="67" t="s">
        <v>1508</v>
      </c>
      <c r="S20" s="68">
        <v>800103913</v>
      </c>
      <c r="T20" s="77"/>
      <c r="U20" s="78"/>
      <c r="V20" s="79">
        <v>250000</v>
      </c>
      <c r="W20" s="80">
        <v>77908</v>
      </c>
    </row>
    <row r="21" spans="1:23" ht="15.6" x14ac:dyDescent="0.3">
      <c r="A21" s="158" t="s">
        <v>518</v>
      </c>
      <c r="B21" s="69">
        <v>19325679</v>
      </c>
      <c r="C21" s="69" t="s">
        <v>519</v>
      </c>
      <c r="D21" s="69">
        <v>0</v>
      </c>
      <c r="E21" s="70" t="s">
        <v>472</v>
      </c>
      <c r="F21" s="67" t="s">
        <v>1643</v>
      </c>
      <c r="G21" s="71">
        <v>39326</v>
      </c>
      <c r="H21" s="72"/>
      <c r="I21" s="133">
        <v>4000361.83</v>
      </c>
      <c r="J21" s="134">
        <v>571884.93000000005</v>
      </c>
      <c r="K21" s="123" t="s">
        <v>1484</v>
      </c>
      <c r="L21" s="74">
        <v>6.8099999999999994E-2</v>
      </c>
      <c r="M21" s="75">
        <v>120299</v>
      </c>
      <c r="N21" s="76">
        <v>13</v>
      </c>
      <c r="O21" s="76"/>
      <c r="P21" s="76"/>
      <c r="Q21" s="76"/>
      <c r="R21" s="67" t="s">
        <v>1508</v>
      </c>
      <c r="S21" s="68">
        <v>800103913</v>
      </c>
      <c r="T21" s="77"/>
      <c r="U21" s="78"/>
      <c r="V21" s="79">
        <v>250000</v>
      </c>
      <c r="W21" s="80">
        <v>1420009</v>
      </c>
    </row>
    <row r="22" spans="1:23" ht="15.6" x14ac:dyDescent="0.3">
      <c r="A22" s="158" t="s">
        <v>520</v>
      </c>
      <c r="B22" s="69">
        <v>12185676</v>
      </c>
      <c r="C22" s="69" t="s">
        <v>521</v>
      </c>
      <c r="D22" s="69">
        <v>0</v>
      </c>
      <c r="E22" s="70" t="s">
        <v>472</v>
      </c>
      <c r="F22" s="67" t="s">
        <v>1643</v>
      </c>
      <c r="G22" s="71">
        <v>39569</v>
      </c>
      <c r="H22" s="72">
        <v>42004</v>
      </c>
      <c r="I22" s="133">
        <v>1072369.8600000001</v>
      </c>
      <c r="J22" s="134">
        <v>153304.17000000001</v>
      </c>
      <c r="K22" s="123" t="s">
        <v>1481</v>
      </c>
      <c r="L22" s="74">
        <v>2.47E-2</v>
      </c>
      <c r="M22" s="75">
        <v>48531</v>
      </c>
      <c r="N22" s="76">
        <v>13</v>
      </c>
      <c r="O22" s="76"/>
      <c r="P22" s="76"/>
      <c r="Q22" s="76"/>
      <c r="R22" s="67" t="s">
        <v>1508</v>
      </c>
      <c r="S22" s="68">
        <v>800103913</v>
      </c>
      <c r="T22" s="77"/>
      <c r="U22" s="78"/>
      <c r="V22" s="79">
        <v>250000</v>
      </c>
      <c r="W22" s="80">
        <v>1049510</v>
      </c>
    </row>
    <row r="23" spans="1:23" ht="15.6" x14ac:dyDescent="0.3">
      <c r="A23" s="158" t="s">
        <v>522</v>
      </c>
      <c r="B23" s="69">
        <v>1753208</v>
      </c>
      <c r="C23" s="69" t="s">
        <v>523</v>
      </c>
      <c r="D23" s="69">
        <v>0</v>
      </c>
      <c r="E23" s="70" t="s">
        <v>472</v>
      </c>
      <c r="F23" s="67" t="s">
        <v>1643</v>
      </c>
      <c r="G23" s="71">
        <v>27576</v>
      </c>
      <c r="H23" s="72">
        <v>42004</v>
      </c>
      <c r="I23" s="133">
        <v>12201934.68</v>
      </c>
      <c r="J23" s="134">
        <v>1744367.84</v>
      </c>
      <c r="K23" s="123" t="s">
        <v>1475</v>
      </c>
      <c r="L23" s="74">
        <v>0.24360000000000001</v>
      </c>
      <c r="M23" s="85"/>
      <c r="N23" s="76">
        <v>14</v>
      </c>
      <c r="O23" s="76"/>
      <c r="P23" s="76"/>
      <c r="Q23" s="76"/>
      <c r="R23" s="67" t="s">
        <v>1509</v>
      </c>
      <c r="S23" s="68">
        <v>800103920</v>
      </c>
      <c r="T23" s="77">
        <v>32674991</v>
      </c>
      <c r="U23" s="78" t="s">
        <v>1658</v>
      </c>
      <c r="V23" s="79">
        <v>250000</v>
      </c>
      <c r="W23" s="80">
        <v>1210850</v>
      </c>
    </row>
    <row r="24" spans="1:23" ht="15.6" x14ac:dyDescent="0.3">
      <c r="A24" s="158" t="s">
        <v>524</v>
      </c>
      <c r="B24" s="69">
        <v>2767630</v>
      </c>
      <c r="C24" s="69" t="s">
        <v>525</v>
      </c>
      <c r="D24" s="69">
        <v>0</v>
      </c>
      <c r="E24" s="70" t="s">
        <v>19</v>
      </c>
      <c r="F24" s="67" t="s">
        <v>1643</v>
      </c>
      <c r="G24" s="71">
        <v>31821</v>
      </c>
      <c r="H24" s="72">
        <v>42004</v>
      </c>
      <c r="I24" s="133">
        <v>57126161.280000001</v>
      </c>
      <c r="J24" s="134">
        <v>8166658.9199999999</v>
      </c>
      <c r="K24" s="123" t="s">
        <v>1475</v>
      </c>
      <c r="L24" s="74">
        <v>0.97009999999999996</v>
      </c>
      <c r="M24" s="85">
        <v>930</v>
      </c>
      <c r="N24" s="76">
        <v>14</v>
      </c>
      <c r="O24" s="76"/>
      <c r="P24" s="76"/>
      <c r="Q24" s="76"/>
      <c r="R24" s="67" t="s">
        <v>1509</v>
      </c>
      <c r="S24" s="68">
        <v>800103920</v>
      </c>
      <c r="T24" s="77">
        <v>26663419</v>
      </c>
      <c r="U24" s="78" t="s">
        <v>1659</v>
      </c>
      <c r="V24" s="79">
        <v>250000</v>
      </c>
      <c r="W24" s="80">
        <v>1423500</v>
      </c>
    </row>
    <row r="25" spans="1:23" ht="15.6" x14ac:dyDescent="0.3">
      <c r="A25" s="158" t="s">
        <v>530</v>
      </c>
      <c r="B25" s="69">
        <v>4975251</v>
      </c>
      <c r="C25" s="69" t="s">
        <v>531</v>
      </c>
      <c r="D25" s="69">
        <v>0</v>
      </c>
      <c r="E25" s="70" t="s">
        <v>19</v>
      </c>
      <c r="F25" s="67" t="s">
        <v>1643</v>
      </c>
      <c r="G25" s="71">
        <v>25951</v>
      </c>
      <c r="H25" s="72"/>
      <c r="I25" s="133">
        <v>11902216.65</v>
      </c>
      <c r="J25" s="134">
        <v>1701520.66</v>
      </c>
      <c r="K25" s="123" t="s">
        <v>1475</v>
      </c>
      <c r="L25" s="74">
        <v>0.1132</v>
      </c>
      <c r="M25" s="75">
        <v>9751</v>
      </c>
      <c r="N25" s="76">
        <v>14</v>
      </c>
      <c r="O25" s="76"/>
      <c r="P25" s="76"/>
      <c r="Q25" s="76"/>
      <c r="R25" s="67" t="s">
        <v>1509</v>
      </c>
      <c r="S25" s="68">
        <v>800103920</v>
      </c>
      <c r="T25" s="77">
        <v>26662639</v>
      </c>
      <c r="U25" s="78" t="s">
        <v>1662</v>
      </c>
      <c r="V25" s="79">
        <v>250000</v>
      </c>
      <c r="W25" s="80">
        <v>2541677</v>
      </c>
    </row>
    <row r="26" spans="1:23" ht="15.6" x14ac:dyDescent="0.3">
      <c r="A26" s="158" t="s">
        <v>536</v>
      </c>
      <c r="B26" s="69">
        <v>36526401</v>
      </c>
      <c r="C26" s="69" t="s">
        <v>537</v>
      </c>
      <c r="D26" s="69">
        <v>0</v>
      </c>
      <c r="E26" s="70" t="s">
        <v>19</v>
      </c>
      <c r="F26" s="67" t="s">
        <v>1643</v>
      </c>
      <c r="G26" s="71">
        <v>38749</v>
      </c>
      <c r="H26" s="72"/>
      <c r="I26" s="133">
        <v>4418592.68</v>
      </c>
      <c r="J26" s="134">
        <v>631674.5</v>
      </c>
      <c r="K26" s="123" t="s">
        <v>1475</v>
      </c>
      <c r="L26" s="74">
        <v>0.15590000000000001</v>
      </c>
      <c r="M26" s="75">
        <v>245543</v>
      </c>
      <c r="N26" s="76">
        <v>14</v>
      </c>
      <c r="O26" s="76"/>
      <c r="P26" s="76"/>
      <c r="Q26" s="76"/>
      <c r="R26" s="67" t="s">
        <v>1509</v>
      </c>
      <c r="S26" s="68">
        <v>800103920</v>
      </c>
      <c r="T26" s="77"/>
      <c r="U26" s="78"/>
      <c r="V26" s="79">
        <v>250000</v>
      </c>
      <c r="W26" s="80">
        <v>685136</v>
      </c>
    </row>
    <row r="27" spans="1:23" ht="15.6" x14ac:dyDescent="0.3">
      <c r="A27" s="158" t="s">
        <v>538</v>
      </c>
      <c r="B27" s="69">
        <v>9063135</v>
      </c>
      <c r="C27" s="69" t="s">
        <v>539</v>
      </c>
      <c r="D27" s="69">
        <v>0</v>
      </c>
      <c r="E27" s="70" t="s">
        <v>19</v>
      </c>
      <c r="F27" s="67" t="s">
        <v>1643</v>
      </c>
      <c r="G27" s="71">
        <v>39052</v>
      </c>
      <c r="H27" s="72"/>
      <c r="I27" s="133">
        <v>4949284.42</v>
      </c>
      <c r="J27" s="134">
        <v>707541.29</v>
      </c>
      <c r="K27" s="123" t="s">
        <v>1485</v>
      </c>
      <c r="L27" s="74">
        <v>0.11360000000000001</v>
      </c>
      <c r="M27" s="75">
        <v>95096</v>
      </c>
      <c r="N27" s="76">
        <v>14</v>
      </c>
      <c r="O27" s="76"/>
      <c r="P27" s="76"/>
      <c r="Q27" s="76"/>
      <c r="R27" s="67" t="s">
        <v>1509</v>
      </c>
      <c r="S27" s="68">
        <v>800103920</v>
      </c>
      <c r="T27" s="77"/>
      <c r="U27" s="78"/>
      <c r="V27" s="79">
        <v>250000</v>
      </c>
      <c r="W27" s="80">
        <v>1053181</v>
      </c>
    </row>
    <row r="28" spans="1:23" ht="15.6" x14ac:dyDescent="0.3">
      <c r="A28" s="158" t="s">
        <v>540</v>
      </c>
      <c r="B28" s="69">
        <v>17005550</v>
      </c>
      <c r="C28" s="69" t="s">
        <v>541</v>
      </c>
      <c r="D28" s="69">
        <v>0</v>
      </c>
      <c r="E28" s="70" t="s">
        <v>19</v>
      </c>
      <c r="F28" s="67" t="s">
        <v>1643</v>
      </c>
      <c r="G28" s="71">
        <v>34668</v>
      </c>
      <c r="H28" s="72"/>
      <c r="I28" s="133">
        <v>708172.16</v>
      </c>
      <c r="J28" s="134">
        <v>101239.09</v>
      </c>
      <c r="K28" s="123" t="s">
        <v>1470</v>
      </c>
      <c r="L28" s="74">
        <v>3.2000000000000001E-2</v>
      </c>
      <c r="M28" s="75">
        <v>10309</v>
      </c>
      <c r="N28" s="76">
        <v>14</v>
      </c>
      <c r="O28" s="76">
        <v>0</v>
      </c>
      <c r="P28" s="83">
        <v>80519</v>
      </c>
      <c r="Q28" s="83">
        <v>390561</v>
      </c>
      <c r="R28" s="67" t="s">
        <v>1510</v>
      </c>
      <c r="S28" s="68">
        <v>800103923</v>
      </c>
      <c r="T28" s="77">
        <v>27068628</v>
      </c>
      <c r="U28" s="78" t="s">
        <v>1664</v>
      </c>
      <c r="V28" s="79">
        <v>250000</v>
      </c>
      <c r="W28" s="80">
        <v>534968</v>
      </c>
    </row>
    <row r="29" spans="1:23" ht="15.6" x14ac:dyDescent="0.3">
      <c r="A29" s="158" t="s">
        <v>1812</v>
      </c>
      <c r="B29" s="69">
        <v>27073358</v>
      </c>
      <c r="C29" s="69" t="s">
        <v>545</v>
      </c>
      <c r="D29" s="69">
        <v>0</v>
      </c>
      <c r="E29" s="70" t="s">
        <v>19</v>
      </c>
      <c r="F29" s="67" t="s">
        <v>1643</v>
      </c>
      <c r="G29" s="71">
        <v>35431</v>
      </c>
      <c r="H29" s="72"/>
      <c r="I29" s="133">
        <v>7589424.3300000001</v>
      </c>
      <c r="J29" s="134">
        <v>1084971.2</v>
      </c>
      <c r="K29" s="123" t="s">
        <v>1470</v>
      </c>
      <c r="L29" s="74">
        <v>9.4200000000000006E-2</v>
      </c>
      <c r="M29" s="75">
        <v>118253</v>
      </c>
      <c r="N29" s="76">
        <v>14</v>
      </c>
      <c r="O29" s="76">
        <v>0</v>
      </c>
      <c r="P29" s="83">
        <v>1052923</v>
      </c>
      <c r="Q29" s="83">
        <v>2640962</v>
      </c>
      <c r="R29" s="67" t="s">
        <v>1510</v>
      </c>
      <c r="S29" s="68">
        <v>800103923</v>
      </c>
      <c r="T29" s="77"/>
      <c r="U29" s="78"/>
      <c r="V29" s="79">
        <v>250000</v>
      </c>
      <c r="W29" s="80">
        <v>1947587</v>
      </c>
    </row>
    <row r="30" spans="1:23" ht="15.6" x14ac:dyDescent="0.3">
      <c r="A30" s="158" t="s">
        <v>1813</v>
      </c>
      <c r="B30" s="69">
        <v>5202772</v>
      </c>
      <c r="C30" s="69" t="s">
        <v>547</v>
      </c>
      <c r="D30" s="69">
        <v>0</v>
      </c>
      <c r="E30" s="70" t="s">
        <v>19</v>
      </c>
      <c r="F30" s="67" t="s">
        <v>1643</v>
      </c>
      <c r="G30" s="71">
        <v>38867</v>
      </c>
      <c r="H30" s="72"/>
      <c r="I30" s="133">
        <v>489441.51</v>
      </c>
      <c r="J30" s="134">
        <v>69969.73</v>
      </c>
      <c r="K30" s="123" t="s">
        <v>1470</v>
      </c>
      <c r="L30" s="74">
        <v>1.4E-2</v>
      </c>
      <c r="M30" s="75">
        <v>28635</v>
      </c>
      <c r="N30" s="76">
        <v>14</v>
      </c>
      <c r="O30" s="76">
        <v>0</v>
      </c>
      <c r="P30" s="83">
        <v>342414</v>
      </c>
      <c r="Q30" s="83">
        <v>2034106</v>
      </c>
      <c r="R30" s="67" t="s">
        <v>1510</v>
      </c>
      <c r="S30" s="68">
        <v>800103923</v>
      </c>
      <c r="T30" s="77"/>
      <c r="U30" s="78"/>
      <c r="V30" s="79">
        <v>250000</v>
      </c>
      <c r="W30" s="80">
        <v>845107</v>
      </c>
    </row>
    <row r="31" spans="1:23" ht="15.6" x14ac:dyDescent="0.3">
      <c r="A31" s="158" t="s">
        <v>550</v>
      </c>
      <c r="B31" s="69">
        <v>1910575</v>
      </c>
      <c r="C31" s="69" t="s">
        <v>551</v>
      </c>
      <c r="D31" s="69">
        <v>0</v>
      </c>
      <c r="E31" s="70" t="s">
        <v>472</v>
      </c>
      <c r="F31" s="67" t="s">
        <v>1643</v>
      </c>
      <c r="G31" s="71">
        <v>31878</v>
      </c>
      <c r="H31" s="72">
        <v>38717</v>
      </c>
      <c r="I31" s="133">
        <v>20957227.149999999</v>
      </c>
      <c r="J31" s="134">
        <v>2996009.57</v>
      </c>
      <c r="K31" s="123" t="s">
        <v>1486</v>
      </c>
      <c r="L31" s="74">
        <v>0.73709999999999998</v>
      </c>
      <c r="M31" s="75">
        <v>29026</v>
      </c>
      <c r="N31" s="76">
        <v>14</v>
      </c>
      <c r="O31" s="76"/>
      <c r="P31" s="76"/>
      <c r="Q31" s="76"/>
      <c r="R31" s="67" t="s">
        <v>1511</v>
      </c>
      <c r="S31" s="68">
        <v>800103927</v>
      </c>
      <c r="T31" s="77">
        <v>27555358</v>
      </c>
      <c r="U31" s="78" t="s">
        <v>1667</v>
      </c>
      <c r="V31" s="79">
        <v>250000</v>
      </c>
      <c r="W31" s="80">
        <v>687300</v>
      </c>
    </row>
    <row r="32" spans="1:23" ht="15.6" x14ac:dyDescent="0.3">
      <c r="A32" s="158" t="s">
        <v>1814</v>
      </c>
      <c r="B32" s="69">
        <v>1984868</v>
      </c>
      <c r="C32" s="69" t="s">
        <v>553</v>
      </c>
      <c r="D32" s="69">
        <v>0</v>
      </c>
      <c r="E32" s="70" t="s">
        <v>472</v>
      </c>
      <c r="F32" s="67" t="s">
        <v>1643</v>
      </c>
      <c r="G32" s="71">
        <v>33801</v>
      </c>
      <c r="H32" s="72">
        <v>38717</v>
      </c>
      <c r="I32" s="133">
        <v>15929197.279999999</v>
      </c>
      <c r="J32" s="134">
        <v>2277210.9700000002</v>
      </c>
      <c r="K32" s="123" t="s">
        <v>1486</v>
      </c>
      <c r="L32" s="74">
        <v>0.22059999999999999</v>
      </c>
      <c r="M32" s="75">
        <v>120980</v>
      </c>
      <c r="N32" s="76">
        <v>14</v>
      </c>
      <c r="O32" s="76"/>
      <c r="P32" s="76"/>
      <c r="Q32" s="76"/>
      <c r="R32" s="67" t="s">
        <v>1511</v>
      </c>
      <c r="S32" s="68">
        <v>800103927</v>
      </c>
      <c r="T32" s="77">
        <v>27780950</v>
      </c>
      <c r="U32" s="78" t="s">
        <v>1668</v>
      </c>
      <c r="V32" s="79">
        <v>250000</v>
      </c>
      <c r="W32" s="80">
        <v>1745530</v>
      </c>
    </row>
    <row r="33" spans="1:23" ht="15.6" x14ac:dyDescent="0.3">
      <c r="A33" s="158" t="s">
        <v>556</v>
      </c>
      <c r="B33" s="69">
        <v>37212226</v>
      </c>
      <c r="C33" s="69" t="s">
        <v>557</v>
      </c>
      <c r="D33" s="69">
        <v>0</v>
      </c>
      <c r="E33" s="70" t="s">
        <v>472</v>
      </c>
      <c r="F33" s="67" t="s">
        <v>1643</v>
      </c>
      <c r="G33" s="71">
        <v>34700</v>
      </c>
      <c r="H33" s="72"/>
      <c r="I33" s="133">
        <v>680071.12</v>
      </c>
      <c r="J33" s="134">
        <v>97221.81</v>
      </c>
      <c r="K33" s="123" t="s">
        <v>1483</v>
      </c>
      <c r="L33" s="74">
        <v>2.98E-2</v>
      </c>
      <c r="M33" s="75">
        <v>14627</v>
      </c>
      <c r="N33" s="76">
        <v>14</v>
      </c>
      <c r="O33" s="76"/>
      <c r="P33" s="76"/>
      <c r="Q33" s="76"/>
      <c r="R33" s="67" t="s">
        <v>1511</v>
      </c>
      <c r="S33" s="68">
        <v>800103927</v>
      </c>
      <c r="T33" s="77"/>
      <c r="U33" s="78"/>
      <c r="V33" s="79">
        <v>250000</v>
      </c>
      <c r="W33" s="80">
        <v>551667</v>
      </c>
    </row>
    <row r="34" spans="1:23" ht="15.6" x14ac:dyDescent="0.3">
      <c r="A34" s="158" t="s">
        <v>558</v>
      </c>
      <c r="B34" s="69">
        <v>37217267</v>
      </c>
      <c r="C34" s="69" t="s">
        <v>559</v>
      </c>
      <c r="D34" s="69">
        <v>0</v>
      </c>
      <c r="E34" s="70" t="s">
        <v>19</v>
      </c>
      <c r="F34" s="67" t="s">
        <v>1643</v>
      </c>
      <c r="G34" s="71">
        <v>44593</v>
      </c>
      <c r="H34" s="72"/>
      <c r="I34" s="133">
        <v>17675389.879999999</v>
      </c>
      <c r="J34" s="134">
        <v>2526843.7000000002</v>
      </c>
      <c r="K34" s="123" t="s">
        <v>1471</v>
      </c>
      <c r="L34" s="74">
        <v>0.22459999999999999</v>
      </c>
      <c r="M34" s="75">
        <v>197913</v>
      </c>
      <c r="N34" s="76">
        <v>14</v>
      </c>
      <c r="O34" s="76"/>
      <c r="P34" s="76"/>
      <c r="Q34" s="76"/>
      <c r="R34" s="67" t="s">
        <v>1511</v>
      </c>
      <c r="S34" s="68">
        <v>800103927</v>
      </c>
      <c r="T34" s="77"/>
      <c r="U34" s="78"/>
      <c r="V34" s="79">
        <v>250000</v>
      </c>
      <c r="W34" s="80">
        <v>1902384</v>
      </c>
    </row>
    <row r="35" spans="1:23" ht="15.6" x14ac:dyDescent="0.3">
      <c r="A35" s="158" t="s">
        <v>562</v>
      </c>
      <c r="B35" s="69">
        <v>37219129</v>
      </c>
      <c r="C35" s="69" t="s">
        <v>563</v>
      </c>
      <c r="D35" s="69">
        <v>0</v>
      </c>
      <c r="E35" s="70" t="s">
        <v>472</v>
      </c>
      <c r="F35" s="67" t="s">
        <v>1643</v>
      </c>
      <c r="G35" s="71">
        <v>36284</v>
      </c>
      <c r="H35" s="72"/>
      <c r="I35" s="133">
        <v>19178749.73</v>
      </c>
      <c r="J35" s="134">
        <v>2741761.46</v>
      </c>
      <c r="K35" s="123" t="s">
        <v>1473</v>
      </c>
      <c r="L35" s="74">
        <v>0.26579999999999998</v>
      </c>
      <c r="M35" s="75">
        <v>476771</v>
      </c>
      <c r="N35" s="76">
        <v>14</v>
      </c>
      <c r="O35" s="76"/>
      <c r="P35" s="76"/>
      <c r="Q35" s="76"/>
      <c r="R35" s="67" t="s">
        <v>1511</v>
      </c>
      <c r="S35" s="68">
        <v>800103927</v>
      </c>
      <c r="T35" s="77"/>
      <c r="U35" s="78"/>
      <c r="V35" s="79">
        <v>250000</v>
      </c>
      <c r="W35" s="80">
        <v>1744232</v>
      </c>
    </row>
    <row r="36" spans="1:23" ht="15.6" x14ac:dyDescent="0.3">
      <c r="A36" s="158" t="s">
        <v>1815</v>
      </c>
      <c r="B36" s="69">
        <v>13236110</v>
      </c>
      <c r="C36" s="69" t="s">
        <v>567</v>
      </c>
      <c r="D36" s="69">
        <v>0</v>
      </c>
      <c r="E36" s="70" t="s">
        <v>472</v>
      </c>
      <c r="F36" s="67" t="s">
        <v>1643</v>
      </c>
      <c r="G36" s="71">
        <v>38808</v>
      </c>
      <c r="H36" s="72"/>
      <c r="I36" s="133">
        <v>2863596.4</v>
      </c>
      <c r="J36" s="134">
        <v>409374.87</v>
      </c>
      <c r="K36" s="123" t="s">
        <v>1486</v>
      </c>
      <c r="L36" s="74">
        <v>0.12670000000000001</v>
      </c>
      <c r="M36" s="75">
        <v>233196</v>
      </c>
      <c r="N36" s="76">
        <v>14</v>
      </c>
      <c r="O36" s="76"/>
      <c r="P36" s="76"/>
      <c r="Q36" s="76"/>
      <c r="R36" s="67" t="s">
        <v>1511</v>
      </c>
      <c r="S36" s="68">
        <v>800103927</v>
      </c>
      <c r="T36" s="77"/>
      <c r="U36" s="78"/>
      <c r="V36" s="79">
        <v>250000</v>
      </c>
      <c r="W36" s="80">
        <v>546354</v>
      </c>
    </row>
    <row r="37" spans="1:23" ht="15.6" x14ac:dyDescent="0.3">
      <c r="A37" s="158" t="s">
        <v>568</v>
      </c>
      <c r="B37" s="69">
        <v>13347957</v>
      </c>
      <c r="C37" s="69" t="s">
        <v>569</v>
      </c>
      <c r="D37" s="69">
        <v>0</v>
      </c>
      <c r="E37" s="70" t="s">
        <v>19</v>
      </c>
      <c r="F37" s="67" t="s">
        <v>1643</v>
      </c>
      <c r="G37" s="71">
        <v>38808</v>
      </c>
      <c r="H37" s="72"/>
      <c r="I37" s="133">
        <v>51873.43</v>
      </c>
      <c r="J37" s="134">
        <v>7415.74</v>
      </c>
      <c r="K37" s="123" t="s">
        <v>1486</v>
      </c>
      <c r="L37" s="74">
        <v>1.3899999999999999E-2</v>
      </c>
      <c r="M37" s="75">
        <v>22627</v>
      </c>
      <c r="N37" s="76">
        <v>14</v>
      </c>
      <c r="O37" s="76"/>
      <c r="P37" s="76"/>
      <c r="Q37" s="76"/>
      <c r="R37" s="67" t="s">
        <v>1511</v>
      </c>
      <c r="S37" s="68">
        <v>800103927</v>
      </c>
      <c r="T37" s="77"/>
      <c r="U37" s="78"/>
      <c r="V37" s="79">
        <v>250000</v>
      </c>
      <c r="W37" s="80">
        <v>90213</v>
      </c>
    </row>
    <row r="38" spans="1:23" ht="15.6" x14ac:dyDescent="0.3">
      <c r="A38" s="158" t="s">
        <v>570</v>
      </c>
      <c r="B38" s="69">
        <v>13356383</v>
      </c>
      <c r="C38" s="69" t="s">
        <v>571</v>
      </c>
      <c r="D38" s="69">
        <v>0</v>
      </c>
      <c r="E38" s="70" t="s">
        <v>472</v>
      </c>
      <c r="F38" s="67" t="s">
        <v>1643</v>
      </c>
      <c r="G38" s="71">
        <v>38808</v>
      </c>
      <c r="H38" s="72"/>
      <c r="I38" s="133">
        <v>4031335.9</v>
      </c>
      <c r="J38" s="134">
        <v>576312.93000000005</v>
      </c>
      <c r="K38" s="123" t="s">
        <v>1486</v>
      </c>
      <c r="L38" s="74">
        <v>0.15029999999999999</v>
      </c>
      <c r="M38" s="75">
        <v>318588</v>
      </c>
      <c r="N38" s="76">
        <v>14</v>
      </c>
      <c r="O38" s="76"/>
      <c r="P38" s="76"/>
      <c r="Q38" s="76"/>
      <c r="R38" s="67" t="s">
        <v>1511</v>
      </c>
      <c r="S38" s="68">
        <v>800103927</v>
      </c>
      <c r="T38" s="77"/>
      <c r="U38" s="78"/>
      <c r="V38" s="79">
        <v>250000</v>
      </c>
      <c r="W38" s="80">
        <v>648379</v>
      </c>
    </row>
    <row r="39" spans="1:23" ht="15.6" x14ac:dyDescent="0.3">
      <c r="A39" s="158" t="s">
        <v>1816</v>
      </c>
      <c r="B39" s="69">
        <v>13244028</v>
      </c>
      <c r="C39" s="69" t="s">
        <v>575</v>
      </c>
      <c r="D39" s="69">
        <v>0</v>
      </c>
      <c r="E39" s="70" t="s">
        <v>19</v>
      </c>
      <c r="F39" s="67" t="s">
        <v>1643</v>
      </c>
      <c r="G39" s="71">
        <v>44593</v>
      </c>
      <c r="H39" s="72"/>
      <c r="I39" s="133">
        <v>775329.43</v>
      </c>
      <c r="J39" s="134">
        <v>110839.78</v>
      </c>
      <c r="K39" s="123" t="s">
        <v>1486</v>
      </c>
      <c r="L39" s="74">
        <v>2.5000000000000001E-2</v>
      </c>
      <c r="M39" s="75">
        <v>54223</v>
      </c>
      <c r="N39" s="76">
        <v>14</v>
      </c>
      <c r="O39" s="76"/>
      <c r="P39" s="76"/>
      <c r="Q39" s="76"/>
      <c r="R39" s="67" t="s">
        <v>1511</v>
      </c>
      <c r="S39" s="68">
        <v>800103927</v>
      </c>
      <c r="T39" s="77"/>
      <c r="U39" s="78"/>
      <c r="V39" s="79">
        <v>250000</v>
      </c>
      <c r="W39" s="80">
        <v>749696</v>
      </c>
    </row>
    <row r="40" spans="1:23" ht="15.6" x14ac:dyDescent="0.3">
      <c r="A40" s="158" t="s">
        <v>576</v>
      </c>
      <c r="B40" s="69">
        <v>13346256</v>
      </c>
      <c r="C40" s="69" t="s">
        <v>577</v>
      </c>
      <c r="D40" s="69">
        <v>0</v>
      </c>
      <c r="E40" s="70" t="s">
        <v>19</v>
      </c>
      <c r="F40" s="67" t="s">
        <v>1643</v>
      </c>
      <c r="G40" s="71">
        <v>39416</v>
      </c>
      <c r="H40" s="72"/>
      <c r="I40" s="133">
        <v>103512.52</v>
      </c>
      <c r="J40" s="134">
        <v>14797.97</v>
      </c>
      <c r="K40" s="123" t="s">
        <v>20</v>
      </c>
      <c r="L40" s="74">
        <v>8.77E-2</v>
      </c>
      <c r="M40" s="75">
        <v>196822</v>
      </c>
      <c r="N40" s="76">
        <v>13</v>
      </c>
      <c r="O40" s="76"/>
      <c r="P40" s="76"/>
      <c r="Q40" s="76"/>
      <c r="R40" s="67" t="s">
        <v>1511</v>
      </c>
      <c r="S40" s="68">
        <v>800103927</v>
      </c>
      <c r="T40" s="77"/>
      <c r="U40" s="78"/>
      <c r="V40" s="79">
        <v>250000</v>
      </c>
      <c r="W40" s="80">
        <v>28532</v>
      </c>
    </row>
    <row r="41" spans="1:23" ht="15.6" x14ac:dyDescent="0.3">
      <c r="A41" s="158" t="s">
        <v>578</v>
      </c>
      <c r="B41" s="69">
        <v>13345921</v>
      </c>
      <c r="C41" s="69" t="s">
        <v>579</v>
      </c>
      <c r="D41" s="69">
        <v>0</v>
      </c>
      <c r="E41" s="70" t="s">
        <v>472</v>
      </c>
      <c r="F41" s="67" t="s">
        <v>1643</v>
      </c>
      <c r="G41" s="71">
        <v>40147</v>
      </c>
      <c r="H41" s="72"/>
      <c r="I41" s="133">
        <v>349296.65</v>
      </c>
      <c r="J41" s="134">
        <v>49934.85</v>
      </c>
      <c r="K41" s="123" t="s">
        <v>1486</v>
      </c>
      <c r="L41" s="74">
        <v>2.5899999999999999E-2</v>
      </c>
      <c r="M41" s="75">
        <v>45102</v>
      </c>
      <c r="N41" s="76">
        <v>14</v>
      </c>
      <c r="O41" s="76"/>
      <c r="P41" s="76"/>
      <c r="Q41" s="76"/>
      <c r="R41" s="67" t="s">
        <v>1511</v>
      </c>
      <c r="S41" s="68">
        <v>800103927</v>
      </c>
      <c r="T41" s="77"/>
      <c r="U41" s="78"/>
      <c r="V41" s="79">
        <v>250000</v>
      </c>
      <c r="W41" s="80">
        <v>326012</v>
      </c>
    </row>
    <row r="42" spans="1:23" ht="15.6" x14ac:dyDescent="0.3">
      <c r="A42" s="158" t="s">
        <v>1817</v>
      </c>
      <c r="B42" s="69">
        <v>25842092</v>
      </c>
      <c r="C42" s="69" t="s">
        <v>587</v>
      </c>
      <c r="D42" s="69">
        <v>0</v>
      </c>
      <c r="E42" s="70" t="s">
        <v>19</v>
      </c>
      <c r="F42" s="67" t="s">
        <v>1643</v>
      </c>
      <c r="G42" s="71">
        <v>35582</v>
      </c>
      <c r="H42" s="72"/>
      <c r="I42" s="133">
        <v>6280587.4299999997</v>
      </c>
      <c r="J42" s="134">
        <v>897862.11</v>
      </c>
      <c r="K42" s="123" t="s">
        <v>1474</v>
      </c>
      <c r="L42" s="74">
        <v>0.1242</v>
      </c>
      <c r="M42" s="75">
        <v>244896</v>
      </c>
      <c r="N42" s="76">
        <v>14</v>
      </c>
      <c r="O42" s="76">
        <v>0</v>
      </c>
      <c r="P42" s="83">
        <v>1122798</v>
      </c>
      <c r="Q42" s="76">
        <v>0</v>
      </c>
      <c r="R42" s="67" t="s">
        <v>1512</v>
      </c>
      <c r="S42" s="68">
        <v>800103935</v>
      </c>
      <c r="T42" s="77"/>
      <c r="U42" s="78"/>
      <c r="V42" s="79">
        <v>250000</v>
      </c>
      <c r="W42" s="80">
        <v>1222412</v>
      </c>
    </row>
    <row r="43" spans="1:23" ht="15.6" x14ac:dyDescent="0.3">
      <c r="A43" s="158" t="s">
        <v>588</v>
      </c>
      <c r="B43" s="69">
        <v>34957700</v>
      </c>
      <c r="C43" s="69" t="s">
        <v>589</v>
      </c>
      <c r="D43" s="69">
        <v>0</v>
      </c>
      <c r="E43" s="70" t="s">
        <v>472</v>
      </c>
      <c r="F43" s="67" t="s">
        <v>1643</v>
      </c>
      <c r="G43" s="71">
        <v>38217</v>
      </c>
      <c r="H43" s="72"/>
      <c r="I43" s="133">
        <v>4560221.62</v>
      </c>
      <c r="J43" s="134">
        <v>651921.53</v>
      </c>
      <c r="K43" s="123" t="s">
        <v>1474</v>
      </c>
      <c r="L43" s="74">
        <v>0.17119999999999999</v>
      </c>
      <c r="M43" s="75">
        <v>302549</v>
      </c>
      <c r="N43" s="76">
        <v>14</v>
      </c>
      <c r="O43" s="76">
        <v>0</v>
      </c>
      <c r="P43" s="83">
        <v>446941</v>
      </c>
      <c r="Q43" s="83">
        <v>1417483</v>
      </c>
      <c r="R43" s="67" t="s">
        <v>1512</v>
      </c>
      <c r="S43" s="68">
        <v>800103935</v>
      </c>
      <c r="T43" s="77"/>
      <c r="U43" s="78"/>
      <c r="V43" s="79">
        <v>250000</v>
      </c>
      <c r="W43" s="80">
        <v>643904</v>
      </c>
    </row>
    <row r="44" spans="1:23" ht="15.6" x14ac:dyDescent="0.3">
      <c r="A44" s="158" t="s">
        <v>590</v>
      </c>
      <c r="B44" s="69">
        <v>37807406</v>
      </c>
      <c r="C44" s="69" t="s">
        <v>591</v>
      </c>
      <c r="D44" s="69">
        <v>0</v>
      </c>
      <c r="E44" s="70" t="s">
        <v>592</v>
      </c>
      <c r="F44" s="67" t="s">
        <v>1643</v>
      </c>
      <c r="G44" s="71">
        <v>38539</v>
      </c>
      <c r="H44" s="72">
        <v>45621</v>
      </c>
      <c r="I44" s="133">
        <v>3242237.94</v>
      </c>
      <c r="J44" s="134">
        <v>463504.83</v>
      </c>
      <c r="K44" s="123" t="s">
        <v>1474</v>
      </c>
      <c r="L44" s="74">
        <v>6.4199999999999993E-2</v>
      </c>
      <c r="M44" s="75">
        <v>147972</v>
      </c>
      <c r="N44" s="76">
        <v>14</v>
      </c>
      <c r="O44" s="76">
        <v>0</v>
      </c>
      <c r="P44" s="83">
        <v>471760</v>
      </c>
      <c r="Q44" s="83">
        <v>1933918</v>
      </c>
      <c r="R44" s="67" t="s">
        <v>1512</v>
      </c>
      <c r="S44" s="68">
        <v>800103935</v>
      </c>
      <c r="T44" s="77"/>
      <c r="U44" s="78"/>
      <c r="V44" s="79">
        <v>250000</v>
      </c>
      <c r="W44" s="80">
        <v>1220812</v>
      </c>
    </row>
    <row r="45" spans="1:23" ht="15.6" x14ac:dyDescent="0.3">
      <c r="A45" s="158" t="s">
        <v>593</v>
      </c>
      <c r="B45" s="69">
        <v>15015806</v>
      </c>
      <c r="C45" s="69" t="s">
        <v>594</v>
      </c>
      <c r="D45" s="69">
        <v>0</v>
      </c>
      <c r="E45" s="70" t="s">
        <v>472</v>
      </c>
      <c r="F45" s="67" t="s">
        <v>1643</v>
      </c>
      <c r="G45" s="71">
        <v>38686</v>
      </c>
      <c r="H45" s="72"/>
      <c r="I45" s="133">
        <v>96176.86</v>
      </c>
      <c r="J45" s="134">
        <v>13749.28</v>
      </c>
      <c r="K45" s="123" t="s">
        <v>1474</v>
      </c>
      <c r="L45" s="74">
        <v>2.4E-2</v>
      </c>
      <c r="M45" s="75">
        <v>34198</v>
      </c>
      <c r="N45" s="76">
        <v>14</v>
      </c>
      <c r="O45" s="76">
        <v>0</v>
      </c>
      <c r="P45" s="83">
        <v>1559675</v>
      </c>
      <c r="Q45" s="76">
        <v>0</v>
      </c>
      <c r="R45" s="67" t="s">
        <v>1512</v>
      </c>
      <c r="S45" s="68">
        <v>800103935</v>
      </c>
      <c r="T45" s="77"/>
      <c r="U45" s="78"/>
      <c r="V45" s="79">
        <v>250000</v>
      </c>
      <c r="W45" s="80">
        <v>96872</v>
      </c>
    </row>
    <row r="46" spans="1:23" ht="15.6" x14ac:dyDescent="0.3">
      <c r="A46" s="158" t="s">
        <v>1818</v>
      </c>
      <c r="B46" s="69">
        <v>5802772</v>
      </c>
      <c r="C46" s="69" t="s">
        <v>610</v>
      </c>
      <c r="D46" s="69">
        <v>0</v>
      </c>
      <c r="E46" s="70" t="s">
        <v>19</v>
      </c>
      <c r="F46" s="67" t="s">
        <v>1643</v>
      </c>
      <c r="G46" s="71">
        <v>33631</v>
      </c>
      <c r="H46" s="72">
        <v>45222</v>
      </c>
      <c r="I46" s="133">
        <v>7024857.7199999997</v>
      </c>
      <c r="J46" s="134">
        <v>1004261.72</v>
      </c>
      <c r="K46" s="123" t="s">
        <v>1477</v>
      </c>
      <c r="L46" s="74">
        <v>0.1181</v>
      </c>
      <c r="M46" s="75">
        <v>7696</v>
      </c>
      <c r="N46" s="76">
        <v>14</v>
      </c>
      <c r="O46" s="76"/>
      <c r="P46" s="76"/>
      <c r="Q46" s="76"/>
      <c r="R46" s="67" t="s">
        <v>1513</v>
      </c>
      <c r="S46" s="68">
        <v>800113389</v>
      </c>
      <c r="T46" s="77"/>
      <c r="U46" s="78"/>
      <c r="V46" s="79">
        <v>250000</v>
      </c>
      <c r="W46" s="80">
        <v>1437893</v>
      </c>
    </row>
    <row r="47" spans="1:23" ht="15.6" x14ac:dyDescent="0.3">
      <c r="A47" s="158" t="s">
        <v>611</v>
      </c>
      <c r="B47" s="69">
        <v>2213612</v>
      </c>
      <c r="C47" s="69" t="s">
        <v>612</v>
      </c>
      <c r="D47" s="69">
        <v>0</v>
      </c>
      <c r="E47" s="70" t="s">
        <v>472</v>
      </c>
      <c r="F47" s="67" t="s">
        <v>1643</v>
      </c>
      <c r="G47" s="71">
        <v>28331</v>
      </c>
      <c r="H47" s="72">
        <v>45222</v>
      </c>
      <c r="I47" s="133">
        <v>77699146.239999995</v>
      </c>
      <c r="J47" s="134">
        <v>11107737.880000001</v>
      </c>
      <c r="K47" s="123" t="s">
        <v>1477</v>
      </c>
      <c r="L47" s="74">
        <v>0.76080000000000003</v>
      </c>
      <c r="M47" s="75">
        <v>6183</v>
      </c>
      <c r="N47" s="76">
        <v>14</v>
      </c>
      <c r="O47" s="76"/>
      <c r="P47" s="76"/>
      <c r="Q47" s="76"/>
      <c r="R47" s="67" t="s">
        <v>1514</v>
      </c>
      <c r="S47" s="68">
        <v>800113672</v>
      </c>
      <c r="T47" s="77">
        <v>28512980</v>
      </c>
      <c r="U47" s="78" t="s">
        <v>1670</v>
      </c>
      <c r="V47" s="79">
        <v>250000</v>
      </c>
      <c r="W47" s="80">
        <v>2468793</v>
      </c>
    </row>
    <row r="48" spans="1:23" ht="15.6" x14ac:dyDescent="0.3">
      <c r="A48" s="158" t="s">
        <v>1801</v>
      </c>
      <c r="B48" s="69">
        <v>28505549</v>
      </c>
      <c r="C48" s="69" t="s">
        <v>614</v>
      </c>
      <c r="D48" s="69">
        <v>0</v>
      </c>
      <c r="E48" s="70" t="s">
        <v>472</v>
      </c>
      <c r="F48" s="67" t="s">
        <v>1643</v>
      </c>
      <c r="G48" s="71">
        <v>28897</v>
      </c>
      <c r="H48" s="72">
        <v>45222</v>
      </c>
      <c r="I48" s="133">
        <v>34938077.350000001</v>
      </c>
      <c r="J48" s="134">
        <v>4994688.16</v>
      </c>
      <c r="K48" s="123" t="s">
        <v>1471</v>
      </c>
      <c r="L48" s="74">
        <v>0.35099999999999998</v>
      </c>
      <c r="M48" s="75">
        <v>12759</v>
      </c>
      <c r="N48" s="76">
        <v>14</v>
      </c>
      <c r="O48" s="76"/>
      <c r="P48" s="76"/>
      <c r="Q48" s="76"/>
      <c r="R48" s="67" t="s">
        <v>1514</v>
      </c>
      <c r="S48" s="68">
        <v>800113672</v>
      </c>
      <c r="T48" s="77">
        <v>1796134</v>
      </c>
      <c r="U48" s="78" t="s">
        <v>1671</v>
      </c>
      <c r="V48" s="79">
        <v>250000</v>
      </c>
      <c r="W48" s="80">
        <v>2406195</v>
      </c>
    </row>
    <row r="49" spans="1:23" ht="15.6" x14ac:dyDescent="0.3">
      <c r="A49" s="158" t="s">
        <v>488</v>
      </c>
      <c r="B49" s="69">
        <v>2344430</v>
      </c>
      <c r="C49" s="69" t="s">
        <v>489</v>
      </c>
      <c r="D49" s="69">
        <v>0</v>
      </c>
      <c r="E49" s="70" t="s">
        <v>19</v>
      </c>
      <c r="F49" s="67" t="s">
        <v>1643</v>
      </c>
      <c r="G49" s="71">
        <v>30317</v>
      </c>
      <c r="H49" s="72">
        <v>45222</v>
      </c>
      <c r="I49" s="133">
        <v>41675180.920000002</v>
      </c>
      <c r="J49" s="134">
        <v>5957813.0300000003</v>
      </c>
      <c r="K49" s="123" t="s">
        <v>1477</v>
      </c>
      <c r="L49" s="74">
        <v>0.58540000000000003</v>
      </c>
      <c r="M49" s="75">
        <v>15628</v>
      </c>
      <c r="N49" s="76">
        <v>14</v>
      </c>
      <c r="O49" s="76"/>
      <c r="P49" s="76"/>
      <c r="Q49" s="76"/>
      <c r="R49" s="67" t="s">
        <v>1514</v>
      </c>
      <c r="S49" s="68">
        <v>800113672</v>
      </c>
      <c r="T49" s="77">
        <v>28708753</v>
      </c>
      <c r="U49" s="78" t="s">
        <v>1655</v>
      </c>
      <c r="V49" s="79">
        <v>250000</v>
      </c>
      <c r="W49" s="80">
        <v>1720932</v>
      </c>
    </row>
    <row r="50" spans="1:23" ht="16.2" thickBot="1" x14ac:dyDescent="0.35">
      <c r="A50" s="158" t="s">
        <v>615</v>
      </c>
      <c r="B50" s="69">
        <v>2271189</v>
      </c>
      <c r="C50" s="69" t="s">
        <v>616</v>
      </c>
      <c r="D50" s="69">
        <v>0</v>
      </c>
      <c r="E50" s="70" t="s">
        <v>19</v>
      </c>
      <c r="F50" s="67" t="s">
        <v>1643</v>
      </c>
      <c r="G50" s="71">
        <v>33572</v>
      </c>
      <c r="H50" s="86">
        <v>45222</v>
      </c>
      <c r="I50" s="133">
        <v>4999557.49</v>
      </c>
      <c r="J50" s="134">
        <v>714728.24</v>
      </c>
      <c r="K50" s="123" t="s">
        <v>1477</v>
      </c>
      <c r="L50" s="74">
        <v>0.12609999999999999</v>
      </c>
      <c r="M50" s="75">
        <v>29021</v>
      </c>
      <c r="N50" s="76">
        <v>14</v>
      </c>
      <c r="O50" s="76"/>
      <c r="P50" s="76"/>
      <c r="Q50" s="76"/>
      <c r="R50" s="67" t="s">
        <v>1514</v>
      </c>
      <c r="S50" s="68">
        <v>800113672</v>
      </c>
      <c r="T50" s="77"/>
      <c r="U50" s="78"/>
      <c r="V50" s="79">
        <v>250000</v>
      </c>
      <c r="W50" s="80">
        <v>958419</v>
      </c>
    </row>
    <row r="51" spans="1:23" ht="15.6" x14ac:dyDescent="0.3">
      <c r="A51" s="158" t="s">
        <v>617</v>
      </c>
      <c r="B51" s="69">
        <v>5804857</v>
      </c>
      <c r="C51" s="69" t="s">
        <v>618</v>
      </c>
      <c r="D51" s="69">
        <v>0</v>
      </c>
      <c r="E51" s="70" t="s">
        <v>472</v>
      </c>
      <c r="F51" s="67" t="s">
        <v>1643</v>
      </c>
      <c r="G51" s="71">
        <v>33572</v>
      </c>
      <c r="H51" s="87">
        <v>45222</v>
      </c>
      <c r="I51" s="133">
        <v>14333516.720000001</v>
      </c>
      <c r="J51" s="134">
        <v>2049095.19</v>
      </c>
      <c r="K51" s="123" t="s">
        <v>1477</v>
      </c>
      <c r="L51" s="74">
        <v>0.19670000000000001</v>
      </c>
      <c r="M51" s="75">
        <v>47727</v>
      </c>
      <c r="N51" s="76">
        <v>14</v>
      </c>
      <c r="O51" s="76"/>
      <c r="P51" s="76"/>
      <c r="Q51" s="76"/>
      <c r="R51" s="67" t="s">
        <v>1514</v>
      </c>
      <c r="S51" s="68">
        <v>800113672</v>
      </c>
      <c r="T51" s="77">
        <v>28650582</v>
      </c>
      <c r="U51" s="78" t="s">
        <v>1672</v>
      </c>
      <c r="V51" s="79">
        <v>250000</v>
      </c>
      <c r="W51" s="80">
        <v>1761519</v>
      </c>
    </row>
    <row r="52" spans="1:23" ht="15.6" x14ac:dyDescent="0.3">
      <c r="A52" s="158" t="s">
        <v>623</v>
      </c>
      <c r="B52" s="69">
        <v>28521533</v>
      </c>
      <c r="C52" s="69" t="s">
        <v>624</v>
      </c>
      <c r="D52" s="69">
        <v>0</v>
      </c>
      <c r="E52" s="70" t="s">
        <v>592</v>
      </c>
      <c r="F52" s="67" t="s">
        <v>1643</v>
      </c>
      <c r="G52" s="71">
        <v>34668</v>
      </c>
      <c r="H52" s="72">
        <v>45222</v>
      </c>
      <c r="I52" s="133">
        <v>52796263.340000004</v>
      </c>
      <c r="J52" s="134">
        <v>7547664.0700000003</v>
      </c>
      <c r="K52" s="123" t="s">
        <v>1471</v>
      </c>
      <c r="L52" s="74">
        <v>0.41299999999999998</v>
      </c>
      <c r="M52" s="75">
        <v>101405</v>
      </c>
      <c r="N52" s="76">
        <v>14</v>
      </c>
      <c r="O52" s="76"/>
      <c r="P52" s="76"/>
      <c r="Q52" s="76"/>
      <c r="R52" s="67" t="s">
        <v>1514</v>
      </c>
      <c r="S52" s="68">
        <v>800113672</v>
      </c>
      <c r="T52" s="77"/>
      <c r="U52" s="78"/>
      <c r="V52" s="79">
        <v>250000</v>
      </c>
      <c r="W52" s="80">
        <v>3090239</v>
      </c>
    </row>
    <row r="53" spans="1:23" ht="15.6" x14ac:dyDescent="0.3">
      <c r="A53" s="158" t="s">
        <v>1819</v>
      </c>
      <c r="B53" s="69">
        <v>7399642</v>
      </c>
      <c r="C53" s="69" t="s">
        <v>626</v>
      </c>
      <c r="D53" s="69">
        <v>0</v>
      </c>
      <c r="E53" s="70" t="s">
        <v>472</v>
      </c>
      <c r="F53" s="67" t="s">
        <v>1643</v>
      </c>
      <c r="G53" s="71">
        <v>34700</v>
      </c>
      <c r="H53" s="72">
        <v>45222</v>
      </c>
      <c r="I53" s="133">
        <v>8778418.0299999993</v>
      </c>
      <c r="J53" s="134">
        <v>1254947.72</v>
      </c>
      <c r="K53" s="123" t="s">
        <v>1477</v>
      </c>
      <c r="L53" s="74">
        <v>8.3400000000000002E-2</v>
      </c>
      <c r="M53" s="75">
        <v>49262</v>
      </c>
      <c r="N53" s="76">
        <v>14</v>
      </c>
      <c r="O53" s="76"/>
      <c r="P53" s="76"/>
      <c r="Q53" s="76"/>
      <c r="R53" s="67" t="s">
        <v>1514</v>
      </c>
      <c r="S53" s="68">
        <v>800113672</v>
      </c>
      <c r="T53" s="77"/>
      <c r="U53" s="78"/>
      <c r="V53" s="79">
        <v>250000</v>
      </c>
      <c r="W53" s="80">
        <v>2544422</v>
      </c>
    </row>
    <row r="54" spans="1:23" ht="15.6" x14ac:dyDescent="0.3">
      <c r="A54" s="158" t="s">
        <v>627</v>
      </c>
      <c r="B54" s="69">
        <v>8236201</v>
      </c>
      <c r="C54" s="69" t="s">
        <v>628</v>
      </c>
      <c r="D54" s="69">
        <v>0</v>
      </c>
      <c r="E54" s="70" t="s">
        <v>629</v>
      </c>
      <c r="F54" s="67" t="s">
        <v>1643</v>
      </c>
      <c r="G54" s="71">
        <v>35431</v>
      </c>
      <c r="H54" s="72">
        <v>45222</v>
      </c>
      <c r="I54" s="133">
        <v>4024883.15</v>
      </c>
      <c r="J54" s="134">
        <v>575390.44999999995</v>
      </c>
      <c r="K54" s="123" t="s">
        <v>1483</v>
      </c>
      <c r="L54" s="74">
        <v>7.1599999999999997E-2</v>
      </c>
      <c r="M54" s="75">
        <v>57878</v>
      </c>
      <c r="N54" s="76">
        <v>14</v>
      </c>
      <c r="O54" s="76"/>
      <c r="P54" s="76"/>
      <c r="Q54" s="76"/>
      <c r="R54" s="67" t="s">
        <v>1514</v>
      </c>
      <c r="S54" s="68">
        <v>800113672</v>
      </c>
      <c r="T54" s="77"/>
      <c r="U54" s="78"/>
      <c r="V54" s="79">
        <v>250000</v>
      </c>
      <c r="W54" s="80">
        <v>1358874</v>
      </c>
    </row>
    <row r="55" spans="1:23" ht="15.6" x14ac:dyDescent="0.3">
      <c r="A55" s="158" t="s">
        <v>632</v>
      </c>
      <c r="B55" s="69">
        <v>28546866</v>
      </c>
      <c r="C55" s="69" t="s">
        <v>633</v>
      </c>
      <c r="D55" s="69">
        <v>0</v>
      </c>
      <c r="E55" s="70" t="s">
        <v>472</v>
      </c>
      <c r="F55" s="67" t="s">
        <v>1643</v>
      </c>
      <c r="G55" s="71">
        <v>37895</v>
      </c>
      <c r="H55" s="72">
        <v>45222</v>
      </c>
      <c r="I55" s="133">
        <v>175564.59</v>
      </c>
      <c r="J55" s="134">
        <v>25098.42</v>
      </c>
      <c r="K55" s="123" t="s">
        <v>1471</v>
      </c>
      <c r="L55" s="74">
        <v>1.12E-2</v>
      </c>
      <c r="M55" s="75">
        <v>16884</v>
      </c>
      <c r="N55" s="76">
        <v>14</v>
      </c>
      <c r="O55" s="76"/>
      <c r="P55" s="76"/>
      <c r="Q55" s="76"/>
      <c r="R55" s="67" t="s">
        <v>1514</v>
      </c>
      <c r="S55" s="68">
        <v>800113672</v>
      </c>
      <c r="T55" s="77"/>
      <c r="U55" s="78"/>
      <c r="V55" s="79">
        <v>250000</v>
      </c>
      <c r="W55" s="80">
        <v>378929</v>
      </c>
    </row>
    <row r="56" spans="1:23" ht="15.6" x14ac:dyDescent="0.3">
      <c r="A56" s="158" t="s">
        <v>636</v>
      </c>
      <c r="B56" s="69">
        <v>14204748</v>
      </c>
      <c r="C56" s="69" t="s">
        <v>637</v>
      </c>
      <c r="D56" s="69">
        <v>0</v>
      </c>
      <c r="E56" s="70" t="s">
        <v>472</v>
      </c>
      <c r="F56" s="67" t="s">
        <v>1643</v>
      </c>
      <c r="G56" s="71">
        <v>38991</v>
      </c>
      <c r="H56" s="72">
        <v>45222</v>
      </c>
      <c r="I56" s="133">
        <v>214363.72</v>
      </c>
      <c r="J56" s="134">
        <v>30645.07</v>
      </c>
      <c r="K56" s="123" t="s">
        <v>1477</v>
      </c>
      <c r="L56" s="74">
        <v>3.3700000000000001E-2</v>
      </c>
      <c r="M56" s="75">
        <v>62299</v>
      </c>
      <c r="N56" s="76">
        <v>14</v>
      </c>
      <c r="O56" s="76"/>
      <c r="P56" s="76"/>
      <c r="Q56" s="76"/>
      <c r="R56" s="67" t="s">
        <v>1514</v>
      </c>
      <c r="S56" s="68">
        <v>800113672</v>
      </c>
      <c r="T56" s="77"/>
      <c r="U56" s="78"/>
      <c r="V56" s="79">
        <v>250000</v>
      </c>
      <c r="W56" s="80">
        <v>153766</v>
      </c>
    </row>
    <row r="57" spans="1:23" ht="15.6" x14ac:dyDescent="0.3">
      <c r="A57" s="158" t="s">
        <v>638</v>
      </c>
      <c r="B57" s="69">
        <v>5986404</v>
      </c>
      <c r="C57" s="69" t="s">
        <v>639</v>
      </c>
      <c r="D57" s="69">
        <v>0</v>
      </c>
      <c r="E57" s="70" t="s">
        <v>472</v>
      </c>
      <c r="F57" s="67" t="s">
        <v>1643</v>
      </c>
      <c r="G57" s="71">
        <v>39417</v>
      </c>
      <c r="H57" s="72">
        <v>45222</v>
      </c>
      <c r="I57" s="133">
        <v>1958569.48</v>
      </c>
      <c r="J57" s="134">
        <v>279993.76</v>
      </c>
      <c r="K57" s="123" t="s">
        <v>1488</v>
      </c>
      <c r="L57" s="74">
        <v>7.7100000000000002E-2</v>
      </c>
      <c r="M57" s="75">
        <v>256451</v>
      </c>
      <c r="N57" s="76">
        <v>13</v>
      </c>
      <c r="O57" s="76"/>
      <c r="P57" s="76"/>
      <c r="Q57" s="76"/>
      <c r="R57" s="67" t="s">
        <v>1514</v>
      </c>
      <c r="S57" s="68">
        <v>800113672</v>
      </c>
      <c r="T57" s="77"/>
      <c r="U57" s="78"/>
      <c r="V57" s="79">
        <v>250000</v>
      </c>
      <c r="W57" s="80">
        <v>614078</v>
      </c>
    </row>
    <row r="58" spans="1:23" ht="15.6" x14ac:dyDescent="0.3">
      <c r="A58" s="158" t="s">
        <v>640</v>
      </c>
      <c r="B58" s="69">
        <v>14212911</v>
      </c>
      <c r="C58" s="69" t="s">
        <v>641</v>
      </c>
      <c r="D58" s="69">
        <v>0</v>
      </c>
      <c r="E58" s="70" t="s">
        <v>19</v>
      </c>
      <c r="F58" s="67" t="s">
        <v>1643</v>
      </c>
      <c r="G58" s="71">
        <v>39783</v>
      </c>
      <c r="H58" s="72">
        <v>45222</v>
      </c>
      <c r="I58" s="133">
        <v>2870691.22</v>
      </c>
      <c r="J58" s="134">
        <v>410389.14</v>
      </c>
      <c r="K58" s="123" t="s">
        <v>1477</v>
      </c>
      <c r="L58" s="74">
        <v>0.12970000000000001</v>
      </c>
      <c r="M58" s="75">
        <v>239382</v>
      </c>
      <c r="N58" s="76">
        <v>13</v>
      </c>
      <c r="O58" s="76"/>
      <c r="P58" s="76"/>
      <c r="Q58" s="76"/>
      <c r="R58" s="67" t="s">
        <v>1514</v>
      </c>
      <c r="S58" s="68">
        <v>800113672</v>
      </c>
      <c r="T58" s="77"/>
      <c r="U58" s="78"/>
      <c r="V58" s="79">
        <v>250000</v>
      </c>
      <c r="W58" s="80">
        <v>535039</v>
      </c>
    </row>
    <row r="59" spans="1:23" ht="15.6" x14ac:dyDescent="0.3">
      <c r="A59" s="158" t="s">
        <v>642</v>
      </c>
      <c r="B59" s="146">
        <v>32412374</v>
      </c>
      <c r="C59" s="69" t="s">
        <v>643</v>
      </c>
      <c r="D59" s="69">
        <v>0</v>
      </c>
      <c r="E59" s="70" t="s">
        <v>472</v>
      </c>
      <c r="F59" s="67" t="s">
        <v>1643</v>
      </c>
      <c r="G59" s="71">
        <v>34700</v>
      </c>
      <c r="H59" s="72">
        <v>45222</v>
      </c>
      <c r="I59" s="133">
        <v>92137.31</v>
      </c>
      <c r="J59" s="134">
        <v>13171.8</v>
      </c>
      <c r="K59" s="123" t="s">
        <v>1472</v>
      </c>
      <c r="L59" s="74">
        <v>6.1100000000000002E-2</v>
      </c>
      <c r="M59" s="85"/>
      <c r="N59" s="76">
        <v>14</v>
      </c>
      <c r="O59" s="76"/>
      <c r="P59" s="76"/>
      <c r="Q59" s="76"/>
      <c r="R59" s="67" t="s">
        <v>1515</v>
      </c>
      <c r="S59" s="68">
        <v>800114312</v>
      </c>
      <c r="T59" s="77"/>
      <c r="U59" s="78"/>
      <c r="V59" s="79">
        <v>250000</v>
      </c>
      <c r="W59" s="80">
        <v>36453</v>
      </c>
    </row>
    <row r="60" spans="1:23" ht="15.6" x14ac:dyDescent="0.3">
      <c r="A60" s="158" t="s">
        <v>646</v>
      </c>
      <c r="B60" s="69">
        <v>24293978</v>
      </c>
      <c r="C60" s="69" t="s">
        <v>647</v>
      </c>
      <c r="D60" s="69">
        <v>0</v>
      </c>
      <c r="E60" s="70" t="s">
        <v>19</v>
      </c>
      <c r="F60" s="67" t="s">
        <v>1643</v>
      </c>
      <c r="G60" s="71">
        <v>34700</v>
      </c>
      <c r="H60" s="72">
        <v>45222</v>
      </c>
      <c r="I60" s="133">
        <v>1180449.23</v>
      </c>
      <c r="J60" s="134">
        <v>168755.02</v>
      </c>
      <c r="K60" s="123" t="s">
        <v>1471</v>
      </c>
      <c r="L60" s="74">
        <v>7.9299999999999995E-2</v>
      </c>
      <c r="M60" s="75">
        <v>92743</v>
      </c>
      <c r="N60" s="76">
        <v>14</v>
      </c>
      <c r="O60" s="76"/>
      <c r="P60" s="76"/>
      <c r="Q60" s="76"/>
      <c r="R60" s="67" t="s">
        <v>1517</v>
      </c>
      <c r="S60" s="68">
        <v>800130465</v>
      </c>
      <c r="T60" s="77"/>
      <c r="U60" s="78"/>
      <c r="V60" s="79">
        <v>250000</v>
      </c>
      <c r="W60" s="80">
        <v>359843</v>
      </c>
    </row>
    <row r="61" spans="1:23" ht="15.6" x14ac:dyDescent="0.3">
      <c r="A61" s="158" t="s">
        <v>650</v>
      </c>
      <c r="B61" s="69">
        <v>32492112</v>
      </c>
      <c r="C61" s="69" t="s">
        <v>651</v>
      </c>
      <c r="D61" s="69">
        <v>0</v>
      </c>
      <c r="E61" s="70" t="s">
        <v>472</v>
      </c>
      <c r="F61" s="67" t="s">
        <v>1643</v>
      </c>
      <c r="G61" s="71">
        <v>39416</v>
      </c>
      <c r="H61" s="72">
        <v>45222</v>
      </c>
      <c r="I61" s="133">
        <v>407919.76</v>
      </c>
      <c r="J61" s="134">
        <v>58315.519999999997</v>
      </c>
      <c r="K61" s="123" t="s">
        <v>1472</v>
      </c>
      <c r="L61" s="74">
        <v>3.2300000000000002E-2</v>
      </c>
      <c r="M61" s="75">
        <v>59768</v>
      </c>
      <c r="N61" s="76">
        <v>13</v>
      </c>
      <c r="O61" s="76"/>
      <c r="P61" s="76"/>
      <c r="Q61" s="76"/>
      <c r="R61" s="67" t="s">
        <v>1519</v>
      </c>
      <c r="S61" s="68">
        <v>800155633</v>
      </c>
      <c r="T61" s="77"/>
      <c r="U61" s="78"/>
      <c r="V61" s="79">
        <v>250000</v>
      </c>
      <c r="W61" s="80">
        <v>305289</v>
      </c>
    </row>
    <row r="62" spans="1:23" ht="15.6" x14ac:dyDescent="0.3">
      <c r="A62" s="158" t="s">
        <v>654</v>
      </c>
      <c r="B62" s="69">
        <v>33128453</v>
      </c>
      <c r="C62" s="69" t="s">
        <v>655</v>
      </c>
      <c r="D62" s="69">
        <v>0</v>
      </c>
      <c r="E62" s="70" t="s">
        <v>472</v>
      </c>
      <c r="F62" s="67" t="s">
        <v>1643</v>
      </c>
      <c r="G62" s="71">
        <v>38275</v>
      </c>
      <c r="H62" s="72">
        <v>45222</v>
      </c>
      <c r="I62" s="133">
        <v>1849694.82</v>
      </c>
      <c r="J62" s="134">
        <v>264429.23</v>
      </c>
      <c r="K62" s="123" t="s">
        <v>1490</v>
      </c>
      <c r="L62" s="74">
        <v>4.1200000000000001E-2</v>
      </c>
      <c r="M62" s="75">
        <v>18714</v>
      </c>
      <c r="N62" s="76">
        <v>14</v>
      </c>
      <c r="O62" s="76"/>
      <c r="P62" s="76"/>
      <c r="Q62" s="76"/>
      <c r="R62" s="67" t="s">
        <v>1521</v>
      </c>
      <c r="S62" s="68">
        <v>800231235</v>
      </c>
      <c r="T62" s="77"/>
      <c r="U62" s="78"/>
      <c r="V62" s="79">
        <v>250000</v>
      </c>
      <c r="W62" s="80">
        <v>1085280</v>
      </c>
    </row>
    <row r="63" spans="1:23" ht="15.6" x14ac:dyDescent="0.3">
      <c r="A63" s="158" t="s">
        <v>656</v>
      </c>
      <c r="B63" s="69">
        <v>34523687</v>
      </c>
      <c r="C63" s="69" t="s">
        <v>657</v>
      </c>
      <c r="D63" s="69">
        <v>0</v>
      </c>
      <c r="E63" s="70" t="s">
        <v>472</v>
      </c>
      <c r="F63" s="67" t="s">
        <v>1643</v>
      </c>
      <c r="G63" s="71">
        <v>39539</v>
      </c>
      <c r="H63" s="72">
        <v>45222</v>
      </c>
      <c r="I63" s="133">
        <v>1698991.08</v>
      </c>
      <c r="J63" s="134">
        <v>242884.88</v>
      </c>
      <c r="K63" s="123" t="s">
        <v>1491</v>
      </c>
      <c r="L63" s="74">
        <v>6.4500000000000002E-2</v>
      </c>
      <c r="M63" s="75">
        <v>120659</v>
      </c>
      <c r="N63" s="76">
        <v>13</v>
      </c>
      <c r="O63" s="76"/>
      <c r="P63" s="76"/>
      <c r="Q63" s="76"/>
      <c r="R63" s="67" t="s">
        <v>1521</v>
      </c>
      <c r="S63" s="68">
        <v>800231235</v>
      </c>
      <c r="T63" s="77"/>
      <c r="U63" s="78"/>
      <c r="V63" s="79">
        <v>250000</v>
      </c>
      <c r="W63" s="80">
        <v>636752</v>
      </c>
    </row>
    <row r="64" spans="1:23" ht="15.6" x14ac:dyDescent="0.3">
      <c r="A64" s="158" t="s">
        <v>658</v>
      </c>
      <c r="B64" s="69">
        <v>12529246</v>
      </c>
      <c r="C64" s="69" t="s">
        <v>659</v>
      </c>
      <c r="D64" s="69">
        <v>0</v>
      </c>
      <c r="E64" s="70" t="s">
        <v>19</v>
      </c>
      <c r="F64" s="67" t="s">
        <v>1643</v>
      </c>
      <c r="G64" s="71">
        <v>39030</v>
      </c>
      <c r="H64" s="72">
        <v>45222</v>
      </c>
      <c r="I64" s="133">
        <v>557105</v>
      </c>
      <c r="J64" s="134">
        <v>79642.78</v>
      </c>
      <c r="K64" s="123" t="s">
        <v>1475</v>
      </c>
      <c r="L64" s="74">
        <v>8.7900000000000006E-2</v>
      </c>
      <c r="M64" s="75">
        <v>142073</v>
      </c>
      <c r="N64" s="76">
        <v>14</v>
      </c>
      <c r="O64" s="76"/>
      <c r="P64" s="76"/>
      <c r="Q64" s="76"/>
      <c r="R64" s="67" t="s">
        <v>1522</v>
      </c>
      <c r="S64" s="68">
        <v>802007670</v>
      </c>
      <c r="T64" s="77">
        <v>36543428</v>
      </c>
      <c r="U64" s="78" t="s">
        <v>1673</v>
      </c>
      <c r="V64" s="79">
        <v>250000</v>
      </c>
      <c r="W64" s="80">
        <v>153210</v>
      </c>
    </row>
    <row r="65" spans="1:23" ht="15.6" x14ac:dyDescent="0.3">
      <c r="A65" s="158" t="s">
        <v>660</v>
      </c>
      <c r="B65" s="69">
        <v>28545359</v>
      </c>
      <c r="C65" s="69" t="s">
        <v>661</v>
      </c>
      <c r="D65" s="69">
        <v>0</v>
      </c>
      <c r="E65" s="70" t="s">
        <v>19</v>
      </c>
      <c r="F65" s="67" t="s">
        <v>1643</v>
      </c>
      <c r="G65" s="71">
        <v>35657</v>
      </c>
      <c r="H65" s="72">
        <v>45222</v>
      </c>
      <c r="I65" s="133">
        <v>1075400.47</v>
      </c>
      <c r="J65" s="134">
        <v>153737.42000000001</v>
      </c>
      <c r="K65" s="123" t="s">
        <v>1477</v>
      </c>
      <c r="L65" s="74">
        <v>2.47E-2</v>
      </c>
      <c r="M65" s="75">
        <v>28391</v>
      </c>
      <c r="N65" s="76">
        <v>14</v>
      </c>
      <c r="O65" s="76"/>
      <c r="P65" s="76"/>
      <c r="Q65" s="76"/>
      <c r="R65" s="67" t="s">
        <v>1523</v>
      </c>
      <c r="S65" s="68">
        <v>809005065</v>
      </c>
      <c r="T65" s="77"/>
      <c r="U65" s="78"/>
      <c r="V65" s="79">
        <v>250000</v>
      </c>
      <c r="W65" s="80">
        <v>1052476</v>
      </c>
    </row>
    <row r="66" spans="1:23" ht="15.6" x14ac:dyDescent="0.3">
      <c r="A66" s="158" t="s">
        <v>1820</v>
      </c>
      <c r="B66" s="69">
        <v>37815104</v>
      </c>
      <c r="C66" s="69" t="s">
        <v>663</v>
      </c>
      <c r="D66" s="69">
        <v>0</v>
      </c>
      <c r="E66" s="70" t="s">
        <v>19</v>
      </c>
      <c r="F66" s="67" t="s">
        <v>1643</v>
      </c>
      <c r="G66" s="71">
        <v>39539</v>
      </c>
      <c r="H66" s="72">
        <v>45222</v>
      </c>
      <c r="I66" s="133">
        <v>2819607.33</v>
      </c>
      <c r="J66" s="134">
        <v>403086.27</v>
      </c>
      <c r="K66" s="123" t="s">
        <v>20</v>
      </c>
      <c r="L66" s="74">
        <v>0.1545</v>
      </c>
      <c r="M66" s="75">
        <v>178855</v>
      </c>
      <c r="N66" s="76">
        <v>13</v>
      </c>
      <c r="O66" s="76"/>
      <c r="P66" s="76"/>
      <c r="Q66" s="76"/>
      <c r="R66" s="67" t="s">
        <v>1524</v>
      </c>
      <c r="S66" s="68">
        <v>814002561</v>
      </c>
      <c r="T66" s="77"/>
      <c r="U66" s="78"/>
      <c r="V66" s="79">
        <v>250000</v>
      </c>
      <c r="W66" s="80">
        <v>441163</v>
      </c>
    </row>
    <row r="67" spans="1:23" ht="15.6" x14ac:dyDescent="0.3">
      <c r="A67" s="158" t="s">
        <v>666</v>
      </c>
      <c r="B67" s="69">
        <v>19189897</v>
      </c>
      <c r="C67" s="69" t="s">
        <v>667</v>
      </c>
      <c r="D67" s="69">
        <v>0</v>
      </c>
      <c r="E67" s="70" t="s">
        <v>472</v>
      </c>
      <c r="F67" s="67" t="s">
        <v>1643</v>
      </c>
      <c r="G67" s="71">
        <v>39479</v>
      </c>
      <c r="H67" s="72">
        <v>45222</v>
      </c>
      <c r="I67" s="133">
        <v>1413690.3</v>
      </c>
      <c r="J67" s="134">
        <v>202098.76</v>
      </c>
      <c r="K67" s="123" t="s">
        <v>1483</v>
      </c>
      <c r="L67" s="74">
        <v>0.13120000000000001</v>
      </c>
      <c r="M67" s="75">
        <v>259027</v>
      </c>
      <c r="N67" s="76">
        <v>13</v>
      </c>
      <c r="O67" s="76"/>
      <c r="P67" s="76"/>
      <c r="Q67" s="76"/>
      <c r="R67" s="67" t="s">
        <v>1526</v>
      </c>
      <c r="S67" s="68">
        <v>845000021</v>
      </c>
      <c r="T67" s="77"/>
      <c r="U67" s="78"/>
      <c r="V67" s="79">
        <v>250000</v>
      </c>
      <c r="W67" s="80">
        <v>260471</v>
      </c>
    </row>
    <row r="68" spans="1:23" ht="15.6" x14ac:dyDescent="0.3">
      <c r="A68" s="158" t="s">
        <v>668</v>
      </c>
      <c r="B68" s="69">
        <v>26412914</v>
      </c>
      <c r="C68" s="69" t="s">
        <v>669</v>
      </c>
      <c r="D68" s="69">
        <v>0</v>
      </c>
      <c r="E68" s="70" t="s">
        <v>19</v>
      </c>
      <c r="F68" s="67" t="s">
        <v>1643</v>
      </c>
      <c r="G68" s="71">
        <v>33178</v>
      </c>
      <c r="H68" s="72">
        <v>45222</v>
      </c>
      <c r="I68" s="133">
        <v>1243159.6399999999</v>
      </c>
      <c r="J68" s="134">
        <v>177719.99</v>
      </c>
      <c r="K68" s="123" t="s">
        <v>1471</v>
      </c>
      <c r="L68" s="74">
        <v>3.4000000000000002E-2</v>
      </c>
      <c r="M68" s="75">
        <v>5649</v>
      </c>
      <c r="N68" s="76">
        <v>14</v>
      </c>
      <c r="O68" s="76"/>
      <c r="P68" s="76"/>
      <c r="Q68" s="76"/>
      <c r="R68" s="67" t="s">
        <v>1527</v>
      </c>
      <c r="S68" s="68">
        <v>860015929</v>
      </c>
      <c r="T68" s="77"/>
      <c r="U68" s="78"/>
      <c r="V68" s="79">
        <v>250000</v>
      </c>
      <c r="W68" s="80">
        <v>883867</v>
      </c>
    </row>
    <row r="69" spans="1:23" ht="16.2" thickBot="1" x14ac:dyDescent="0.35">
      <c r="A69" s="158" t="s">
        <v>783</v>
      </c>
      <c r="B69" s="147">
        <v>7515893</v>
      </c>
      <c r="C69" s="69" t="s">
        <v>784</v>
      </c>
      <c r="D69" s="69">
        <v>0</v>
      </c>
      <c r="E69" s="91" t="s">
        <v>19</v>
      </c>
      <c r="F69" s="67" t="s">
        <v>1643</v>
      </c>
      <c r="G69" s="71">
        <v>39434</v>
      </c>
      <c r="H69" s="72">
        <v>40908</v>
      </c>
      <c r="I69" s="133">
        <v>20766032.710000001</v>
      </c>
      <c r="J69" s="134">
        <v>2968676.74</v>
      </c>
      <c r="K69" s="125"/>
      <c r="L69" s="74">
        <v>0.36840000000000001</v>
      </c>
      <c r="M69" s="100">
        <v>641879</v>
      </c>
      <c r="N69" s="76">
        <v>13</v>
      </c>
      <c r="O69" s="76"/>
      <c r="P69" s="76"/>
      <c r="Q69" s="76"/>
      <c r="R69" s="67" t="s">
        <v>1529</v>
      </c>
      <c r="S69" s="102">
        <v>890000432</v>
      </c>
      <c r="T69" s="77"/>
      <c r="U69" s="78"/>
      <c r="V69" s="79">
        <v>250000</v>
      </c>
      <c r="W69" s="80">
        <v>1362614</v>
      </c>
    </row>
    <row r="70" spans="1:23" ht="15.6" x14ac:dyDescent="0.3">
      <c r="A70" s="158" t="s">
        <v>787</v>
      </c>
      <c r="B70" s="69">
        <v>7513206</v>
      </c>
      <c r="C70" s="69" t="s">
        <v>788</v>
      </c>
      <c r="D70" s="69">
        <v>0</v>
      </c>
      <c r="E70" s="70" t="s">
        <v>19</v>
      </c>
      <c r="F70" s="67" t="s">
        <v>1643</v>
      </c>
      <c r="G70" s="71">
        <v>39326</v>
      </c>
      <c r="H70" s="72">
        <v>40908</v>
      </c>
      <c r="I70" s="133">
        <v>28498510.140000001</v>
      </c>
      <c r="J70" s="134">
        <v>4074098.57</v>
      </c>
      <c r="K70" s="125"/>
      <c r="L70" s="74">
        <v>0.49030000000000001</v>
      </c>
      <c r="M70" s="75">
        <v>570197</v>
      </c>
      <c r="N70" s="76">
        <v>14</v>
      </c>
      <c r="O70" s="76"/>
      <c r="P70" s="76"/>
      <c r="Q70" s="76"/>
      <c r="R70" s="67" t="s">
        <v>1530</v>
      </c>
      <c r="S70" s="68">
        <v>890000439</v>
      </c>
      <c r="T70" s="77"/>
      <c r="U70" s="78"/>
      <c r="V70" s="79">
        <v>250000</v>
      </c>
      <c r="W70" s="80">
        <v>1405074</v>
      </c>
    </row>
    <row r="71" spans="1:23" ht="15.6" x14ac:dyDescent="0.3">
      <c r="A71" s="158" t="s">
        <v>1832</v>
      </c>
      <c r="B71" s="69">
        <v>7507931</v>
      </c>
      <c r="C71" s="69" t="s">
        <v>790</v>
      </c>
      <c r="D71" s="69">
        <v>0</v>
      </c>
      <c r="E71" s="70" t="s">
        <v>472</v>
      </c>
      <c r="F71" s="67" t="s">
        <v>1643</v>
      </c>
      <c r="G71" s="71">
        <v>38853</v>
      </c>
      <c r="H71" s="72">
        <v>40908</v>
      </c>
      <c r="I71" s="133">
        <v>2427433.31</v>
      </c>
      <c r="J71" s="134">
        <v>347021.74</v>
      </c>
      <c r="K71" s="125"/>
      <c r="L71" s="74">
        <v>7.4499999999999997E-2</v>
      </c>
      <c r="M71" s="75">
        <v>139492</v>
      </c>
      <c r="N71" s="76">
        <v>14</v>
      </c>
      <c r="O71" s="76"/>
      <c r="P71" s="76"/>
      <c r="Q71" s="76"/>
      <c r="R71" s="67" t="s">
        <v>1531</v>
      </c>
      <c r="S71" s="68">
        <v>890000441</v>
      </c>
      <c r="T71" s="77">
        <v>24486333</v>
      </c>
      <c r="U71" s="78" t="s">
        <v>1689</v>
      </c>
      <c r="V71" s="79">
        <v>250000</v>
      </c>
      <c r="W71" s="80">
        <v>787644</v>
      </c>
    </row>
    <row r="72" spans="1:23" ht="15.6" x14ac:dyDescent="0.3">
      <c r="A72" s="158" t="s">
        <v>791</v>
      </c>
      <c r="B72" s="69">
        <v>24474871</v>
      </c>
      <c r="C72" s="69" t="s">
        <v>792</v>
      </c>
      <c r="D72" s="69">
        <v>0</v>
      </c>
      <c r="E72" s="70" t="s">
        <v>472</v>
      </c>
      <c r="F72" s="67" t="s">
        <v>1643</v>
      </c>
      <c r="G72" s="71">
        <v>36465</v>
      </c>
      <c r="H72" s="72">
        <v>40908</v>
      </c>
      <c r="I72" s="133">
        <v>7699545.5</v>
      </c>
      <c r="J72" s="134">
        <v>1100713.94</v>
      </c>
      <c r="K72" s="125"/>
      <c r="L72" s="74">
        <v>0.21340000000000001</v>
      </c>
      <c r="M72" s="75">
        <v>219279</v>
      </c>
      <c r="N72" s="76">
        <v>14</v>
      </c>
      <c r="O72" s="76"/>
      <c r="P72" s="76"/>
      <c r="Q72" s="76"/>
      <c r="R72" s="67" t="s">
        <v>1532</v>
      </c>
      <c r="S72" s="68">
        <v>890000464</v>
      </c>
      <c r="T72" s="77"/>
      <c r="U72" s="78"/>
      <c r="V72" s="79">
        <v>250000</v>
      </c>
      <c r="W72" s="80">
        <v>872187</v>
      </c>
    </row>
    <row r="73" spans="1:23" ht="15.6" x14ac:dyDescent="0.3">
      <c r="A73" s="158" t="s">
        <v>684</v>
      </c>
      <c r="B73" s="69">
        <v>144109</v>
      </c>
      <c r="C73" s="69" t="s">
        <v>685</v>
      </c>
      <c r="D73" s="69">
        <v>0</v>
      </c>
      <c r="E73" s="70" t="s">
        <v>19</v>
      </c>
      <c r="F73" s="67" t="s">
        <v>1643</v>
      </c>
      <c r="G73" s="71">
        <v>30162</v>
      </c>
      <c r="H73" s="72"/>
      <c r="I73" s="133">
        <v>3795939.97</v>
      </c>
      <c r="J73" s="134">
        <v>542661.13</v>
      </c>
      <c r="K73" s="125"/>
      <c r="L73" s="74">
        <v>6.3200000000000006E-2</v>
      </c>
      <c r="M73" s="85"/>
      <c r="N73" s="76">
        <v>14</v>
      </c>
      <c r="O73" s="76"/>
      <c r="P73" s="76"/>
      <c r="Q73" s="76"/>
      <c r="R73" s="67" t="s">
        <v>1534</v>
      </c>
      <c r="S73" s="101">
        <v>890001127</v>
      </c>
      <c r="T73" s="77">
        <v>20128658</v>
      </c>
      <c r="U73" s="78" t="s">
        <v>1680</v>
      </c>
      <c r="V73" s="79">
        <v>250000</v>
      </c>
      <c r="W73" s="80">
        <v>1451915</v>
      </c>
    </row>
    <row r="74" spans="1:23" ht="15.6" x14ac:dyDescent="0.3">
      <c r="A74" s="158" t="s">
        <v>797</v>
      </c>
      <c r="B74" s="69">
        <v>8247415</v>
      </c>
      <c r="C74" s="69" t="s">
        <v>798</v>
      </c>
      <c r="D74" s="69">
        <v>0</v>
      </c>
      <c r="E74" s="70" t="s">
        <v>19</v>
      </c>
      <c r="F74" s="67" t="s">
        <v>1643</v>
      </c>
      <c r="G74" s="71">
        <v>35431</v>
      </c>
      <c r="H74" s="72"/>
      <c r="I74" s="133">
        <v>23359594.800000001</v>
      </c>
      <c r="J74" s="134">
        <v>3339447.97</v>
      </c>
      <c r="K74" s="125"/>
      <c r="L74" s="74">
        <v>0.39319999999999999</v>
      </c>
      <c r="M74" s="75">
        <v>207669</v>
      </c>
      <c r="N74" s="76">
        <v>14</v>
      </c>
      <c r="O74" s="76"/>
      <c r="P74" s="76"/>
      <c r="Q74" s="76"/>
      <c r="R74" s="67" t="s">
        <v>1535</v>
      </c>
      <c r="S74" s="68">
        <v>890001639</v>
      </c>
      <c r="T74" s="77">
        <v>24483684</v>
      </c>
      <c r="U74" s="78" t="s">
        <v>1690</v>
      </c>
      <c r="V74" s="79">
        <v>250000</v>
      </c>
      <c r="W74" s="80">
        <v>1436120</v>
      </c>
    </row>
    <row r="75" spans="1:23" ht="15.6" x14ac:dyDescent="0.3">
      <c r="A75" s="158" t="s">
        <v>522</v>
      </c>
      <c r="B75" s="69">
        <v>1753208</v>
      </c>
      <c r="C75" s="69" t="s">
        <v>523</v>
      </c>
      <c r="D75" s="69">
        <v>0</v>
      </c>
      <c r="E75" s="70" t="s">
        <v>21</v>
      </c>
      <c r="F75" s="67" t="s">
        <v>1643</v>
      </c>
      <c r="G75" s="71">
        <v>27576</v>
      </c>
      <c r="H75" s="72"/>
      <c r="I75" s="133">
        <v>12201934.68</v>
      </c>
      <c r="J75" s="134">
        <v>1744367.84</v>
      </c>
      <c r="K75" s="125"/>
      <c r="L75" s="74">
        <v>0.24360000000000001</v>
      </c>
      <c r="M75" s="75">
        <v>1372</v>
      </c>
      <c r="N75" s="76">
        <v>14</v>
      </c>
      <c r="O75" s="76"/>
      <c r="P75" s="76"/>
      <c r="Q75" s="76"/>
      <c r="R75" s="67" t="s">
        <v>46</v>
      </c>
      <c r="S75" s="68">
        <v>890102006</v>
      </c>
      <c r="T75" s="77">
        <v>32674991</v>
      </c>
      <c r="U75" s="78" t="s">
        <v>1658</v>
      </c>
      <c r="V75" s="79">
        <v>250000</v>
      </c>
      <c r="W75" s="80">
        <v>1210850</v>
      </c>
    </row>
    <row r="76" spans="1:23" ht="15.6" x14ac:dyDescent="0.3">
      <c r="A76" s="158" t="s">
        <v>802</v>
      </c>
      <c r="B76" s="69">
        <v>22295163</v>
      </c>
      <c r="C76" s="69" t="s">
        <v>803</v>
      </c>
      <c r="D76" s="69">
        <v>0</v>
      </c>
      <c r="E76" s="70" t="s">
        <v>19</v>
      </c>
      <c r="F76" s="67" t="s">
        <v>1643</v>
      </c>
      <c r="G76" s="71">
        <v>30057</v>
      </c>
      <c r="H76" s="72"/>
      <c r="I76" s="133">
        <v>23707966.039999999</v>
      </c>
      <c r="J76" s="134">
        <v>3389250.53</v>
      </c>
      <c r="K76" s="125"/>
      <c r="L76" s="74">
        <v>0.5423</v>
      </c>
      <c r="M76" s="75">
        <v>408381</v>
      </c>
      <c r="N76" s="76">
        <v>14</v>
      </c>
      <c r="O76" s="76"/>
      <c r="P76" s="76"/>
      <c r="Q76" s="76"/>
      <c r="R76" s="67" t="s">
        <v>46</v>
      </c>
      <c r="S76" s="68">
        <v>890102006</v>
      </c>
      <c r="T76" s="77"/>
      <c r="U76" s="78"/>
      <c r="V76" s="79">
        <v>250000</v>
      </c>
      <c r="W76" s="80">
        <v>1056802</v>
      </c>
    </row>
    <row r="77" spans="1:23" ht="15.6" x14ac:dyDescent="0.3">
      <c r="A77" s="158" t="s">
        <v>1833</v>
      </c>
      <c r="B77" s="69">
        <v>22267722</v>
      </c>
      <c r="C77" s="69" t="s">
        <v>805</v>
      </c>
      <c r="D77" s="69">
        <v>0</v>
      </c>
      <c r="E77" s="70" t="s">
        <v>19</v>
      </c>
      <c r="F77" s="67" t="s">
        <v>1643</v>
      </c>
      <c r="G77" s="71">
        <v>30895</v>
      </c>
      <c r="H77" s="72">
        <v>44754</v>
      </c>
      <c r="I77" s="133">
        <v>14023455.689999999</v>
      </c>
      <c r="J77" s="134">
        <v>2004769.39</v>
      </c>
      <c r="K77" s="125"/>
      <c r="L77" s="74">
        <v>9.2899999999999996E-2</v>
      </c>
      <c r="M77" s="75">
        <v>166441</v>
      </c>
      <c r="N77" s="76">
        <v>14</v>
      </c>
      <c r="O77" s="76"/>
      <c r="P77" s="76"/>
      <c r="Q77" s="76"/>
      <c r="R77" s="67" t="s">
        <v>46</v>
      </c>
      <c r="S77" s="68">
        <v>890102006</v>
      </c>
      <c r="T77" s="77"/>
      <c r="U77" s="78"/>
      <c r="V77" s="79">
        <v>250000</v>
      </c>
      <c r="W77" s="80">
        <v>3649037</v>
      </c>
    </row>
    <row r="78" spans="1:23" ht="15.6" x14ac:dyDescent="0.3">
      <c r="A78" s="158" t="s">
        <v>806</v>
      </c>
      <c r="B78" s="69">
        <v>3755040</v>
      </c>
      <c r="C78" s="69" t="s">
        <v>807</v>
      </c>
      <c r="D78" s="69">
        <v>0</v>
      </c>
      <c r="E78" s="70" t="s">
        <v>19</v>
      </c>
      <c r="F78" s="67" t="s">
        <v>1643</v>
      </c>
      <c r="G78" s="71">
        <v>28871</v>
      </c>
      <c r="H78" s="72">
        <v>44754</v>
      </c>
      <c r="I78" s="133">
        <v>55105615.490000002</v>
      </c>
      <c r="J78" s="134">
        <v>7877805.1299999999</v>
      </c>
      <c r="K78" s="125"/>
      <c r="L78" s="74">
        <v>0.71189999999999998</v>
      </c>
      <c r="M78" s="85"/>
      <c r="N78" s="76">
        <v>14</v>
      </c>
      <c r="O78" s="76"/>
      <c r="P78" s="76"/>
      <c r="Q78" s="76"/>
      <c r="R78" s="67" t="s">
        <v>46</v>
      </c>
      <c r="S78" s="68">
        <v>890102006</v>
      </c>
      <c r="T78" s="77">
        <v>22362265</v>
      </c>
      <c r="U78" s="78" t="s">
        <v>1693</v>
      </c>
      <c r="V78" s="79">
        <v>250000</v>
      </c>
      <c r="W78" s="80">
        <v>1871181</v>
      </c>
    </row>
    <row r="79" spans="1:23" ht="15.6" x14ac:dyDescent="0.3">
      <c r="A79" s="158" t="s">
        <v>810</v>
      </c>
      <c r="B79" s="69">
        <v>22396055</v>
      </c>
      <c r="C79" s="69" t="s">
        <v>811</v>
      </c>
      <c r="D79" s="69">
        <v>0</v>
      </c>
      <c r="E79" s="70" t="s">
        <v>472</v>
      </c>
      <c r="F79" s="67" t="s">
        <v>1643</v>
      </c>
      <c r="G79" s="71">
        <v>37041</v>
      </c>
      <c r="H79" s="72">
        <v>44754</v>
      </c>
      <c r="I79" s="133">
        <v>11991081.18</v>
      </c>
      <c r="J79" s="134">
        <v>1714224.59</v>
      </c>
      <c r="K79" s="125"/>
      <c r="L79" s="74">
        <v>0.2</v>
      </c>
      <c r="M79" s="75">
        <v>99821</v>
      </c>
      <c r="N79" s="76">
        <v>14</v>
      </c>
      <c r="O79" s="76"/>
      <c r="P79" s="76"/>
      <c r="Q79" s="76"/>
      <c r="R79" s="67" t="s">
        <v>46</v>
      </c>
      <c r="S79" s="68">
        <v>890102006</v>
      </c>
      <c r="T79" s="77"/>
      <c r="U79" s="78"/>
      <c r="V79" s="79">
        <v>250000</v>
      </c>
      <c r="W79" s="80">
        <v>1449330</v>
      </c>
    </row>
    <row r="80" spans="1:23" ht="15.6" x14ac:dyDescent="0.3">
      <c r="A80" s="158" t="s">
        <v>1834</v>
      </c>
      <c r="B80" s="69">
        <v>22357453</v>
      </c>
      <c r="C80" s="69" t="s">
        <v>815</v>
      </c>
      <c r="D80" s="69">
        <v>0</v>
      </c>
      <c r="E80" s="70" t="s">
        <v>472</v>
      </c>
      <c r="F80" s="67" t="s">
        <v>1643</v>
      </c>
      <c r="G80" s="71">
        <v>35796</v>
      </c>
      <c r="H80" s="72"/>
      <c r="I80" s="133">
        <v>8231214.5899999999</v>
      </c>
      <c r="J80" s="134">
        <v>1176720.45</v>
      </c>
      <c r="K80" s="125"/>
      <c r="L80" s="74">
        <v>0.10829999999999999</v>
      </c>
      <c r="M80" s="75">
        <v>94806</v>
      </c>
      <c r="N80" s="76">
        <v>14</v>
      </c>
      <c r="O80" s="76"/>
      <c r="P80" s="76"/>
      <c r="Q80" s="76"/>
      <c r="R80" s="67" t="s">
        <v>1536</v>
      </c>
      <c r="S80" s="68">
        <v>890102009</v>
      </c>
      <c r="T80" s="77"/>
      <c r="U80" s="78"/>
      <c r="V80" s="79">
        <v>250000</v>
      </c>
      <c r="W80" s="80">
        <v>1837276</v>
      </c>
    </row>
    <row r="81" spans="1:23" ht="15.6" x14ac:dyDescent="0.3">
      <c r="A81" s="158" t="s">
        <v>1833</v>
      </c>
      <c r="B81" s="69">
        <v>22267722</v>
      </c>
      <c r="C81" s="69" t="s">
        <v>805</v>
      </c>
      <c r="D81" s="69">
        <v>0</v>
      </c>
      <c r="E81" s="70" t="s">
        <v>472</v>
      </c>
      <c r="F81" s="67" t="s">
        <v>1643</v>
      </c>
      <c r="G81" s="71">
        <v>30895</v>
      </c>
      <c r="H81" s="72">
        <v>43983</v>
      </c>
      <c r="I81" s="133">
        <v>14023455.689999999</v>
      </c>
      <c r="J81" s="134">
        <v>2004769.39</v>
      </c>
      <c r="K81" s="125"/>
      <c r="L81" s="74">
        <v>9.2899999999999996E-2</v>
      </c>
      <c r="M81" s="75">
        <v>220189</v>
      </c>
      <c r="N81" s="76">
        <v>14</v>
      </c>
      <c r="O81" s="76"/>
      <c r="P81" s="76"/>
      <c r="Q81" s="76"/>
      <c r="R81" s="67" t="s">
        <v>47</v>
      </c>
      <c r="S81" s="68">
        <v>890102018</v>
      </c>
      <c r="T81" s="77"/>
      <c r="U81" s="78"/>
      <c r="V81" s="79">
        <v>250000</v>
      </c>
      <c r="W81" s="80">
        <v>3649037</v>
      </c>
    </row>
    <row r="82" spans="1:23" ht="15.6" x14ac:dyDescent="0.3">
      <c r="A82" s="158" t="s">
        <v>810</v>
      </c>
      <c r="B82" s="69">
        <v>22396055</v>
      </c>
      <c r="C82" s="69" t="s">
        <v>811</v>
      </c>
      <c r="D82" s="69">
        <v>0</v>
      </c>
      <c r="E82" s="70" t="s">
        <v>818</v>
      </c>
      <c r="F82" s="67" t="s">
        <v>1643</v>
      </c>
      <c r="G82" s="71">
        <v>37041</v>
      </c>
      <c r="H82" s="72">
        <v>43983</v>
      </c>
      <c r="I82" s="133">
        <v>11991081.18</v>
      </c>
      <c r="J82" s="134">
        <v>1714224.59</v>
      </c>
      <c r="K82" s="125"/>
      <c r="L82" s="74">
        <v>0.2</v>
      </c>
      <c r="M82" s="75">
        <v>104812</v>
      </c>
      <c r="N82" s="76">
        <v>14</v>
      </c>
      <c r="O82" s="76"/>
      <c r="P82" s="76"/>
      <c r="Q82" s="76"/>
      <c r="R82" s="67" t="s">
        <v>47</v>
      </c>
      <c r="S82" s="68">
        <v>890102018</v>
      </c>
      <c r="T82" s="77"/>
      <c r="U82" s="78"/>
      <c r="V82" s="79">
        <v>250000</v>
      </c>
      <c r="W82" s="80">
        <v>1449330</v>
      </c>
    </row>
    <row r="83" spans="1:23" ht="15.6" x14ac:dyDescent="0.3">
      <c r="A83" s="158" t="s">
        <v>819</v>
      </c>
      <c r="B83" s="69">
        <v>22418117</v>
      </c>
      <c r="C83" s="69" t="s">
        <v>820</v>
      </c>
      <c r="D83" s="69">
        <v>0</v>
      </c>
      <c r="E83" s="70" t="s">
        <v>472</v>
      </c>
      <c r="F83" s="67" t="s">
        <v>1643</v>
      </c>
      <c r="G83" s="71">
        <v>39081</v>
      </c>
      <c r="H83" s="72">
        <v>43983</v>
      </c>
      <c r="I83" s="133">
        <v>11120826.560000001</v>
      </c>
      <c r="J83" s="134">
        <v>1589814.46</v>
      </c>
      <c r="K83" s="125"/>
      <c r="L83" s="74">
        <v>0.35170000000000001</v>
      </c>
      <c r="M83" s="75">
        <v>309701</v>
      </c>
      <c r="N83" s="76">
        <v>14</v>
      </c>
      <c r="O83" s="76"/>
      <c r="P83" s="76"/>
      <c r="Q83" s="76"/>
      <c r="R83" s="67" t="s">
        <v>47</v>
      </c>
      <c r="S83" s="68">
        <v>890102018</v>
      </c>
      <c r="T83" s="77"/>
      <c r="U83" s="78"/>
      <c r="V83" s="79">
        <v>250000</v>
      </c>
      <c r="W83" s="80">
        <v>764370</v>
      </c>
    </row>
    <row r="84" spans="1:23" ht="15.6" x14ac:dyDescent="0.3">
      <c r="A84" s="158" t="s">
        <v>823</v>
      </c>
      <c r="B84" s="69">
        <v>14870242</v>
      </c>
      <c r="C84" s="69" t="s">
        <v>824</v>
      </c>
      <c r="D84" s="69">
        <v>0</v>
      </c>
      <c r="E84" s="70" t="s">
        <v>751</v>
      </c>
      <c r="F84" s="67" t="s">
        <v>1643</v>
      </c>
      <c r="G84" s="71">
        <v>38930</v>
      </c>
      <c r="H84" s="72">
        <v>44250</v>
      </c>
      <c r="I84" s="133">
        <v>5280748.6900000004</v>
      </c>
      <c r="J84" s="134">
        <v>754926.86</v>
      </c>
      <c r="K84" s="125"/>
      <c r="L84" s="74">
        <v>8.0500000000000002E-2</v>
      </c>
      <c r="M84" s="75">
        <v>268987</v>
      </c>
      <c r="N84" s="76">
        <v>14</v>
      </c>
      <c r="O84" s="76"/>
      <c r="P84" s="76"/>
      <c r="Q84" s="76"/>
      <c r="R84" s="67" t="s">
        <v>1537</v>
      </c>
      <c r="S84" s="68">
        <v>890102257</v>
      </c>
      <c r="T84" s="77"/>
      <c r="U84" s="78"/>
      <c r="V84" s="79">
        <v>250000</v>
      </c>
      <c r="W84" s="80">
        <v>1585764</v>
      </c>
    </row>
    <row r="85" spans="1:23" ht="15.6" x14ac:dyDescent="0.3">
      <c r="A85" s="158" t="s">
        <v>825</v>
      </c>
      <c r="B85" s="69">
        <v>32620605</v>
      </c>
      <c r="C85" s="69" t="s">
        <v>826</v>
      </c>
      <c r="D85" s="69">
        <v>0</v>
      </c>
      <c r="E85" s="70" t="s">
        <v>19</v>
      </c>
      <c r="F85" s="67" t="s">
        <v>1643</v>
      </c>
      <c r="G85" s="71">
        <v>40026</v>
      </c>
      <c r="H85" s="72">
        <v>44250</v>
      </c>
      <c r="I85" s="133">
        <v>2459608</v>
      </c>
      <c r="J85" s="134">
        <v>351621.38</v>
      </c>
      <c r="K85" s="125"/>
      <c r="L85" s="74">
        <v>6.93E-2</v>
      </c>
      <c r="M85" s="75">
        <v>116482</v>
      </c>
      <c r="N85" s="76">
        <v>13</v>
      </c>
      <c r="O85" s="76">
        <v>0</v>
      </c>
      <c r="P85" s="83">
        <v>1773416</v>
      </c>
      <c r="Q85" s="83">
        <v>1195121</v>
      </c>
      <c r="R85" s="67" t="s">
        <v>1538</v>
      </c>
      <c r="S85" s="68">
        <v>890103010</v>
      </c>
      <c r="T85" s="77"/>
      <c r="U85" s="78"/>
      <c r="V85" s="79">
        <v>250000</v>
      </c>
      <c r="W85" s="80">
        <v>857969</v>
      </c>
    </row>
    <row r="86" spans="1:23" ht="15.6" x14ac:dyDescent="0.3">
      <c r="A86" s="158" t="s">
        <v>827</v>
      </c>
      <c r="B86" s="69">
        <v>5556311</v>
      </c>
      <c r="C86" s="69" t="s">
        <v>828</v>
      </c>
      <c r="D86" s="69">
        <v>0</v>
      </c>
      <c r="E86" s="70" t="s">
        <v>19</v>
      </c>
      <c r="F86" s="67" t="s">
        <v>1643</v>
      </c>
      <c r="G86" s="71">
        <v>36404</v>
      </c>
      <c r="H86" s="72">
        <v>44250</v>
      </c>
      <c r="I86" s="133">
        <v>8211124.0800000001</v>
      </c>
      <c r="J86" s="134">
        <v>1173848.3400000001</v>
      </c>
      <c r="K86" s="125"/>
      <c r="L86" s="74">
        <v>8.9399999999999993E-2</v>
      </c>
      <c r="M86" s="75">
        <v>84214</v>
      </c>
      <c r="N86" s="76">
        <v>14</v>
      </c>
      <c r="O86" s="76"/>
      <c r="P86" s="76"/>
      <c r="Q86" s="76"/>
      <c r="R86" s="67" t="s">
        <v>1539</v>
      </c>
      <c r="S86" s="68">
        <v>890201213</v>
      </c>
      <c r="T86" s="77"/>
      <c r="U86" s="78"/>
      <c r="V86" s="79">
        <v>250000</v>
      </c>
      <c r="W86" s="80">
        <v>2220261</v>
      </c>
    </row>
    <row r="87" spans="1:23" ht="15.6" x14ac:dyDescent="0.3">
      <c r="A87" s="158" t="s">
        <v>829</v>
      </c>
      <c r="B87" s="69">
        <v>13808585</v>
      </c>
      <c r="C87" s="69" t="s">
        <v>830</v>
      </c>
      <c r="D87" s="69">
        <v>0</v>
      </c>
      <c r="E87" s="70" t="s">
        <v>19</v>
      </c>
      <c r="F87" s="67" t="s">
        <v>1643</v>
      </c>
      <c r="G87" s="71">
        <v>39051</v>
      </c>
      <c r="H87" s="72">
        <v>44250</v>
      </c>
      <c r="I87" s="133">
        <v>1898263.02</v>
      </c>
      <c r="J87" s="134">
        <v>271372.46000000002</v>
      </c>
      <c r="K87" s="125"/>
      <c r="L87" s="74">
        <v>0.12809999999999999</v>
      </c>
      <c r="M87" s="75">
        <v>202414</v>
      </c>
      <c r="N87" s="76">
        <v>14</v>
      </c>
      <c r="O87" s="76"/>
      <c r="P87" s="76"/>
      <c r="Q87" s="76"/>
      <c r="R87" s="67" t="s">
        <v>1539</v>
      </c>
      <c r="S87" s="68">
        <v>890201213</v>
      </c>
      <c r="T87" s="77"/>
      <c r="U87" s="78"/>
      <c r="V87" s="79">
        <v>250000</v>
      </c>
      <c r="W87" s="80">
        <v>358217</v>
      </c>
    </row>
    <row r="88" spans="1:23" ht="15.6" x14ac:dyDescent="0.3">
      <c r="A88" s="158" t="s">
        <v>678</v>
      </c>
      <c r="B88" s="69">
        <v>24781</v>
      </c>
      <c r="C88" s="69" t="s">
        <v>679</v>
      </c>
      <c r="D88" s="69">
        <v>0</v>
      </c>
      <c r="E88" s="70" t="s">
        <v>19</v>
      </c>
      <c r="F88" s="67" t="s">
        <v>1643</v>
      </c>
      <c r="G88" s="71">
        <v>29646</v>
      </c>
      <c r="H88" s="72">
        <v>45568</v>
      </c>
      <c r="I88" s="133">
        <v>42800705.710000001</v>
      </c>
      <c r="J88" s="134">
        <v>6118716.1399999997</v>
      </c>
      <c r="K88" s="125"/>
      <c r="L88" s="74">
        <v>0.59060000000000001</v>
      </c>
      <c r="M88" s="75">
        <v>3423</v>
      </c>
      <c r="N88" s="76">
        <v>14</v>
      </c>
      <c r="O88" s="76"/>
      <c r="P88" s="76"/>
      <c r="Q88" s="76"/>
      <c r="R88" s="67" t="s">
        <v>1540</v>
      </c>
      <c r="S88" s="68">
        <v>890201222</v>
      </c>
      <c r="T88" s="77">
        <v>37940477</v>
      </c>
      <c r="U88" s="78" t="s">
        <v>1678</v>
      </c>
      <c r="V88" s="79">
        <v>250000</v>
      </c>
      <c r="W88" s="80">
        <v>1751848</v>
      </c>
    </row>
    <row r="89" spans="1:23" ht="15.6" x14ac:dyDescent="0.3">
      <c r="A89" s="158" t="s">
        <v>833</v>
      </c>
      <c r="B89" s="69">
        <v>13813372</v>
      </c>
      <c r="C89" s="69" t="s">
        <v>834</v>
      </c>
      <c r="D89" s="69">
        <v>0</v>
      </c>
      <c r="E89" s="70" t="s">
        <v>592</v>
      </c>
      <c r="F89" s="67" t="s">
        <v>1643</v>
      </c>
      <c r="G89" s="71">
        <v>38930</v>
      </c>
      <c r="H89" s="72">
        <v>45568</v>
      </c>
      <c r="I89" s="133">
        <v>608820.97</v>
      </c>
      <c r="J89" s="134">
        <v>87036.01</v>
      </c>
      <c r="K89" s="125"/>
      <c r="L89" s="74">
        <v>2.1100000000000001E-2</v>
      </c>
      <c r="M89" s="75">
        <v>35784</v>
      </c>
      <c r="N89" s="76">
        <v>14</v>
      </c>
      <c r="O89" s="76"/>
      <c r="P89" s="76"/>
      <c r="Q89" s="76"/>
      <c r="R89" s="67" t="s">
        <v>1540</v>
      </c>
      <c r="S89" s="68">
        <v>890201222</v>
      </c>
      <c r="T89" s="77"/>
      <c r="U89" s="78"/>
      <c r="V89" s="79">
        <v>250000</v>
      </c>
      <c r="W89" s="80">
        <v>697503</v>
      </c>
    </row>
    <row r="90" spans="1:23" ht="15.6" x14ac:dyDescent="0.3">
      <c r="A90" s="158" t="s">
        <v>835</v>
      </c>
      <c r="B90" s="69">
        <v>13815729</v>
      </c>
      <c r="C90" s="69" t="s">
        <v>836</v>
      </c>
      <c r="D90" s="69">
        <v>0</v>
      </c>
      <c r="E90" s="70" t="s">
        <v>19</v>
      </c>
      <c r="F90" s="67" t="s">
        <v>1643</v>
      </c>
      <c r="G90" s="71">
        <v>39051</v>
      </c>
      <c r="H90" s="72">
        <v>45568</v>
      </c>
      <c r="I90" s="133">
        <v>2973459.93</v>
      </c>
      <c r="J90" s="134">
        <v>425080.78</v>
      </c>
      <c r="K90" s="125"/>
      <c r="L90" s="74">
        <v>3.2899999999999999E-2</v>
      </c>
      <c r="M90" s="75">
        <v>55384</v>
      </c>
      <c r="N90" s="76">
        <v>14</v>
      </c>
      <c r="O90" s="76"/>
      <c r="P90" s="76"/>
      <c r="Q90" s="76"/>
      <c r="R90" s="67" t="s">
        <v>1540</v>
      </c>
      <c r="S90" s="68">
        <v>890201222</v>
      </c>
      <c r="T90" s="77">
        <v>37800935</v>
      </c>
      <c r="U90" s="78" t="s">
        <v>1696</v>
      </c>
      <c r="V90" s="79">
        <v>250000</v>
      </c>
      <c r="W90" s="80">
        <v>2184767</v>
      </c>
    </row>
    <row r="91" spans="1:23" ht="15.6" x14ac:dyDescent="0.3">
      <c r="A91" s="158" t="s">
        <v>1835</v>
      </c>
      <c r="B91" s="69">
        <v>28372879</v>
      </c>
      <c r="C91" s="69" t="s">
        <v>844</v>
      </c>
      <c r="D91" s="69">
        <v>0</v>
      </c>
      <c r="E91" s="70" t="s">
        <v>21</v>
      </c>
      <c r="F91" s="67" t="s">
        <v>1643</v>
      </c>
      <c r="G91" s="71">
        <v>33239</v>
      </c>
      <c r="H91" s="72">
        <v>45568</v>
      </c>
      <c r="I91" s="133">
        <v>35663469.960000001</v>
      </c>
      <c r="J91" s="134">
        <v>5098389.05</v>
      </c>
      <c r="K91" s="125"/>
      <c r="L91" s="74">
        <v>0.25590000000000002</v>
      </c>
      <c r="M91" s="75">
        <v>70534</v>
      </c>
      <c r="N91" s="76">
        <v>14</v>
      </c>
      <c r="O91" s="105">
        <v>0.08</v>
      </c>
      <c r="P91" s="83">
        <v>424464</v>
      </c>
      <c r="Q91" s="83">
        <v>388544</v>
      </c>
      <c r="R91" s="67" t="s">
        <v>1542</v>
      </c>
      <c r="S91" s="68">
        <v>890201235</v>
      </c>
      <c r="T91" s="77"/>
      <c r="U91" s="78"/>
      <c r="V91" s="79">
        <v>250000</v>
      </c>
      <c r="W91" s="80">
        <v>3368932</v>
      </c>
    </row>
    <row r="92" spans="1:23" ht="15.6" x14ac:dyDescent="0.3">
      <c r="A92" s="158" t="s">
        <v>845</v>
      </c>
      <c r="B92" s="69">
        <v>324258</v>
      </c>
      <c r="C92" s="69" t="s">
        <v>846</v>
      </c>
      <c r="D92" s="69">
        <v>0</v>
      </c>
      <c r="E92" s="70" t="s">
        <v>21</v>
      </c>
      <c r="F92" s="67" t="s">
        <v>1643</v>
      </c>
      <c r="G92" s="71">
        <v>33970</v>
      </c>
      <c r="H92" s="72">
        <v>45568</v>
      </c>
      <c r="I92" s="133">
        <v>11113481.890000001</v>
      </c>
      <c r="J92" s="134">
        <v>1588764.48</v>
      </c>
      <c r="K92" s="125"/>
      <c r="L92" s="74">
        <v>7.6999999999999999E-2</v>
      </c>
      <c r="M92" s="75">
        <v>31953</v>
      </c>
      <c r="N92" s="76">
        <v>14</v>
      </c>
      <c r="O92" s="105">
        <v>0.08</v>
      </c>
      <c r="P92" s="83">
        <v>958135</v>
      </c>
      <c r="Q92" s="83">
        <v>720694</v>
      </c>
      <c r="R92" s="67" t="s">
        <v>1542</v>
      </c>
      <c r="S92" s="68">
        <v>890201235</v>
      </c>
      <c r="T92" s="77">
        <v>26764695</v>
      </c>
      <c r="U92" s="78" t="s">
        <v>1698</v>
      </c>
      <c r="V92" s="79">
        <v>250000</v>
      </c>
      <c r="W92" s="80">
        <v>3488979</v>
      </c>
    </row>
    <row r="93" spans="1:23" ht="15.6" x14ac:dyDescent="0.3">
      <c r="A93" s="158" t="s">
        <v>494</v>
      </c>
      <c r="B93" s="69">
        <v>1918635</v>
      </c>
      <c r="C93" s="69" t="s">
        <v>495</v>
      </c>
      <c r="D93" s="69">
        <v>0</v>
      </c>
      <c r="E93" s="70" t="s">
        <v>472</v>
      </c>
      <c r="F93" s="67" t="s">
        <v>1643</v>
      </c>
      <c r="G93" s="71">
        <v>34060</v>
      </c>
      <c r="H93" s="72"/>
      <c r="I93" s="133">
        <v>1020611.66</v>
      </c>
      <c r="J93" s="134">
        <v>145904.91</v>
      </c>
      <c r="K93" s="125"/>
      <c r="L93" s="74">
        <v>3.6700000000000003E-2</v>
      </c>
      <c r="M93" s="75">
        <v>9028</v>
      </c>
      <c r="N93" s="76">
        <v>14</v>
      </c>
      <c r="O93" s="105">
        <v>0.08</v>
      </c>
      <c r="P93" s="83">
        <v>246135</v>
      </c>
      <c r="Q93" s="83">
        <v>284894</v>
      </c>
      <c r="R93" s="67" t="s">
        <v>1542</v>
      </c>
      <c r="S93" s="68">
        <v>890201235</v>
      </c>
      <c r="T93" s="77">
        <v>27576342</v>
      </c>
      <c r="U93" s="78" t="s">
        <v>1657</v>
      </c>
      <c r="V93" s="79">
        <v>250000</v>
      </c>
      <c r="W93" s="80">
        <v>672254</v>
      </c>
    </row>
    <row r="94" spans="1:23" ht="15.6" x14ac:dyDescent="0.3">
      <c r="A94" s="158" t="s">
        <v>1836</v>
      </c>
      <c r="B94" s="69">
        <v>27953706</v>
      </c>
      <c r="C94" s="69" t="s">
        <v>848</v>
      </c>
      <c r="D94" s="69">
        <v>0</v>
      </c>
      <c r="E94" s="70" t="s">
        <v>21</v>
      </c>
      <c r="F94" s="67" t="s">
        <v>1643</v>
      </c>
      <c r="G94" s="71">
        <v>34547</v>
      </c>
      <c r="H94" s="72"/>
      <c r="I94" s="133">
        <v>1321743.1000000001</v>
      </c>
      <c r="J94" s="134">
        <v>188954.15</v>
      </c>
      <c r="K94" s="125"/>
      <c r="L94" s="74">
        <v>9.3399999999999997E-2</v>
      </c>
      <c r="M94" s="75">
        <v>37940</v>
      </c>
      <c r="N94" s="76">
        <v>14</v>
      </c>
      <c r="O94" s="105">
        <v>0.08</v>
      </c>
      <c r="P94" s="83">
        <v>86005</v>
      </c>
      <c r="Q94" s="83">
        <v>907202</v>
      </c>
      <c r="R94" s="67" t="s">
        <v>1542</v>
      </c>
      <c r="S94" s="68">
        <v>890201235</v>
      </c>
      <c r="T94" s="77"/>
      <c r="U94" s="78"/>
      <c r="V94" s="79">
        <v>250000</v>
      </c>
      <c r="W94" s="80">
        <v>342089</v>
      </c>
    </row>
    <row r="95" spans="1:23" ht="15.6" x14ac:dyDescent="0.3">
      <c r="A95" s="158" t="s">
        <v>849</v>
      </c>
      <c r="B95" s="69">
        <v>3791097</v>
      </c>
      <c r="C95" s="69" t="s">
        <v>850</v>
      </c>
      <c r="D95" s="69">
        <v>0</v>
      </c>
      <c r="E95" s="70" t="s">
        <v>21</v>
      </c>
      <c r="F95" s="67" t="s">
        <v>1643</v>
      </c>
      <c r="G95" s="71">
        <v>34667</v>
      </c>
      <c r="H95" s="72"/>
      <c r="I95" s="133">
        <v>6924271.5599999996</v>
      </c>
      <c r="J95" s="134">
        <v>989882.1</v>
      </c>
      <c r="K95" s="125"/>
      <c r="L95" s="74">
        <v>0.21560000000000001</v>
      </c>
      <c r="M95" s="75">
        <v>101209</v>
      </c>
      <c r="N95" s="76">
        <v>14</v>
      </c>
      <c r="O95" s="76">
        <v>0</v>
      </c>
      <c r="P95" s="83">
        <v>247534</v>
      </c>
      <c r="Q95" s="83">
        <v>952931</v>
      </c>
      <c r="R95" s="67" t="s">
        <v>1542</v>
      </c>
      <c r="S95" s="68">
        <v>890201235</v>
      </c>
      <c r="T95" s="77">
        <v>37792443</v>
      </c>
      <c r="U95" s="78" t="s">
        <v>1789</v>
      </c>
      <c r="V95" s="79">
        <v>250000</v>
      </c>
      <c r="W95" s="80">
        <v>776362</v>
      </c>
    </row>
    <row r="96" spans="1:23" ht="15.6" x14ac:dyDescent="0.3">
      <c r="A96" s="158" t="s">
        <v>827</v>
      </c>
      <c r="B96" s="69">
        <v>5556311</v>
      </c>
      <c r="C96" s="69" t="s">
        <v>828</v>
      </c>
      <c r="D96" s="69">
        <v>0</v>
      </c>
      <c r="E96" s="70" t="s">
        <v>19</v>
      </c>
      <c r="F96" s="67" t="s">
        <v>1643</v>
      </c>
      <c r="G96" s="71">
        <v>36404</v>
      </c>
      <c r="H96" s="72"/>
      <c r="I96" s="133">
        <v>8211124.0800000001</v>
      </c>
      <c r="J96" s="134">
        <v>1173848.3400000001</v>
      </c>
      <c r="K96" s="125"/>
      <c r="L96" s="74">
        <v>8.9399999999999993E-2</v>
      </c>
      <c r="M96" s="75">
        <v>113322</v>
      </c>
      <c r="N96" s="76">
        <v>14</v>
      </c>
      <c r="O96" s="76">
        <v>0</v>
      </c>
      <c r="P96" s="83">
        <v>763691</v>
      </c>
      <c r="Q96" s="83">
        <v>970163</v>
      </c>
      <c r="R96" s="67" t="s">
        <v>1542</v>
      </c>
      <c r="S96" s="68">
        <v>890201235</v>
      </c>
      <c r="T96" s="77"/>
      <c r="U96" s="78"/>
      <c r="V96" s="79">
        <v>250000</v>
      </c>
      <c r="W96" s="80">
        <v>2220261</v>
      </c>
    </row>
    <row r="97" spans="1:23" ht="15.6" x14ac:dyDescent="0.3">
      <c r="A97" s="158" t="s">
        <v>851</v>
      </c>
      <c r="B97" s="69">
        <v>17137559</v>
      </c>
      <c r="C97" s="69" t="s">
        <v>852</v>
      </c>
      <c r="D97" s="69">
        <v>0</v>
      </c>
      <c r="E97" s="70" t="s">
        <v>21</v>
      </c>
      <c r="F97" s="67" t="s">
        <v>1643</v>
      </c>
      <c r="G97" s="71">
        <v>36800</v>
      </c>
      <c r="H97" s="72"/>
      <c r="I97" s="133">
        <v>2563415.59</v>
      </c>
      <c r="J97" s="134">
        <v>366461.54</v>
      </c>
      <c r="K97" s="125"/>
      <c r="L97" s="74">
        <v>6.0499999999999998E-2</v>
      </c>
      <c r="M97" s="75">
        <v>63485</v>
      </c>
      <c r="N97" s="76">
        <v>14</v>
      </c>
      <c r="O97" s="76">
        <v>0</v>
      </c>
      <c r="P97" s="83">
        <v>395800</v>
      </c>
      <c r="Q97" s="83">
        <v>1237596</v>
      </c>
      <c r="R97" s="67" t="s">
        <v>1542</v>
      </c>
      <c r="S97" s="68">
        <v>890201235</v>
      </c>
      <c r="T97" s="77"/>
      <c r="U97" s="78"/>
      <c r="V97" s="79">
        <v>250000</v>
      </c>
      <c r="W97" s="80">
        <v>1024242</v>
      </c>
    </row>
    <row r="98" spans="1:23" ht="15.6" x14ac:dyDescent="0.3">
      <c r="A98" s="158" t="s">
        <v>853</v>
      </c>
      <c r="B98" s="69">
        <v>5567916</v>
      </c>
      <c r="C98" s="69" t="s">
        <v>854</v>
      </c>
      <c r="D98" s="69">
        <v>0</v>
      </c>
      <c r="E98" s="70" t="s">
        <v>21</v>
      </c>
      <c r="F98" s="67" t="s">
        <v>1643</v>
      </c>
      <c r="G98" s="71">
        <v>37453</v>
      </c>
      <c r="H98" s="72"/>
      <c r="I98" s="133">
        <v>4053375.72</v>
      </c>
      <c r="J98" s="134">
        <v>579463.69999999995</v>
      </c>
      <c r="K98" s="125"/>
      <c r="L98" s="74">
        <v>0.2218</v>
      </c>
      <c r="M98" s="75">
        <v>215284</v>
      </c>
      <c r="N98" s="76">
        <v>14</v>
      </c>
      <c r="O98" s="76">
        <v>0</v>
      </c>
      <c r="P98" s="83">
        <v>187009</v>
      </c>
      <c r="Q98" s="83">
        <v>2201492</v>
      </c>
      <c r="R98" s="67" t="s">
        <v>1542</v>
      </c>
      <c r="S98" s="68">
        <v>890201235</v>
      </c>
      <c r="T98" s="77"/>
      <c r="U98" s="78"/>
      <c r="V98" s="79">
        <v>250000</v>
      </c>
      <c r="W98" s="80">
        <v>441768</v>
      </c>
    </row>
    <row r="99" spans="1:23" ht="15.6" x14ac:dyDescent="0.3">
      <c r="A99" s="158" t="s">
        <v>855</v>
      </c>
      <c r="B99" s="69">
        <v>5591853</v>
      </c>
      <c r="C99" s="69" t="s">
        <v>856</v>
      </c>
      <c r="D99" s="69">
        <v>0</v>
      </c>
      <c r="E99" s="70" t="s">
        <v>21</v>
      </c>
      <c r="F99" s="67" t="s">
        <v>1643</v>
      </c>
      <c r="G99" s="71">
        <v>37469</v>
      </c>
      <c r="H99" s="72"/>
      <c r="I99" s="133">
        <v>12220882.720000001</v>
      </c>
      <c r="J99" s="134">
        <v>1747076.62</v>
      </c>
      <c r="K99" s="125"/>
      <c r="L99" s="74">
        <v>0.21099999999999999</v>
      </c>
      <c r="M99" s="75">
        <v>344991</v>
      </c>
      <c r="N99" s="76">
        <v>14</v>
      </c>
      <c r="O99" s="76">
        <v>0</v>
      </c>
      <c r="P99" s="83">
        <v>567285</v>
      </c>
      <c r="Q99" s="83">
        <v>1708545</v>
      </c>
      <c r="R99" s="67" t="s">
        <v>1542</v>
      </c>
      <c r="S99" s="68">
        <v>890201235</v>
      </c>
      <c r="T99" s="77">
        <v>37791303</v>
      </c>
      <c r="U99" s="78" t="s">
        <v>1699</v>
      </c>
      <c r="V99" s="79">
        <v>250000</v>
      </c>
      <c r="W99" s="80">
        <v>1400100</v>
      </c>
    </row>
    <row r="100" spans="1:23" ht="15.6" x14ac:dyDescent="0.3">
      <c r="A100" s="158" t="s">
        <v>654</v>
      </c>
      <c r="B100" s="69">
        <v>33128453</v>
      </c>
      <c r="C100" s="69" t="s">
        <v>655</v>
      </c>
      <c r="D100" s="69">
        <v>0</v>
      </c>
      <c r="E100" s="70" t="s">
        <v>472</v>
      </c>
      <c r="F100" s="67" t="s">
        <v>1643</v>
      </c>
      <c r="G100" s="71">
        <v>38275</v>
      </c>
      <c r="H100" s="72"/>
      <c r="I100" s="133">
        <v>1849694.82</v>
      </c>
      <c r="J100" s="134">
        <v>264429.23</v>
      </c>
      <c r="K100" s="125"/>
      <c r="L100" s="74">
        <v>4.1200000000000001E-2</v>
      </c>
      <c r="M100" s="75">
        <v>72737</v>
      </c>
      <c r="N100" s="76">
        <v>14</v>
      </c>
      <c r="O100" s="76">
        <v>0</v>
      </c>
      <c r="P100" s="83">
        <v>397523</v>
      </c>
      <c r="Q100" s="83">
        <v>1367931</v>
      </c>
      <c r="R100" s="67" t="s">
        <v>1542</v>
      </c>
      <c r="S100" s="68">
        <v>890201235</v>
      </c>
      <c r="T100" s="77"/>
      <c r="U100" s="78"/>
      <c r="V100" s="79">
        <v>250000</v>
      </c>
      <c r="W100" s="80">
        <v>1085280</v>
      </c>
    </row>
    <row r="101" spans="1:23" ht="15.6" x14ac:dyDescent="0.3">
      <c r="A101" s="158" t="s">
        <v>857</v>
      </c>
      <c r="B101" s="69">
        <v>13803171</v>
      </c>
      <c r="C101" s="69" t="s">
        <v>858</v>
      </c>
      <c r="D101" s="69">
        <v>0</v>
      </c>
      <c r="E101" s="70" t="s">
        <v>722</v>
      </c>
      <c r="F101" s="67" t="s">
        <v>1643</v>
      </c>
      <c r="G101" s="71">
        <v>38353</v>
      </c>
      <c r="H101" s="72"/>
      <c r="I101" s="133">
        <v>8227368.6100000003</v>
      </c>
      <c r="J101" s="134">
        <v>1176170.6299999999</v>
      </c>
      <c r="K101" s="125"/>
      <c r="L101" s="74">
        <v>2.8899999999999999E-2</v>
      </c>
      <c r="M101" s="75">
        <v>72849</v>
      </c>
      <c r="N101" s="76">
        <v>14</v>
      </c>
      <c r="O101" s="76">
        <v>0</v>
      </c>
      <c r="P101" s="83">
        <v>2520725</v>
      </c>
      <c r="Q101" s="76">
        <v>0</v>
      </c>
      <c r="R101" s="67" t="s">
        <v>1542</v>
      </c>
      <c r="S101" s="68">
        <v>890201235</v>
      </c>
      <c r="T101" s="77"/>
      <c r="U101" s="78"/>
      <c r="V101" s="79">
        <v>250000</v>
      </c>
      <c r="W101" s="80">
        <v>6881800</v>
      </c>
    </row>
    <row r="102" spans="1:23" ht="15.6" x14ac:dyDescent="0.3">
      <c r="A102" s="158" t="s">
        <v>859</v>
      </c>
      <c r="B102" s="69">
        <v>13803205</v>
      </c>
      <c r="C102" s="69" t="s">
        <v>860</v>
      </c>
      <c r="D102" s="69">
        <v>0</v>
      </c>
      <c r="E102" s="70" t="s">
        <v>21</v>
      </c>
      <c r="F102" s="67" t="s">
        <v>1643</v>
      </c>
      <c r="G102" s="71">
        <v>38384</v>
      </c>
      <c r="H102" s="72"/>
      <c r="I102" s="133">
        <v>1207669.6499999999</v>
      </c>
      <c r="J102" s="134">
        <v>172646.39999999999</v>
      </c>
      <c r="K102" s="125"/>
      <c r="L102" s="74">
        <v>4.5400000000000003E-2</v>
      </c>
      <c r="M102" s="75">
        <v>88891</v>
      </c>
      <c r="N102" s="76">
        <v>14</v>
      </c>
      <c r="O102" s="76">
        <v>0</v>
      </c>
      <c r="P102" s="83">
        <v>287702</v>
      </c>
      <c r="Q102" s="83">
        <v>2106608</v>
      </c>
      <c r="R102" s="67" t="s">
        <v>1542</v>
      </c>
      <c r="S102" s="68">
        <v>890201235</v>
      </c>
      <c r="T102" s="77">
        <v>27958225</v>
      </c>
      <c r="U102" s="78" t="s">
        <v>1790</v>
      </c>
      <c r="V102" s="79">
        <v>250000</v>
      </c>
      <c r="W102" s="80">
        <v>643030</v>
      </c>
    </row>
    <row r="103" spans="1:23" ht="15.6" x14ac:dyDescent="0.3">
      <c r="A103" s="158" t="s">
        <v>861</v>
      </c>
      <c r="B103" s="69">
        <v>37805436</v>
      </c>
      <c r="C103" s="69" t="s">
        <v>509</v>
      </c>
      <c r="D103" s="69">
        <v>0</v>
      </c>
      <c r="E103" s="70" t="s">
        <v>19</v>
      </c>
      <c r="F103" s="67" t="s">
        <v>1643</v>
      </c>
      <c r="G103" s="71">
        <v>38643</v>
      </c>
      <c r="H103" s="72"/>
      <c r="I103" s="133">
        <v>2020459.03</v>
      </c>
      <c r="J103" s="134">
        <v>288841.39</v>
      </c>
      <c r="K103" s="125"/>
      <c r="L103" s="74">
        <v>3.4200000000000001E-2</v>
      </c>
      <c r="M103" s="75">
        <v>50688</v>
      </c>
      <c r="N103" s="76">
        <v>14</v>
      </c>
      <c r="O103" s="76">
        <v>0</v>
      </c>
      <c r="P103" s="83">
        <v>1481530</v>
      </c>
      <c r="Q103" s="83">
        <v>1378987</v>
      </c>
      <c r="R103" s="67" t="s">
        <v>1542</v>
      </c>
      <c r="S103" s="68">
        <v>890201235</v>
      </c>
      <c r="T103" s="77"/>
      <c r="U103" s="78"/>
      <c r="V103" s="79">
        <v>250000</v>
      </c>
      <c r="W103" s="80">
        <v>1428114</v>
      </c>
    </row>
    <row r="104" spans="1:23" ht="15.6" x14ac:dyDescent="0.3">
      <c r="A104" s="158" t="s">
        <v>1837</v>
      </c>
      <c r="B104" s="69">
        <v>37804047</v>
      </c>
      <c r="C104" s="69" t="s">
        <v>863</v>
      </c>
      <c r="D104" s="69">
        <v>0</v>
      </c>
      <c r="E104" s="70" t="s">
        <v>21</v>
      </c>
      <c r="F104" s="67" t="s">
        <v>1643</v>
      </c>
      <c r="G104" s="71">
        <v>38740</v>
      </c>
      <c r="H104" s="72"/>
      <c r="I104" s="133">
        <v>2409273.98</v>
      </c>
      <c r="J104" s="134">
        <v>344425.71</v>
      </c>
      <c r="K104" s="125"/>
      <c r="L104" s="74">
        <v>0.18679999999999999</v>
      </c>
      <c r="M104" s="75">
        <v>319209</v>
      </c>
      <c r="N104" s="76">
        <v>14</v>
      </c>
      <c r="O104" s="76">
        <v>0</v>
      </c>
      <c r="P104" s="83">
        <v>54859</v>
      </c>
      <c r="Q104" s="83">
        <v>1812308</v>
      </c>
      <c r="R104" s="67" t="s">
        <v>1542</v>
      </c>
      <c r="S104" s="68">
        <v>890201235</v>
      </c>
      <c r="T104" s="77"/>
      <c r="U104" s="78"/>
      <c r="V104" s="79">
        <v>250000</v>
      </c>
      <c r="W104" s="80">
        <v>311780</v>
      </c>
    </row>
    <row r="105" spans="1:23" ht="15.6" x14ac:dyDescent="0.3">
      <c r="A105" s="158" t="s">
        <v>864</v>
      </c>
      <c r="B105" s="69">
        <v>5549123</v>
      </c>
      <c r="C105" s="69" t="s">
        <v>865</v>
      </c>
      <c r="D105" s="69">
        <v>0</v>
      </c>
      <c r="E105" s="70" t="s">
        <v>21</v>
      </c>
      <c r="F105" s="67" t="s">
        <v>1643</v>
      </c>
      <c r="G105" s="71">
        <v>38808</v>
      </c>
      <c r="H105" s="72"/>
      <c r="I105" s="133">
        <v>80960.17</v>
      </c>
      <c r="J105" s="134">
        <v>11573.93</v>
      </c>
      <c r="K105" s="125"/>
      <c r="L105" s="74">
        <v>1.6E-2</v>
      </c>
      <c r="M105" s="75">
        <v>31219</v>
      </c>
      <c r="N105" s="76">
        <v>14</v>
      </c>
      <c r="O105" s="76">
        <v>0</v>
      </c>
      <c r="P105" s="83">
        <v>1901609</v>
      </c>
      <c r="Q105" s="83">
        <v>49555</v>
      </c>
      <c r="R105" s="67" t="s">
        <v>1542</v>
      </c>
      <c r="S105" s="68">
        <v>890201235</v>
      </c>
      <c r="T105" s="77"/>
      <c r="U105" s="78"/>
      <c r="V105" s="79">
        <v>250000</v>
      </c>
      <c r="W105" s="80">
        <v>122318</v>
      </c>
    </row>
    <row r="106" spans="1:23" ht="15.6" x14ac:dyDescent="0.3">
      <c r="A106" s="158" t="s">
        <v>866</v>
      </c>
      <c r="B106" s="69">
        <v>5566789</v>
      </c>
      <c r="C106" s="69" t="s">
        <v>867</v>
      </c>
      <c r="D106" s="69">
        <v>0</v>
      </c>
      <c r="E106" s="70" t="s">
        <v>722</v>
      </c>
      <c r="F106" s="67" t="s">
        <v>1643</v>
      </c>
      <c r="G106" s="71">
        <v>38808</v>
      </c>
      <c r="H106" s="72"/>
      <c r="I106" s="133">
        <v>35022166.899999999</v>
      </c>
      <c r="J106" s="134">
        <v>5006709.45</v>
      </c>
      <c r="K106" s="125"/>
      <c r="L106" s="74">
        <v>0.45440000000000003</v>
      </c>
      <c r="M106" s="75">
        <v>711322</v>
      </c>
      <c r="N106" s="76">
        <v>14</v>
      </c>
      <c r="O106" s="76">
        <v>0</v>
      </c>
      <c r="P106" s="83">
        <v>788714</v>
      </c>
      <c r="Q106" s="83">
        <v>852758</v>
      </c>
      <c r="R106" s="67" t="s">
        <v>1542</v>
      </c>
      <c r="S106" s="68">
        <v>890201235</v>
      </c>
      <c r="T106" s="77"/>
      <c r="U106" s="78"/>
      <c r="V106" s="79">
        <v>250000</v>
      </c>
      <c r="W106" s="80">
        <v>1863132</v>
      </c>
    </row>
    <row r="107" spans="1:23" ht="15.6" x14ac:dyDescent="0.3">
      <c r="A107" s="158" t="s">
        <v>872</v>
      </c>
      <c r="B107" s="69">
        <v>13810562</v>
      </c>
      <c r="C107" s="69" t="s">
        <v>873</v>
      </c>
      <c r="D107" s="69">
        <v>0</v>
      </c>
      <c r="E107" s="70" t="s">
        <v>21</v>
      </c>
      <c r="F107" s="67" t="s">
        <v>1643</v>
      </c>
      <c r="G107" s="71">
        <v>39051</v>
      </c>
      <c r="H107" s="72"/>
      <c r="I107" s="133">
        <v>1922063.11</v>
      </c>
      <c r="J107" s="134">
        <v>274774.88</v>
      </c>
      <c r="K107" s="125"/>
      <c r="L107" s="74">
        <v>0.1174</v>
      </c>
      <c r="M107" s="75">
        <v>154604</v>
      </c>
      <c r="N107" s="76">
        <v>14</v>
      </c>
      <c r="O107" s="76">
        <v>0</v>
      </c>
      <c r="P107" s="83">
        <v>190650</v>
      </c>
      <c r="Q107" s="83">
        <v>1746214</v>
      </c>
      <c r="R107" s="67" t="s">
        <v>1542</v>
      </c>
      <c r="S107" s="68">
        <v>890201235</v>
      </c>
      <c r="T107" s="77"/>
      <c r="U107" s="78"/>
      <c r="V107" s="79">
        <v>250000</v>
      </c>
      <c r="W107" s="80">
        <v>395766</v>
      </c>
    </row>
    <row r="108" spans="1:23" ht="15.6" x14ac:dyDescent="0.3">
      <c r="A108" s="158" t="s">
        <v>749</v>
      </c>
      <c r="B108" s="69">
        <v>37810875</v>
      </c>
      <c r="C108" s="69" t="s">
        <v>750</v>
      </c>
      <c r="D108" s="69">
        <v>0</v>
      </c>
      <c r="E108" s="70" t="s">
        <v>19</v>
      </c>
      <c r="F108" s="67" t="s">
        <v>1643</v>
      </c>
      <c r="G108" s="71">
        <v>39051</v>
      </c>
      <c r="H108" s="72"/>
      <c r="I108" s="133">
        <v>3940482.92</v>
      </c>
      <c r="J108" s="134">
        <v>563324.74</v>
      </c>
      <c r="K108" s="125"/>
      <c r="L108" s="74">
        <v>5.57E-2</v>
      </c>
      <c r="M108" s="75">
        <v>99606</v>
      </c>
      <c r="N108" s="76">
        <v>13</v>
      </c>
      <c r="O108" s="76">
        <v>0</v>
      </c>
      <c r="P108" s="83">
        <v>902002</v>
      </c>
      <c r="Q108" s="83">
        <v>1053907</v>
      </c>
      <c r="R108" s="67" t="s">
        <v>1542</v>
      </c>
      <c r="S108" s="68">
        <v>890201235</v>
      </c>
      <c r="T108" s="77"/>
      <c r="U108" s="78"/>
      <c r="V108" s="79">
        <v>250000</v>
      </c>
      <c r="W108" s="80">
        <v>1710146</v>
      </c>
    </row>
    <row r="109" spans="1:23" ht="15.6" x14ac:dyDescent="0.3">
      <c r="A109" s="158" t="s">
        <v>876</v>
      </c>
      <c r="B109" s="69">
        <v>6753463</v>
      </c>
      <c r="C109" s="69" t="s">
        <v>877</v>
      </c>
      <c r="D109" s="69">
        <v>0</v>
      </c>
      <c r="E109" s="70" t="s">
        <v>722</v>
      </c>
      <c r="F109" s="67" t="s">
        <v>1643</v>
      </c>
      <c r="G109" s="71">
        <v>39174</v>
      </c>
      <c r="H109" s="72"/>
      <c r="I109" s="133">
        <v>288624.39</v>
      </c>
      <c r="J109" s="134">
        <v>41261.25</v>
      </c>
      <c r="K109" s="125"/>
      <c r="L109" s="74">
        <v>3.2599999999999997E-2</v>
      </c>
      <c r="M109" s="75">
        <v>68112</v>
      </c>
      <c r="N109" s="76">
        <v>14</v>
      </c>
      <c r="O109" s="76">
        <v>0</v>
      </c>
      <c r="P109" s="83">
        <v>105384</v>
      </c>
      <c r="Q109" s="83">
        <v>2250867</v>
      </c>
      <c r="R109" s="67" t="s">
        <v>1542</v>
      </c>
      <c r="S109" s="68">
        <v>890201235</v>
      </c>
      <c r="T109" s="77"/>
      <c r="U109" s="78"/>
      <c r="V109" s="79">
        <v>250000</v>
      </c>
      <c r="W109" s="80">
        <v>214020</v>
      </c>
    </row>
    <row r="110" spans="1:23" ht="15.6" x14ac:dyDescent="0.3">
      <c r="A110" s="158" t="s">
        <v>878</v>
      </c>
      <c r="B110" s="69">
        <v>37809356</v>
      </c>
      <c r="C110" s="69" t="s">
        <v>879</v>
      </c>
      <c r="D110" s="69">
        <v>0</v>
      </c>
      <c r="E110" s="70" t="s">
        <v>21</v>
      </c>
      <c r="F110" s="67" t="s">
        <v>1643</v>
      </c>
      <c r="G110" s="71">
        <v>39356</v>
      </c>
      <c r="H110" s="72">
        <v>40178</v>
      </c>
      <c r="I110" s="133">
        <v>2271815.35</v>
      </c>
      <c r="J110" s="134">
        <v>324774.86</v>
      </c>
      <c r="K110" s="125"/>
      <c r="L110" s="74">
        <v>0.1115</v>
      </c>
      <c r="M110" s="75">
        <v>208500</v>
      </c>
      <c r="N110" s="76">
        <v>13</v>
      </c>
      <c r="O110" s="76">
        <v>0</v>
      </c>
      <c r="P110" s="83">
        <v>208500</v>
      </c>
      <c r="Q110" s="83">
        <v>1986331</v>
      </c>
      <c r="R110" s="67" t="s">
        <v>1542</v>
      </c>
      <c r="S110" s="68">
        <v>890201235</v>
      </c>
      <c r="T110" s="77"/>
      <c r="U110" s="78"/>
      <c r="V110" s="79">
        <v>250000</v>
      </c>
      <c r="W110" s="80">
        <v>492535</v>
      </c>
    </row>
    <row r="111" spans="1:23" ht="15.6" x14ac:dyDescent="0.3">
      <c r="A111" s="158" t="s">
        <v>880</v>
      </c>
      <c r="B111" s="69">
        <v>13818680</v>
      </c>
      <c r="C111" s="69" t="s">
        <v>881</v>
      </c>
      <c r="D111" s="69">
        <v>0</v>
      </c>
      <c r="E111" s="70" t="s">
        <v>472</v>
      </c>
      <c r="F111" s="67" t="s">
        <v>1643</v>
      </c>
      <c r="G111" s="71">
        <v>39416</v>
      </c>
      <c r="H111" s="72">
        <v>40178</v>
      </c>
      <c r="I111" s="133">
        <v>1325485.8899999999</v>
      </c>
      <c r="J111" s="134">
        <v>189489.21</v>
      </c>
      <c r="K111" s="125"/>
      <c r="L111" s="74">
        <v>6.7599999999999993E-2</v>
      </c>
      <c r="M111" s="75">
        <v>17595</v>
      </c>
      <c r="N111" s="76">
        <v>13</v>
      </c>
      <c r="O111" s="76">
        <v>0</v>
      </c>
      <c r="P111" s="83">
        <v>376474</v>
      </c>
      <c r="Q111" s="83">
        <v>1368792</v>
      </c>
      <c r="R111" s="67" t="s">
        <v>1542</v>
      </c>
      <c r="S111" s="68">
        <v>890201235</v>
      </c>
      <c r="T111" s="77"/>
      <c r="U111" s="78"/>
      <c r="V111" s="79">
        <v>250000</v>
      </c>
      <c r="W111" s="80">
        <v>473988</v>
      </c>
    </row>
    <row r="112" spans="1:23" ht="15.6" x14ac:dyDescent="0.3">
      <c r="A112" s="158" t="s">
        <v>882</v>
      </c>
      <c r="B112" s="69">
        <v>37814386</v>
      </c>
      <c r="C112" s="69" t="s">
        <v>883</v>
      </c>
      <c r="D112" s="69">
        <v>0</v>
      </c>
      <c r="E112" s="70" t="s">
        <v>21</v>
      </c>
      <c r="F112" s="67" t="s">
        <v>1643</v>
      </c>
      <c r="G112" s="71">
        <v>39479</v>
      </c>
      <c r="H112" s="72">
        <v>40178</v>
      </c>
      <c r="I112" s="133">
        <v>11157924.359999999</v>
      </c>
      <c r="J112" s="134">
        <v>1595117.9</v>
      </c>
      <c r="K112" s="125"/>
      <c r="L112" s="74">
        <v>0.24709999999999999</v>
      </c>
      <c r="M112" s="75">
        <v>489171</v>
      </c>
      <c r="N112" s="76">
        <v>13</v>
      </c>
      <c r="O112" s="76">
        <v>0</v>
      </c>
      <c r="P112" s="83">
        <v>488379</v>
      </c>
      <c r="Q112" s="83">
        <v>1978434</v>
      </c>
      <c r="R112" s="67" t="s">
        <v>1542</v>
      </c>
      <c r="S112" s="68">
        <v>890201235</v>
      </c>
      <c r="T112" s="77"/>
      <c r="U112" s="78"/>
      <c r="V112" s="79">
        <v>250000</v>
      </c>
      <c r="W112" s="80">
        <v>1091565</v>
      </c>
    </row>
    <row r="113" spans="1:23" ht="15.6" x14ac:dyDescent="0.3">
      <c r="A113" s="158" t="s">
        <v>884</v>
      </c>
      <c r="B113" s="69">
        <v>5567032</v>
      </c>
      <c r="C113" s="69" t="s">
        <v>885</v>
      </c>
      <c r="D113" s="69">
        <v>0</v>
      </c>
      <c r="E113" s="70" t="s">
        <v>722</v>
      </c>
      <c r="F113" s="67" t="s">
        <v>1643</v>
      </c>
      <c r="G113" s="71">
        <v>39569</v>
      </c>
      <c r="H113" s="72">
        <v>40178</v>
      </c>
      <c r="I113" s="133">
        <v>12304236.51</v>
      </c>
      <c r="J113" s="134">
        <v>1758992.74</v>
      </c>
      <c r="K113" s="125"/>
      <c r="L113" s="74">
        <v>0.24390000000000001</v>
      </c>
      <c r="M113" s="75">
        <v>506072</v>
      </c>
      <c r="N113" s="76">
        <v>14</v>
      </c>
      <c r="O113" s="76">
        <v>0</v>
      </c>
      <c r="P113" s="83">
        <v>545620</v>
      </c>
      <c r="Q113" s="83">
        <v>1726200</v>
      </c>
      <c r="R113" s="67" t="s">
        <v>1542</v>
      </c>
      <c r="S113" s="68">
        <v>890201235</v>
      </c>
      <c r="T113" s="77"/>
      <c r="U113" s="78"/>
      <c r="V113" s="79">
        <v>250000</v>
      </c>
      <c r="W113" s="80">
        <v>1219500</v>
      </c>
    </row>
    <row r="114" spans="1:23" ht="15.6" x14ac:dyDescent="0.3">
      <c r="A114" s="158" t="s">
        <v>886</v>
      </c>
      <c r="B114" s="69">
        <v>5644931</v>
      </c>
      <c r="C114" s="69" t="s">
        <v>887</v>
      </c>
      <c r="D114" s="69">
        <v>0</v>
      </c>
      <c r="E114" s="70" t="s">
        <v>472</v>
      </c>
      <c r="F114" s="67" t="s">
        <v>1643</v>
      </c>
      <c r="G114" s="71">
        <v>39783</v>
      </c>
      <c r="H114" s="72">
        <v>40178</v>
      </c>
      <c r="I114" s="133">
        <v>22230554</v>
      </c>
      <c r="J114" s="134">
        <v>3178042.21</v>
      </c>
      <c r="K114" s="125"/>
      <c r="L114" s="74">
        <v>0.32290000000000002</v>
      </c>
      <c r="M114" s="75">
        <v>1270699</v>
      </c>
      <c r="N114" s="76">
        <v>13</v>
      </c>
      <c r="O114" s="76">
        <v>0</v>
      </c>
      <c r="P114" s="83">
        <v>896506</v>
      </c>
      <c r="Q114" s="83">
        <v>3841516</v>
      </c>
      <c r="R114" s="67" t="s">
        <v>1542</v>
      </c>
      <c r="S114" s="68">
        <v>890201235</v>
      </c>
      <c r="T114" s="77"/>
      <c r="U114" s="78"/>
      <c r="V114" s="79">
        <v>250000</v>
      </c>
      <c r="W114" s="80">
        <v>1664260</v>
      </c>
    </row>
    <row r="115" spans="1:23" ht="15.6" x14ac:dyDescent="0.3">
      <c r="A115" s="158" t="s">
        <v>888</v>
      </c>
      <c r="B115" s="69">
        <v>5742637</v>
      </c>
      <c r="C115" s="69" t="s">
        <v>23</v>
      </c>
      <c r="D115" s="69">
        <v>0</v>
      </c>
      <c r="E115" s="70" t="s">
        <v>19</v>
      </c>
      <c r="F115" s="67" t="s">
        <v>1643</v>
      </c>
      <c r="G115" s="71">
        <v>41699</v>
      </c>
      <c r="H115" s="72">
        <v>40178</v>
      </c>
      <c r="I115" s="133">
        <v>19263616.09</v>
      </c>
      <c r="J115" s="134">
        <v>2753893.82</v>
      </c>
      <c r="K115" s="125"/>
      <c r="L115" s="74">
        <v>0.7611</v>
      </c>
      <c r="M115" s="75">
        <v>249819</v>
      </c>
      <c r="N115" s="76">
        <v>14</v>
      </c>
      <c r="O115" s="76"/>
      <c r="P115" s="76"/>
      <c r="Q115" s="76"/>
      <c r="R115" s="67" t="s">
        <v>45</v>
      </c>
      <c r="S115" s="88">
        <v>890201488</v>
      </c>
      <c r="T115" s="77"/>
      <c r="U115" s="78"/>
      <c r="V115" s="79">
        <v>250000</v>
      </c>
      <c r="W115" s="80">
        <v>611836</v>
      </c>
    </row>
    <row r="116" spans="1:23" ht="15.6" x14ac:dyDescent="0.3">
      <c r="A116" s="158" t="s">
        <v>889</v>
      </c>
      <c r="B116" s="69">
        <v>28006638</v>
      </c>
      <c r="C116" s="69" t="s">
        <v>890</v>
      </c>
      <c r="D116" s="69">
        <v>0</v>
      </c>
      <c r="E116" s="70" t="s">
        <v>758</v>
      </c>
      <c r="F116" s="67" t="s">
        <v>1643</v>
      </c>
      <c r="G116" s="71">
        <v>39262</v>
      </c>
      <c r="H116" s="72">
        <v>40178</v>
      </c>
      <c r="I116" s="133">
        <v>6209096.0199999996</v>
      </c>
      <c r="J116" s="134">
        <v>887641.81</v>
      </c>
      <c r="K116" s="125"/>
      <c r="L116" s="74">
        <v>9.7000000000000003E-2</v>
      </c>
      <c r="M116" s="75">
        <v>147152</v>
      </c>
      <c r="N116" s="76">
        <v>14</v>
      </c>
      <c r="O116" s="76"/>
      <c r="P116" s="76"/>
      <c r="Q116" s="76"/>
      <c r="R116" s="67" t="s">
        <v>1544</v>
      </c>
      <c r="S116" s="68">
        <v>890201900</v>
      </c>
      <c r="T116" s="77"/>
      <c r="U116" s="78"/>
      <c r="V116" s="79">
        <v>250000</v>
      </c>
      <c r="W116" s="80">
        <v>1547375</v>
      </c>
    </row>
    <row r="117" spans="1:23" ht="15.6" x14ac:dyDescent="0.3">
      <c r="A117" s="158" t="s">
        <v>891</v>
      </c>
      <c r="B117" s="69">
        <v>17060322</v>
      </c>
      <c r="C117" s="69" t="s">
        <v>892</v>
      </c>
      <c r="D117" s="69">
        <v>0</v>
      </c>
      <c r="E117" s="70" t="s">
        <v>758</v>
      </c>
      <c r="F117" s="67" t="s">
        <v>1643</v>
      </c>
      <c r="G117" s="71">
        <v>39965</v>
      </c>
      <c r="H117" s="72">
        <v>40178</v>
      </c>
      <c r="I117" s="133">
        <v>2852478.17</v>
      </c>
      <c r="J117" s="134">
        <v>407785.43</v>
      </c>
      <c r="K117" s="125"/>
      <c r="L117" s="74">
        <v>6.13E-2</v>
      </c>
      <c r="M117" s="75">
        <v>244975</v>
      </c>
      <c r="N117" s="76">
        <v>14</v>
      </c>
      <c r="O117" s="76"/>
      <c r="P117" s="76"/>
      <c r="Q117" s="76"/>
      <c r="R117" s="67" t="s">
        <v>1544</v>
      </c>
      <c r="S117" s="68">
        <v>890201900</v>
      </c>
      <c r="T117" s="77"/>
      <c r="U117" s="78"/>
      <c r="V117" s="79">
        <v>250000</v>
      </c>
      <c r="W117" s="80">
        <v>1124866</v>
      </c>
    </row>
    <row r="118" spans="1:23" ht="15.6" x14ac:dyDescent="0.3">
      <c r="A118" s="158" t="s">
        <v>893</v>
      </c>
      <c r="B118" s="69">
        <v>13814022</v>
      </c>
      <c r="C118" s="69" t="s">
        <v>894</v>
      </c>
      <c r="D118" s="69">
        <v>0</v>
      </c>
      <c r="E118" s="70" t="s">
        <v>19</v>
      </c>
      <c r="F118" s="67" t="s">
        <v>1643</v>
      </c>
      <c r="G118" s="71">
        <v>40299</v>
      </c>
      <c r="H118" s="72">
        <v>40178</v>
      </c>
      <c r="I118" s="133">
        <v>1996546.04</v>
      </c>
      <c r="J118" s="134">
        <v>285422.83</v>
      </c>
      <c r="K118" s="125"/>
      <c r="L118" s="74">
        <v>4.3799999999999999E-2</v>
      </c>
      <c r="M118" s="75">
        <v>43188</v>
      </c>
      <c r="N118" s="76">
        <v>14</v>
      </c>
      <c r="O118" s="76"/>
      <c r="P118" s="76"/>
      <c r="Q118" s="76"/>
      <c r="R118" s="67" t="s">
        <v>1544</v>
      </c>
      <c r="S118" s="68">
        <v>890201900</v>
      </c>
      <c r="T118" s="77">
        <v>37920358</v>
      </c>
      <c r="U118" s="78" t="s">
        <v>1700</v>
      </c>
      <c r="V118" s="79">
        <v>250000</v>
      </c>
      <c r="W118" s="80">
        <v>1101905</v>
      </c>
    </row>
    <row r="119" spans="1:23" ht="15.6" x14ac:dyDescent="0.3">
      <c r="A119" s="158" t="s">
        <v>896</v>
      </c>
      <c r="B119" s="69">
        <v>5623671</v>
      </c>
      <c r="C119" s="69" t="s">
        <v>897</v>
      </c>
      <c r="D119" s="69">
        <v>0</v>
      </c>
      <c r="E119" s="70" t="s">
        <v>19</v>
      </c>
      <c r="F119" s="67" t="s">
        <v>1643</v>
      </c>
      <c r="G119" s="71">
        <v>38961</v>
      </c>
      <c r="H119" s="72">
        <v>40178</v>
      </c>
      <c r="I119" s="133">
        <v>1352346.58</v>
      </c>
      <c r="J119" s="134">
        <v>193329.17</v>
      </c>
      <c r="K119" s="125"/>
      <c r="L119" s="74">
        <v>7.3099999999999998E-2</v>
      </c>
      <c r="M119" s="75">
        <v>96733</v>
      </c>
      <c r="N119" s="76">
        <v>14</v>
      </c>
      <c r="O119" s="76"/>
      <c r="P119" s="76"/>
      <c r="Q119" s="76"/>
      <c r="R119" s="67" t="s">
        <v>1546</v>
      </c>
      <c r="S119" s="68">
        <v>890205063</v>
      </c>
      <c r="T119" s="77">
        <v>28097622</v>
      </c>
      <c r="U119" s="78" t="s">
        <v>1701</v>
      </c>
      <c r="V119" s="79">
        <v>250000</v>
      </c>
      <c r="W119" s="80">
        <v>447208</v>
      </c>
    </row>
    <row r="120" spans="1:23" ht="15.6" x14ac:dyDescent="0.3">
      <c r="A120" s="158" t="s">
        <v>898</v>
      </c>
      <c r="B120" s="69">
        <v>29638027</v>
      </c>
      <c r="C120" s="69" t="s">
        <v>899</v>
      </c>
      <c r="D120" s="69">
        <v>0</v>
      </c>
      <c r="E120" s="70" t="s">
        <v>472</v>
      </c>
      <c r="F120" s="67" t="s">
        <v>1643</v>
      </c>
      <c r="G120" s="71">
        <v>32842</v>
      </c>
      <c r="H120" s="72">
        <v>40178</v>
      </c>
      <c r="I120" s="133">
        <v>11407110.130000001</v>
      </c>
      <c r="J120" s="134">
        <v>1630741.08</v>
      </c>
      <c r="K120" s="125"/>
      <c r="L120" s="74">
        <v>8.5300000000000001E-2</v>
      </c>
      <c r="M120" s="75">
        <v>14316</v>
      </c>
      <c r="N120" s="76">
        <v>14</v>
      </c>
      <c r="O120" s="76"/>
      <c r="P120" s="76"/>
      <c r="Q120" s="76"/>
      <c r="R120" s="67" t="s">
        <v>1549</v>
      </c>
      <c r="S120" s="68">
        <v>890303461</v>
      </c>
      <c r="T120" s="77"/>
      <c r="U120" s="78"/>
      <c r="V120" s="79">
        <v>250000</v>
      </c>
      <c r="W120" s="80">
        <v>3232701</v>
      </c>
    </row>
    <row r="121" spans="1:23" ht="15.6" x14ac:dyDescent="0.3">
      <c r="A121" s="158" t="s">
        <v>1838</v>
      </c>
      <c r="B121" s="69">
        <v>22353595</v>
      </c>
      <c r="C121" s="69" t="s">
        <v>901</v>
      </c>
      <c r="D121" s="69">
        <v>0</v>
      </c>
      <c r="E121" s="70" t="s">
        <v>472</v>
      </c>
      <c r="F121" s="67" t="s">
        <v>1643</v>
      </c>
      <c r="G121" s="71">
        <v>34912</v>
      </c>
      <c r="H121" s="72"/>
      <c r="I121" s="133">
        <v>176322.95</v>
      </c>
      <c r="J121" s="134">
        <v>25206.83</v>
      </c>
      <c r="K121" s="125"/>
      <c r="L121" s="74">
        <v>2.3E-2</v>
      </c>
      <c r="M121" s="75">
        <v>5561</v>
      </c>
      <c r="N121" s="76">
        <v>14</v>
      </c>
      <c r="O121" s="76"/>
      <c r="P121" s="76"/>
      <c r="Q121" s="76"/>
      <c r="R121" s="67" t="s">
        <v>1549</v>
      </c>
      <c r="S121" s="68">
        <v>890303461</v>
      </c>
      <c r="T121" s="77"/>
      <c r="U121" s="78"/>
      <c r="V121" s="79">
        <v>250000</v>
      </c>
      <c r="W121" s="80">
        <v>185319</v>
      </c>
    </row>
    <row r="122" spans="1:23" ht="15.6" x14ac:dyDescent="0.3">
      <c r="A122" s="158" t="s">
        <v>1839</v>
      </c>
      <c r="B122" s="69">
        <v>14955542</v>
      </c>
      <c r="C122" s="69" t="s">
        <v>903</v>
      </c>
      <c r="D122" s="69">
        <v>0</v>
      </c>
      <c r="E122" s="70" t="s">
        <v>472</v>
      </c>
      <c r="F122" s="67" t="s">
        <v>1643</v>
      </c>
      <c r="G122" s="71">
        <v>36494</v>
      </c>
      <c r="H122" s="72"/>
      <c r="I122" s="133">
        <v>39262398.390000001</v>
      </c>
      <c r="J122" s="134">
        <v>5612885.7400000002</v>
      </c>
      <c r="K122" s="125"/>
      <c r="L122" s="74">
        <v>0.4325</v>
      </c>
      <c r="M122" s="75">
        <v>470431</v>
      </c>
      <c r="N122" s="76">
        <v>14</v>
      </c>
      <c r="O122" s="76"/>
      <c r="P122" s="76"/>
      <c r="Q122" s="76"/>
      <c r="R122" s="67" t="s">
        <v>1549</v>
      </c>
      <c r="S122" s="68">
        <v>890303461</v>
      </c>
      <c r="T122" s="77"/>
      <c r="U122" s="78"/>
      <c r="V122" s="79">
        <v>250000</v>
      </c>
      <c r="W122" s="80">
        <v>2194470</v>
      </c>
    </row>
    <row r="123" spans="1:23" ht="15.6" x14ac:dyDescent="0.3">
      <c r="A123" s="158" t="s">
        <v>1840</v>
      </c>
      <c r="B123" s="69">
        <v>24906546</v>
      </c>
      <c r="C123" s="69" t="s">
        <v>907</v>
      </c>
      <c r="D123" s="69">
        <v>0</v>
      </c>
      <c r="E123" s="70" t="s">
        <v>472</v>
      </c>
      <c r="F123" s="67" t="s">
        <v>1643</v>
      </c>
      <c r="G123" s="71">
        <v>32264</v>
      </c>
      <c r="H123" s="72"/>
      <c r="I123" s="133">
        <v>61835982.560000002</v>
      </c>
      <c r="J123" s="134">
        <v>8839966.9700000007</v>
      </c>
      <c r="K123" s="125"/>
      <c r="L123" s="74">
        <v>0.44209999999999999</v>
      </c>
      <c r="M123" s="75">
        <v>45734</v>
      </c>
      <c r="N123" s="76">
        <v>14</v>
      </c>
      <c r="O123" s="76"/>
      <c r="P123" s="76"/>
      <c r="Q123" s="76"/>
      <c r="R123" s="67" t="s">
        <v>1550</v>
      </c>
      <c r="S123" s="68">
        <v>890304155</v>
      </c>
      <c r="T123" s="77"/>
      <c r="U123" s="78"/>
      <c r="V123" s="79">
        <v>250000</v>
      </c>
      <c r="W123" s="80">
        <v>3381113</v>
      </c>
    </row>
    <row r="124" spans="1:23" ht="15.6" x14ac:dyDescent="0.3">
      <c r="A124" s="158" t="s">
        <v>908</v>
      </c>
      <c r="B124" s="69">
        <v>29028230</v>
      </c>
      <c r="C124" s="69" t="s">
        <v>909</v>
      </c>
      <c r="D124" s="69">
        <v>0</v>
      </c>
      <c r="E124" s="70" t="s">
        <v>472</v>
      </c>
      <c r="F124" s="67" t="s">
        <v>1643</v>
      </c>
      <c r="G124" s="71">
        <v>32264</v>
      </c>
      <c r="H124" s="72"/>
      <c r="I124" s="133">
        <v>23287486.050000001</v>
      </c>
      <c r="J124" s="134">
        <v>3329139.42</v>
      </c>
      <c r="K124" s="125"/>
      <c r="L124" s="74">
        <v>0.15670000000000001</v>
      </c>
      <c r="M124" s="75">
        <v>18808</v>
      </c>
      <c r="N124" s="76">
        <v>14</v>
      </c>
      <c r="O124" s="76"/>
      <c r="P124" s="76"/>
      <c r="Q124" s="76"/>
      <c r="R124" s="67" t="s">
        <v>1550</v>
      </c>
      <c r="S124" s="68">
        <v>890304155</v>
      </c>
      <c r="T124" s="77"/>
      <c r="U124" s="78"/>
      <c r="V124" s="79">
        <v>250000</v>
      </c>
      <c r="W124" s="80">
        <v>3592465</v>
      </c>
    </row>
    <row r="125" spans="1:23" ht="15.6" x14ac:dyDescent="0.3">
      <c r="A125" s="158" t="s">
        <v>912</v>
      </c>
      <c r="B125" s="69">
        <v>38972862</v>
      </c>
      <c r="C125" s="69" t="s">
        <v>913</v>
      </c>
      <c r="D125" s="69">
        <v>0</v>
      </c>
      <c r="E125" s="70" t="s">
        <v>19</v>
      </c>
      <c r="F125" s="67" t="s">
        <v>1643</v>
      </c>
      <c r="G125" s="71">
        <v>34700</v>
      </c>
      <c r="H125" s="72">
        <v>45260</v>
      </c>
      <c r="I125" s="133">
        <v>2075178.26</v>
      </c>
      <c r="J125" s="134">
        <v>296663.96000000002</v>
      </c>
      <c r="K125" s="125"/>
      <c r="L125" s="74">
        <v>2.6100000000000002E-2</v>
      </c>
      <c r="M125" s="75">
        <v>16397</v>
      </c>
      <c r="N125" s="76">
        <v>14</v>
      </c>
      <c r="O125" s="76"/>
      <c r="P125" s="76"/>
      <c r="Q125" s="76"/>
      <c r="R125" s="67" t="s">
        <v>1551</v>
      </c>
      <c r="S125" s="68">
        <v>890312840</v>
      </c>
      <c r="T125" s="77"/>
      <c r="U125" s="78"/>
      <c r="V125" s="79">
        <v>250000</v>
      </c>
      <c r="W125" s="80">
        <v>1922002</v>
      </c>
    </row>
    <row r="126" spans="1:23" ht="15.6" x14ac:dyDescent="0.3">
      <c r="A126" s="158" t="s">
        <v>914</v>
      </c>
      <c r="B126" s="69">
        <v>29000055</v>
      </c>
      <c r="C126" s="69" t="s">
        <v>915</v>
      </c>
      <c r="D126" s="69">
        <v>0</v>
      </c>
      <c r="E126" s="70" t="s">
        <v>19</v>
      </c>
      <c r="F126" s="67" t="s">
        <v>1643</v>
      </c>
      <c r="G126" s="71">
        <v>29273</v>
      </c>
      <c r="H126" s="72">
        <v>44894</v>
      </c>
      <c r="I126" s="133">
        <v>7728057.3099999996</v>
      </c>
      <c r="J126" s="134">
        <v>1104789.94</v>
      </c>
      <c r="K126" s="125"/>
      <c r="L126" s="74">
        <v>9.35E-2</v>
      </c>
      <c r="M126" s="75">
        <v>1072</v>
      </c>
      <c r="N126" s="76">
        <v>14</v>
      </c>
      <c r="O126" s="76"/>
      <c r="P126" s="76"/>
      <c r="Q126" s="76"/>
      <c r="R126" s="67" t="s">
        <v>1552</v>
      </c>
      <c r="S126" s="68">
        <v>890399003</v>
      </c>
      <c r="T126" s="77"/>
      <c r="U126" s="78"/>
      <c r="V126" s="79">
        <v>250000</v>
      </c>
      <c r="W126" s="80">
        <v>1998010</v>
      </c>
    </row>
    <row r="127" spans="1:23" ht="15.6" x14ac:dyDescent="0.3">
      <c r="A127" s="158" t="s">
        <v>916</v>
      </c>
      <c r="B127" s="69">
        <v>14957040</v>
      </c>
      <c r="C127" s="69" t="s">
        <v>917</v>
      </c>
      <c r="D127" s="69">
        <v>0</v>
      </c>
      <c r="E127" s="70" t="s">
        <v>19</v>
      </c>
      <c r="F127" s="67" t="s">
        <v>1643</v>
      </c>
      <c r="G127" s="71">
        <v>38458</v>
      </c>
      <c r="H127" s="72"/>
      <c r="I127" s="133">
        <v>224236.77</v>
      </c>
      <c r="J127" s="134">
        <v>32056.51</v>
      </c>
      <c r="K127" s="125"/>
      <c r="L127" s="74">
        <v>3.8199999999999998E-2</v>
      </c>
      <c r="M127" s="75">
        <v>54833</v>
      </c>
      <c r="N127" s="76">
        <v>14</v>
      </c>
      <c r="O127" s="76"/>
      <c r="P127" s="76"/>
      <c r="Q127" s="76"/>
      <c r="R127" s="67" t="s">
        <v>1552</v>
      </c>
      <c r="S127" s="68">
        <v>890399003</v>
      </c>
      <c r="T127" s="77"/>
      <c r="U127" s="78"/>
      <c r="V127" s="79">
        <v>250000</v>
      </c>
      <c r="W127" s="80">
        <v>141900</v>
      </c>
    </row>
    <row r="128" spans="1:23" ht="15.6" x14ac:dyDescent="0.3">
      <c r="A128" s="158" t="s">
        <v>918</v>
      </c>
      <c r="B128" s="69">
        <v>14950647</v>
      </c>
      <c r="C128" s="69" t="s">
        <v>919</v>
      </c>
      <c r="D128" s="69">
        <v>0</v>
      </c>
      <c r="E128" s="70" t="s">
        <v>472</v>
      </c>
      <c r="F128" s="67" t="s">
        <v>1643</v>
      </c>
      <c r="G128" s="71">
        <v>38534</v>
      </c>
      <c r="H128" s="72">
        <v>41639</v>
      </c>
      <c r="I128" s="133">
        <v>335136.71999999997</v>
      </c>
      <c r="J128" s="134">
        <v>47910.58</v>
      </c>
      <c r="K128" s="125"/>
      <c r="L128" s="74">
        <v>3.0800000000000001E-2</v>
      </c>
      <c r="M128" s="75">
        <v>66846</v>
      </c>
      <c r="N128" s="76">
        <v>14</v>
      </c>
      <c r="O128" s="76"/>
      <c r="P128" s="76"/>
      <c r="Q128" s="76"/>
      <c r="R128" s="67" t="s">
        <v>1552</v>
      </c>
      <c r="S128" s="68">
        <v>890399003</v>
      </c>
      <c r="T128" s="77"/>
      <c r="U128" s="78"/>
      <c r="V128" s="79">
        <v>250000</v>
      </c>
      <c r="W128" s="80">
        <v>263033</v>
      </c>
    </row>
    <row r="129" spans="1:23" ht="15.6" x14ac:dyDescent="0.3">
      <c r="A129" s="158" t="s">
        <v>920</v>
      </c>
      <c r="B129" s="69">
        <v>14440334</v>
      </c>
      <c r="C129" s="69" t="s">
        <v>921</v>
      </c>
      <c r="D129" s="69">
        <v>0</v>
      </c>
      <c r="E129" s="70" t="s">
        <v>472</v>
      </c>
      <c r="F129" s="67" t="s">
        <v>1643</v>
      </c>
      <c r="G129" s="71">
        <v>39479</v>
      </c>
      <c r="H129" s="72">
        <v>41639</v>
      </c>
      <c r="I129" s="133">
        <v>1772527.77</v>
      </c>
      <c r="J129" s="134">
        <v>253397.56</v>
      </c>
      <c r="K129" s="125"/>
      <c r="L129" s="74">
        <v>9.3200000000000005E-2</v>
      </c>
      <c r="M129" s="75">
        <v>177715</v>
      </c>
      <c r="N129" s="76">
        <v>13</v>
      </c>
      <c r="O129" s="76"/>
      <c r="P129" s="76"/>
      <c r="Q129" s="76"/>
      <c r="R129" s="67" t="s">
        <v>1552</v>
      </c>
      <c r="S129" s="68">
        <v>890399003</v>
      </c>
      <c r="T129" s="77"/>
      <c r="U129" s="78"/>
      <c r="V129" s="79">
        <v>250000</v>
      </c>
      <c r="W129" s="80">
        <v>459744</v>
      </c>
    </row>
    <row r="130" spans="1:23" ht="15.6" x14ac:dyDescent="0.3">
      <c r="A130" s="158" t="s">
        <v>908</v>
      </c>
      <c r="B130" s="69">
        <v>29028230</v>
      </c>
      <c r="C130" s="69" t="s">
        <v>909</v>
      </c>
      <c r="D130" s="69">
        <v>0</v>
      </c>
      <c r="E130" s="70" t="s">
        <v>472</v>
      </c>
      <c r="F130" s="67" t="s">
        <v>1643</v>
      </c>
      <c r="G130" s="71">
        <v>32264</v>
      </c>
      <c r="H130" s="72">
        <v>45034</v>
      </c>
      <c r="I130" s="133">
        <v>23287486.050000001</v>
      </c>
      <c r="J130" s="134">
        <v>3329139.42</v>
      </c>
      <c r="K130" s="125"/>
      <c r="L130" s="74">
        <v>0.15670000000000001</v>
      </c>
      <c r="M130" s="75">
        <v>48329</v>
      </c>
      <c r="N130" s="76">
        <v>14</v>
      </c>
      <c r="O130" s="76"/>
      <c r="P130" s="76"/>
      <c r="Q130" s="76"/>
      <c r="R130" s="67" t="s">
        <v>1553</v>
      </c>
      <c r="S130" s="68">
        <v>890399010</v>
      </c>
      <c r="T130" s="77"/>
      <c r="U130" s="78"/>
      <c r="V130" s="79">
        <v>250000</v>
      </c>
      <c r="W130" s="80">
        <v>3592465</v>
      </c>
    </row>
    <row r="131" spans="1:23" ht="15.6" x14ac:dyDescent="0.3">
      <c r="A131" s="158" t="s">
        <v>924</v>
      </c>
      <c r="B131" s="69">
        <v>6072246</v>
      </c>
      <c r="C131" s="69" t="s">
        <v>925</v>
      </c>
      <c r="D131" s="69">
        <v>0</v>
      </c>
      <c r="E131" s="70" t="s">
        <v>19</v>
      </c>
      <c r="F131" s="67" t="s">
        <v>1643</v>
      </c>
      <c r="G131" s="71">
        <v>34700</v>
      </c>
      <c r="H131" s="72">
        <v>45034</v>
      </c>
      <c r="I131" s="133">
        <v>846406.02</v>
      </c>
      <c r="J131" s="134">
        <v>121000.77</v>
      </c>
      <c r="K131" s="125"/>
      <c r="L131" s="74">
        <v>1.6199999999999999E-2</v>
      </c>
      <c r="M131" s="75">
        <v>53771</v>
      </c>
      <c r="N131" s="76">
        <v>14</v>
      </c>
      <c r="O131" s="76"/>
      <c r="P131" s="76"/>
      <c r="Q131" s="76"/>
      <c r="R131" s="67" t="s">
        <v>1553</v>
      </c>
      <c r="S131" s="68">
        <v>890399010</v>
      </c>
      <c r="T131" s="77"/>
      <c r="U131" s="78"/>
      <c r="V131" s="79">
        <v>250000</v>
      </c>
      <c r="W131" s="80">
        <v>1262998</v>
      </c>
    </row>
    <row r="132" spans="1:23" ht="15.6" x14ac:dyDescent="0.3">
      <c r="A132" s="158" t="s">
        <v>926</v>
      </c>
      <c r="B132" s="69">
        <v>29646891</v>
      </c>
      <c r="C132" s="69" t="s">
        <v>927</v>
      </c>
      <c r="D132" s="69">
        <v>0</v>
      </c>
      <c r="E132" s="70" t="s">
        <v>472</v>
      </c>
      <c r="F132" s="67" t="s">
        <v>1643</v>
      </c>
      <c r="G132" s="71">
        <v>35064</v>
      </c>
      <c r="H132" s="72">
        <v>45034</v>
      </c>
      <c r="I132" s="133">
        <v>910260.69</v>
      </c>
      <c r="J132" s="134">
        <v>130129.32</v>
      </c>
      <c r="K132" s="125"/>
      <c r="L132" s="74">
        <v>7.17E-2</v>
      </c>
      <c r="M132" s="75">
        <v>15873</v>
      </c>
      <c r="N132" s="76">
        <v>14</v>
      </c>
      <c r="O132" s="76"/>
      <c r="P132" s="76"/>
      <c r="Q132" s="76"/>
      <c r="R132" s="67" t="s">
        <v>1553</v>
      </c>
      <c r="S132" s="68">
        <v>890399010</v>
      </c>
      <c r="T132" s="77"/>
      <c r="U132" s="78"/>
      <c r="V132" s="79">
        <v>250000</v>
      </c>
      <c r="W132" s="80">
        <v>306892</v>
      </c>
    </row>
    <row r="133" spans="1:23" ht="15.6" x14ac:dyDescent="0.3">
      <c r="A133" s="158" t="s">
        <v>1841</v>
      </c>
      <c r="B133" s="69">
        <v>16581282</v>
      </c>
      <c r="C133" s="69" t="s">
        <v>931</v>
      </c>
      <c r="D133" s="69">
        <v>0</v>
      </c>
      <c r="E133" s="70" t="s">
        <v>472</v>
      </c>
      <c r="F133" s="67" t="s">
        <v>1643</v>
      </c>
      <c r="G133" s="71">
        <v>39992</v>
      </c>
      <c r="H133" s="72">
        <v>45034</v>
      </c>
      <c r="I133" s="133">
        <v>26377293.879999999</v>
      </c>
      <c r="J133" s="134">
        <v>3770853.1</v>
      </c>
      <c r="K133" s="125"/>
      <c r="L133" s="74">
        <v>0.20419999999999999</v>
      </c>
      <c r="M133" s="75">
        <v>732733</v>
      </c>
      <c r="N133" s="76">
        <v>13</v>
      </c>
      <c r="O133" s="76"/>
      <c r="P133" s="76"/>
      <c r="Q133" s="76"/>
      <c r="R133" s="67" t="s">
        <v>1553</v>
      </c>
      <c r="S133" s="68">
        <v>890399010</v>
      </c>
      <c r="T133" s="77"/>
      <c r="U133" s="78"/>
      <c r="V133" s="79">
        <v>250000</v>
      </c>
      <c r="W133" s="80">
        <v>3122579</v>
      </c>
    </row>
    <row r="134" spans="1:23" ht="15.6" x14ac:dyDescent="0.3">
      <c r="A134" s="158" t="s">
        <v>932</v>
      </c>
      <c r="B134" s="69">
        <v>2408193</v>
      </c>
      <c r="C134" s="69" t="s">
        <v>933</v>
      </c>
      <c r="D134" s="69">
        <v>0</v>
      </c>
      <c r="E134" s="70" t="s">
        <v>19</v>
      </c>
      <c r="F134" s="67" t="s">
        <v>1643</v>
      </c>
      <c r="G134" s="71">
        <v>28307</v>
      </c>
      <c r="H134" s="72">
        <v>45034</v>
      </c>
      <c r="I134" s="133">
        <v>6304402.04</v>
      </c>
      <c r="J134" s="134">
        <v>901266.6</v>
      </c>
      <c r="K134" s="125"/>
      <c r="L134" s="74">
        <v>0.2833</v>
      </c>
      <c r="M134" s="75">
        <v>1252</v>
      </c>
      <c r="N134" s="76">
        <v>14</v>
      </c>
      <c r="O134" s="76"/>
      <c r="P134" s="76"/>
      <c r="Q134" s="76"/>
      <c r="R134" s="67" t="s">
        <v>1554</v>
      </c>
      <c r="S134" s="68">
        <v>890399011</v>
      </c>
      <c r="T134" s="77">
        <v>16701502</v>
      </c>
      <c r="U134" s="78" t="s">
        <v>1704</v>
      </c>
      <c r="V134" s="79">
        <v>250000</v>
      </c>
      <c r="W134" s="80">
        <v>537943</v>
      </c>
    </row>
    <row r="135" spans="1:23" ht="15.6" x14ac:dyDescent="0.3">
      <c r="A135" s="158" t="s">
        <v>936</v>
      </c>
      <c r="B135" s="69">
        <v>29000055</v>
      </c>
      <c r="C135" s="69" t="s">
        <v>915</v>
      </c>
      <c r="D135" s="69">
        <v>0</v>
      </c>
      <c r="E135" s="70" t="s">
        <v>472</v>
      </c>
      <c r="F135" s="67" t="s">
        <v>1643</v>
      </c>
      <c r="G135" s="71">
        <v>29273</v>
      </c>
      <c r="H135" s="72">
        <v>45034</v>
      </c>
      <c r="I135" s="133">
        <v>7728057.3099999996</v>
      </c>
      <c r="J135" s="134">
        <v>1104789.94</v>
      </c>
      <c r="K135" s="125"/>
      <c r="L135" s="74">
        <v>9.35E-2</v>
      </c>
      <c r="M135" s="75">
        <v>1311</v>
      </c>
      <c r="N135" s="76">
        <v>14</v>
      </c>
      <c r="O135" s="76"/>
      <c r="P135" s="76"/>
      <c r="Q135" s="76"/>
      <c r="R135" s="67" t="s">
        <v>1554</v>
      </c>
      <c r="S135" s="68">
        <v>890399011</v>
      </c>
      <c r="T135" s="77"/>
      <c r="U135" s="78"/>
      <c r="V135" s="79">
        <v>250000</v>
      </c>
      <c r="W135" s="80">
        <v>1998010</v>
      </c>
    </row>
    <row r="136" spans="1:23" ht="15.6" x14ac:dyDescent="0.3">
      <c r="A136" s="158" t="s">
        <v>937</v>
      </c>
      <c r="B136" s="69">
        <v>6063390</v>
      </c>
      <c r="C136" s="69" t="s">
        <v>938</v>
      </c>
      <c r="D136" s="69">
        <v>0</v>
      </c>
      <c r="E136" s="70" t="s">
        <v>472</v>
      </c>
      <c r="F136" s="67" t="s">
        <v>1643</v>
      </c>
      <c r="G136" s="71">
        <v>30202</v>
      </c>
      <c r="H136" s="72">
        <v>45034</v>
      </c>
      <c r="I136" s="133">
        <v>4102061.18</v>
      </c>
      <c r="J136" s="134">
        <v>586423.68999999994</v>
      </c>
      <c r="K136" s="125"/>
      <c r="L136" s="74">
        <v>6.6100000000000006E-2</v>
      </c>
      <c r="M136" s="75">
        <v>59110</v>
      </c>
      <c r="N136" s="76">
        <v>14</v>
      </c>
      <c r="O136" s="76"/>
      <c r="P136" s="76"/>
      <c r="Q136" s="76"/>
      <c r="R136" s="67" t="s">
        <v>1554</v>
      </c>
      <c r="S136" s="68">
        <v>890399011</v>
      </c>
      <c r="T136" s="77">
        <v>29273108</v>
      </c>
      <c r="U136" s="78" t="s">
        <v>1706</v>
      </c>
      <c r="V136" s="79">
        <v>250000</v>
      </c>
      <c r="W136" s="80">
        <v>1500167</v>
      </c>
    </row>
    <row r="137" spans="1:23" ht="15.6" x14ac:dyDescent="0.3">
      <c r="A137" s="158" t="s">
        <v>941</v>
      </c>
      <c r="B137" s="69">
        <v>6546501</v>
      </c>
      <c r="C137" s="69" t="s">
        <v>942</v>
      </c>
      <c r="D137" s="69">
        <v>0</v>
      </c>
      <c r="E137" s="70" t="s">
        <v>19</v>
      </c>
      <c r="F137" s="67" t="s">
        <v>1643</v>
      </c>
      <c r="G137" s="71">
        <v>32509</v>
      </c>
      <c r="H137" s="72">
        <v>45034</v>
      </c>
      <c r="I137" s="133">
        <v>41008028.090000004</v>
      </c>
      <c r="J137" s="134">
        <v>5862438</v>
      </c>
      <c r="K137" s="125"/>
      <c r="L137" s="74">
        <v>0.49390000000000001</v>
      </c>
      <c r="M137" s="75">
        <v>68054</v>
      </c>
      <c r="N137" s="76">
        <v>14</v>
      </c>
      <c r="O137" s="76"/>
      <c r="P137" s="76"/>
      <c r="Q137" s="76"/>
      <c r="R137" s="67" t="s">
        <v>1554</v>
      </c>
      <c r="S137" s="68">
        <v>890399011</v>
      </c>
      <c r="T137" s="77"/>
      <c r="U137" s="78"/>
      <c r="V137" s="79">
        <v>250000</v>
      </c>
      <c r="W137" s="80">
        <v>2007099</v>
      </c>
    </row>
    <row r="138" spans="1:23" ht="15.6" x14ac:dyDescent="0.3">
      <c r="A138" s="158" t="s">
        <v>943</v>
      </c>
      <c r="B138" s="69">
        <v>2452641</v>
      </c>
      <c r="C138" s="69" t="s">
        <v>944</v>
      </c>
      <c r="D138" s="69">
        <v>0</v>
      </c>
      <c r="E138" s="70" t="s">
        <v>472</v>
      </c>
      <c r="F138" s="67" t="s">
        <v>1643</v>
      </c>
      <c r="G138" s="71">
        <v>33635</v>
      </c>
      <c r="H138" s="72">
        <v>45034</v>
      </c>
      <c r="I138" s="133">
        <v>9644746.1600000001</v>
      </c>
      <c r="J138" s="134">
        <v>1378796.52</v>
      </c>
      <c r="K138" s="125"/>
      <c r="L138" s="74">
        <v>0.36780000000000002</v>
      </c>
      <c r="M138" s="75">
        <v>23974</v>
      </c>
      <c r="N138" s="76">
        <v>14</v>
      </c>
      <c r="O138" s="76"/>
      <c r="P138" s="76"/>
      <c r="Q138" s="76"/>
      <c r="R138" s="67" t="s">
        <v>1554</v>
      </c>
      <c r="S138" s="68">
        <v>890399011</v>
      </c>
      <c r="T138" s="77">
        <v>29851266</v>
      </c>
      <c r="U138" s="78" t="s">
        <v>1708</v>
      </c>
      <c r="V138" s="79">
        <v>250000</v>
      </c>
      <c r="W138" s="80">
        <v>633896</v>
      </c>
    </row>
    <row r="139" spans="1:23" ht="15.6" x14ac:dyDescent="0.3">
      <c r="A139" s="158" t="s">
        <v>1842</v>
      </c>
      <c r="B139" s="69">
        <v>38991298</v>
      </c>
      <c r="C139" s="69" t="s">
        <v>946</v>
      </c>
      <c r="D139" s="69">
        <v>0</v>
      </c>
      <c r="E139" s="70" t="s">
        <v>472</v>
      </c>
      <c r="F139" s="67" t="s">
        <v>1643</v>
      </c>
      <c r="G139" s="71">
        <v>35431</v>
      </c>
      <c r="H139" s="72">
        <v>45034</v>
      </c>
      <c r="I139" s="133">
        <v>3388024.46</v>
      </c>
      <c r="J139" s="134">
        <v>484346.22</v>
      </c>
      <c r="K139" s="125"/>
      <c r="L139" s="74">
        <v>0.1255</v>
      </c>
      <c r="M139" s="75">
        <v>101804</v>
      </c>
      <c r="N139" s="76">
        <v>14</v>
      </c>
      <c r="O139" s="76"/>
      <c r="P139" s="76"/>
      <c r="Q139" s="76"/>
      <c r="R139" s="67" t="s">
        <v>1554</v>
      </c>
      <c r="S139" s="68">
        <v>890399011</v>
      </c>
      <c r="T139" s="77"/>
      <c r="U139" s="78"/>
      <c r="V139" s="79">
        <v>250000</v>
      </c>
      <c r="W139" s="80">
        <v>652592</v>
      </c>
    </row>
    <row r="140" spans="1:23" ht="15.6" x14ac:dyDescent="0.3">
      <c r="A140" s="158" t="s">
        <v>947</v>
      </c>
      <c r="B140" s="69">
        <v>14959056</v>
      </c>
      <c r="C140" s="69" t="s">
        <v>948</v>
      </c>
      <c r="D140" s="69">
        <v>0</v>
      </c>
      <c r="E140" s="70" t="s">
        <v>19</v>
      </c>
      <c r="F140" s="67" t="s">
        <v>1643</v>
      </c>
      <c r="G140" s="71">
        <v>38353</v>
      </c>
      <c r="H140" s="72">
        <v>45034</v>
      </c>
      <c r="I140" s="133">
        <v>22107654.280000001</v>
      </c>
      <c r="J140" s="134">
        <v>3160472.68</v>
      </c>
      <c r="K140" s="125"/>
      <c r="L140" s="74">
        <v>0.32590000000000002</v>
      </c>
      <c r="M140" s="75">
        <v>600646</v>
      </c>
      <c r="N140" s="76">
        <v>14</v>
      </c>
      <c r="O140" s="76"/>
      <c r="P140" s="76"/>
      <c r="Q140" s="76"/>
      <c r="R140" s="67" t="s">
        <v>1554</v>
      </c>
      <c r="S140" s="68">
        <v>890399011</v>
      </c>
      <c r="T140" s="77"/>
      <c r="U140" s="78"/>
      <c r="V140" s="79">
        <v>250000</v>
      </c>
      <c r="W140" s="80">
        <v>1639824</v>
      </c>
    </row>
    <row r="141" spans="1:23" ht="15.6" x14ac:dyDescent="0.3">
      <c r="A141" s="158" t="s">
        <v>949</v>
      </c>
      <c r="B141" s="69">
        <v>14970690</v>
      </c>
      <c r="C141" s="69" t="s">
        <v>950</v>
      </c>
      <c r="D141" s="69">
        <v>0</v>
      </c>
      <c r="E141" s="70" t="s">
        <v>472</v>
      </c>
      <c r="F141" s="67" t="s">
        <v>1643</v>
      </c>
      <c r="G141" s="71">
        <v>39753</v>
      </c>
      <c r="H141" s="72"/>
      <c r="I141" s="133">
        <v>1175073.44</v>
      </c>
      <c r="J141" s="134">
        <v>167986.5</v>
      </c>
      <c r="K141" s="125"/>
      <c r="L141" s="74">
        <v>2.1600000000000001E-2</v>
      </c>
      <c r="M141" s="75">
        <v>284716</v>
      </c>
      <c r="N141" s="76">
        <v>13</v>
      </c>
      <c r="O141" s="76"/>
      <c r="P141" s="76"/>
      <c r="Q141" s="76"/>
      <c r="R141" s="67" t="s">
        <v>1554</v>
      </c>
      <c r="S141" s="68">
        <v>890399011</v>
      </c>
      <c r="T141" s="77"/>
      <c r="U141" s="78"/>
      <c r="V141" s="79">
        <v>250000</v>
      </c>
      <c r="W141" s="80">
        <v>1315074</v>
      </c>
    </row>
    <row r="142" spans="1:23" ht="15.6" x14ac:dyDescent="0.3">
      <c r="A142" s="158" t="s">
        <v>951</v>
      </c>
      <c r="B142" s="69">
        <v>38940912</v>
      </c>
      <c r="C142" s="69" t="s">
        <v>952</v>
      </c>
      <c r="D142" s="69">
        <v>0</v>
      </c>
      <c r="E142" s="70" t="s">
        <v>472</v>
      </c>
      <c r="F142" s="67" t="s">
        <v>1643</v>
      </c>
      <c r="G142" s="71">
        <v>40147</v>
      </c>
      <c r="H142" s="72"/>
      <c r="I142" s="133">
        <v>12712787.710000001</v>
      </c>
      <c r="J142" s="134">
        <v>1817398.52</v>
      </c>
      <c r="K142" s="125"/>
      <c r="L142" s="74">
        <v>0.12640000000000001</v>
      </c>
      <c r="M142" s="75">
        <v>358930</v>
      </c>
      <c r="N142" s="76">
        <v>13</v>
      </c>
      <c r="O142" s="76"/>
      <c r="P142" s="76"/>
      <c r="Q142" s="76"/>
      <c r="R142" s="67" t="s">
        <v>1554</v>
      </c>
      <c r="S142" s="68">
        <v>890399011</v>
      </c>
      <c r="T142" s="77"/>
      <c r="U142" s="78"/>
      <c r="V142" s="79">
        <v>250000</v>
      </c>
      <c r="W142" s="80">
        <v>2431267</v>
      </c>
    </row>
    <row r="143" spans="1:23" ht="15.6" x14ac:dyDescent="0.3">
      <c r="A143" s="158" t="s">
        <v>1843</v>
      </c>
      <c r="B143" s="69">
        <v>6043169</v>
      </c>
      <c r="C143" s="69" t="s">
        <v>956</v>
      </c>
      <c r="D143" s="69">
        <v>0</v>
      </c>
      <c r="E143" s="70" t="s">
        <v>472</v>
      </c>
      <c r="F143" s="67" t="s">
        <v>1643</v>
      </c>
      <c r="G143" s="71">
        <v>25674</v>
      </c>
      <c r="H143" s="72">
        <v>44889</v>
      </c>
      <c r="I143" s="133">
        <v>198992558.53</v>
      </c>
      <c r="J143" s="134">
        <v>28447637.949999999</v>
      </c>
      <c r="K143" s="125"/>
      <c r="L143" s="74">
        <v>0.65439999999999998</v>
      </c>
      <c r="M143" s="75">
        <v>4193</v>
      </c>
      <c r="N143" s="76">
        <v>14</v>
      </c>
      <c r="O143" s="76"/>
      <c r="P143" s="76"/>
      <c r="Q143" s="76"/>
      <c r="R143" s="67" t="s">
        <v>1556</v>
      </c>
      <c r="S143" s="68">
        <v>890399029</v>
      </c>
      <c r="T143" s="77">
        <v>38959134</v>
      </c>
      <c r="U143" s="78" t="s">
        <v>1709</v>
      </c>
      <c r="V143" s="79">
        <v>250000</v>
      </c>
      <c r="W143" s="80">
        <v>7350764</v>
      </c>
    </row>
    <row r="144" spans="1:23" ht="15.6" x14ac:dyDescent="0.3">
      <c r="A144" s="158" t="s">
        <v>961</v>
      </c>
      <c r="B144" s="69">
        <v>2419662</v>
      </c>
      <c r="C144" s="69" t="s">
        <v>962</v>
      </c>
      <c r="D144" s="69">
        <v>0</v>
      </c>
      <c r="E144" s="70" t="s">
        <v>472</v>
      </c>
      <c r="F144" s="67" t="s">
        <v>1643</v>
      </c>
      <c r="G144" s="71">
        <v>26846</v>
      </c>
      <c r="H144" s="72">
        <v>44889</v>
      </c>
      <c r="I144" s="133">
        <v>28062460.460000001</v>
      </c>
      <c r="J144" s="134">
        <v>4011761.65</v>
      </c>
      <c r="K144" s="125"/>
      <c r="L144" s="74">
        <v>0.25140000000000001</v>
      </c>
      <c r="M144" s="75">
        <v>1495</v>
      </c>
      <c r="N144" s="76">
        <v>14</v>
      </c>
      <c r="O144" s="76"/>
      <c r="P144" s="76"/>
      <c r="Q144" s="76"/>
      <c r="R144" s="67" t="s">
        <v>1556</v>
      </c>
      <c r="S144" s="68">
        <v>890399029</v>
      </c>
      <c r="T144" s="77">
        <v>29071625</v>
      </c>
      <c r="U144" s="78" t="s">
        <v>1712</v>
      </c>
      <c r="V144" s="79">
        <v>250000</v>
      </c>
      <c r="W144" s="80">
        <v>2698357</v>
      </c>
    </row>
    <row r="145" spans="1:23" ht="15.6" x14ac:dyDescent="0.3">
      <c r="A145" s="158" t="s">
        <v>971</v>
      </c>
      <c r="B145" s="69">
        <v>2539131</v>
      </c>
      <c r="C145" s="69" t="s">
        <v>972</v>
      </c>
      <c r="D145" s="69">
        <v>0</v>
      </c>
      <c r="E145" s="70" t="s">
        <v>472</v>
      </c>
      <c r="F145" s="67" t="s">
        <v>1643</v>
      </c>
      <c r="G145" s="71">
        <v>32599</v>
      </c>
      <c r="H145" s="72">
        <v>44889</v>
      </c>
      <c r="I145" s="133">
        <v>93302235.049999997</v>
      </c>
      <c r="J145" s="134">
        <v>13338328.939999999</v>
      </c>
      <c r="K145" s="125"/>
      <c r="L145" s="74">
        <v>0.95699999999999996</v>
      </c>
      <c r="M145" s="75">
        <v>106584</v>
      </c>
      <c r="N145" s="76">
        <v>14</v>
      </c>
      <c r="O145" s="76"/>
      <c r="P145" s="76"/>
      <c r="Q145" s="76"/>
      <c r="R145" s="67" t="s">
        <v>1556</v>
      </c>
      <c r="S145" s="68">
        <v>890399029</v>
      </c>
      <c r="T145" s="77">
        <v>38971272</v>
      </c>
      <c r="U145" s="78" t="s">
        <v>1716</v>
      </c>
      <c r="V145" s="79">
        <v>250000</v>
      </c>
      <c r="W145" s="80">
        <v>2356780</v>
      </c>
    </row>
    <row r="146" spans="1:23" ht="16.2" thickBot="1" x14ac:dyDescent="0.35">
      <c r="A146" s="158" t="s">
        <v>973</v>
      </c>
      <c r="B146" s="69">
        <v>2504613</v>
      </c>
      <c r="C146" s="69" t="s">
        <v>974</v>
      </c>
      <c r="D146" s="69">
        <v>0</v>
      </c>
      <c r="E146" s="70" t="s">
        <v>472</v>
      </c>
      <c r="F146" s="67" t="s">
        <v>1643</v>
      </c>
      <c r="G146" s="71">
        <v>32842</v>
      </c>
      <c r="H146" s="86">
        <v>44889</v>
      </c>
      <c r="I146" s="133">
        <v>32809880.579999998</v>
      </c>
      <c r="J146" s="134">
        <v>4690444.76</v>
      </c>
      <c r="K146" s="125"/>
      <c r="L146" s="74">
        <v>0.2326</v>
      </c>
      <c r="M146" s="75">
        <v>37375</v>
      </c>
      <c r="N146" s="76">
        <v>14</v>
      </c>
      <c r="O146" s="76"/>
      <c r="P146" s="76"/>
      <c r="Q146" s="76"/>
      <c r="R146" s="67" t="s">
        <v>1556</v>
      </c>
      <c r="S146" s="68">
        <v>890399029</v>
      </c>
      <c r="T146" s="77">
        <v>38858741</v>
      </c>
      <c r="U146" s="78" t="s">
        <v>1717</v>
      </c>
      <c r="V146" s="79">
        <v>250000</v>
      </c>
      <c r="W146" s="80">
        <v>3409839</v>
      </c>
    </row>
    <row r="147" spans="1:23" ht="15.6" x14ac:dyDescent="0.3">
      <c r="A147" s="158" t="s">
        <v>975</v>
      </c>
      <c r="B147" s="69">
        <v>2444430</v>
      </c>
      <c r="C147" s="69" t="s">
        <v>976</v>
      </c>
      <c r="D147" s="69">
        <v>0</v>
      </c>
      <c r="E147" s="70" t="s">
        <v>19</v>
      </c>
      <c r="F147" s="67" t="s">
        <v>1643</v>
      </c>
      <c r="G147" s="71">
        <v>33938</v>
      </c>
      <c r="H147" s="87">
        <v>44889</v>
      </c>
      <c r="I147" s="133">
        <v>21439093.059999999</v>
      </c>
      <c r="J147" s="134">
        <v>3064896.31</v>
      </c>
      <c r="K147" s="125"/>
      <c r="L147" s="74">
        <v>0.18779999999999999</v>
      </c>
      <c r="M147" s="75">
        <v>35181</v>
      </c>
      <c r="N147" s="76">
        <v>14</v>
      </c>
      <c r="O147" s="76"/>
      <c r="P147" s="76"/>
      <c r="Q147" s="76"/>
      <c r="R147" s="67" t="s">
        <v>1556</v>
      </c>
      <c r="S147" s="68">
        <v>890399029</v>
      </c>
      <c r="T147" s="77">
        <v>31850755</v>
      </c>
      <c r="U147" s="78" t="s">
        <v>1718</v>
      </c>
      <c r="V147" s="79">
        <v>250000</v>
      </c>
      <c r="W147" s="80">
        <v>2759623</v>
      </c>
    </row>
    <row r="148" spans="1:23" ht="15.6" x14ac:dyDescent="0.3">
      <c r="A148" s="158" t="s">
        <v>977</v>
      </c>
      <c r="B148" s="69">
        <v>6366164</v>
      </c>
      <c r="C148" s="69" t="s">
        <v>978</v>
      </c>
      <c r="D148" s="69">
        <v>0</v>
      </c>
      <c r="E148" s="70" t="s">
        <v>472</v>
      </c>
      <c r="F148" s="67" t="s">
        <v>1643</v>
      </c>
      <c r="G148" s="71">
        <v>34700</v>
      </c>
      <c r="H148" s="72">
        <v>44889</v>
      </c>
      <c r="I148" s="133">
        <v>1911567.68</v>
      </c>
      <c r="J148" s="134">
        <v>273274.46999999997</v>
      </c>
      <c r="K148" s="125"/>
      <c r="L148" s="74">
        <v>6.7500000000000004E-2</v>
      </c>
      <c r="M148" s="75">
        <v>26236</v>
      </c>
      <c r="N148" s="76">
        <v>14</v>
      </c>
      <c r="O148" s="76"/>
      <c r="P148" s="76"/>
      <c r="Q148" s="76"/>
      <c r="R148" s="67" t="s">
        <v>1556</v>
      </c>
      <c r="S148" s="68">
        <v>890399029</v>
      </c>
      <c r="T148" s="77"/>
      <c r="U148" s="78"/>
      <c r="V148" s="79">
        <v>250000</v>
      </c>
      <c r="W148" s="80">
        <v>684581</v>
      </c>
    </row>
    <row r="149" spans="1:23" ht="15.6" x14ac:dyDescent="0.3">
      <c r="A149" s="158" t="s">
        <v>979</v>
      </c>
      <c r="B149" s="69">
        <v>29278635</v>
      </c>
      <c r="C149" s="69" t="s">
        <v>980</v>
      </c>
      <c r="D149" s="69">
        <v>0</v>
      </c>
      <c r="E149" s="70" t="s">
        <v>472</v>
      </c>
      <c r="F149" s="67" t="s">
        <v>1643</v>
      </c>
      <c r="G149" s="71">
        <v>36739</v>
      </c>
      <c r="H149" s="72">
        <v>44889</v>
      </c>
      <c r="I149" s="133">
        <v>3890234.66</v>
      </c>
      <c r="J149" s="134">
        <v>556141.34</v>
      </c>
      <c r="K149" s="125"/>
      <c r="L149" s="74">
        <v>0.13919999999999999</v>
      </c>
      <c r="M149" s="75">
        <v>62877</v>
      </c>
      <c r="N149" s="76">
        <v>14</v>
      </c>
      <c r="O149" s="76"/>
      <c r="P149" s="76"/>
      <c r="Q149" s="76"/>
      <c r="R149" s="67" t="s">
        <v>1556</v>
      </c>
      <c r="S149" s="68">
        <v>890399029</v>
      </c>
      <c r="T149" s="77"/>
      <c r="U149" s="78"/>
      <c r="V149" s="79">
        <v>250000</v>
      </c>
      <c r="W149" s="80">
        <v>675578</v>
      </c>
    </row>
    <row r="150" spans="1:23" ht="15.6" x14ac:dyDescent="0.3">
      <c r="A150" s="158" t="s">
        <v>981</v>
      </c>
      <c r="B150" s="69">
        <v>29655686</v>
      </c>
      <c r="C150" s="69" t="s">
        <v>982</v>
      </c>
      <c r="D150" s="69">
        <v>0</v>
      </c>
      <c r="E150" s="70" t="s">
        <v>472</v>
      </c>
      <c r="F150" s="67" t="s">
        <v>1643</v>
      </c>
      <c r="G150" s="71">
        <v>35064</v>
      </c>
      <c r="H150" s="108">
        <v>44889</v>
      </c>
      <c r="I150" s="133">
        <v>6147036.8600000003</v>
      </c>
      <c r="J150" s="134">
        <v>878769.94</v>
      </c>
      <c r="K150" s="125"/>
      <c r="L150" s="74">
        <v>0.14199999999999999</v>
      </c>
      <c r="M150" s="75">
        <v>54103</v>
      </c>
      <c r="N150" s="76">
        <v>14</v>
      </c>
      <c r="O150" s="76"/>
      <c r="P150" s="76"/>
      <c r="Q150" s="76"/>
      <c r="R150" s="67" t="s">
        <v>1556</v>
      </c>
      <c r="S150" s="68">
        <v>890399029</v>
      </c>
      <c r="T150" s="77"/>
      <c r="U150" s="78"/>
      <c r="V150" s="79">
        <v>250000</v>
      </c>
      <c r="W150" s="80">
        <v>1046445</v>
      </c>
    </row>
    <row r="151" spans="1:23" ht="16.2" thickBot="1" x14ac:dyDescent="0.35">
      <c r="A151" s="158" t="s">
        <v>983</v>
      </c>
      <c r="B151" s="69">
        <v>29184246</v>
      </c>
      <c r="C151" s="69" t="s">
        <v>984</v>
      </c>
      <c r="D151" s="69">
        <v>0</v>
      </c>
      <c r="E151" s="70" t="s">
        <v>472</v>
      </c>
      <c r="F151" s="67" t="s">
        <v>1643</v>
      </c>
      <c r="G151" s="71">
        <v>34700</v>
      </c>
      <c r="H151" s="86">
        <v>44889</v>
      </c>
      <c r="I151" s="133">
        <v>6326807.4299999997</v>
      </c>
      <c r="J151" s="134">
        <v>904469.64</v>
      </c>
      <c r="K151" s="125"/>
      <c r="L151" s="74">
        <v>0.23949999999999999</v>
      </c>
      <c r="M151" s="75">
        <v>80466</v>
      </c>
      <c r="N151" s="76">
        <v>14</v>
      </c>
      <c r="O151" s="76"/>
      <c r="P151" s="76"/>
      <c r="Q151" s="76"/>
      <c r="R151" s="67" t="s">
        <v>1556</v>
      </c>
      <c r="S151" s="68">
        <v>890399029</v>
      </c>
      <c r="T151" s="77"/>
      <c r="U151" s="78"/>
      <c r="V151" s="79">
        <v>250000</v>
      </c>
      <c r="W151" s="80">
        <v>638584</v>
      </c>
    </row>
    <row r="152" spans="1:23" ht="15.6" x14ac:dyDescent="0.3">
      <c r="A152" s="158" t="s">
        <v>985</v>
      </c>
      <c r="B152" s="69">
        <v>20161316</v>
      </c>
      <c r="C152" s="69" t="s">
        <v>986</v>
      </c>
      <c r="D152" s="69">
        <v>0</v>
      </c>
      <c r="E152" s="70" t="s">
        <v>472</v>
      </c>
      <c r="F152" s="67" t="s">
        <v>1643</v>
      </c>
      <c r="G152" s="71">
        <v>73815</v>
      </c>
      <c r="H152" s="87">
        <v>44889</v>
      </c>
      <c r="I152" s="133">
        <v>5297342.04</v>
      </c>
      <c r="J152" s="134">
        <v>757299.01</v>
      </c>
      <c r="K152" s="125"/>
      <c r="L152" s="74">
        <v>0.1244</v>
      </c>
      <c r="M152" s="75">
        <v>14202</v>
      </c>
      <c r="N152" s="76">
        <v>14</v>
      </c>
      <c r="O152" s="76"/>
      <c r="P152" s="76"/>
      <c r="Q152" s="76"/>
      <c r="R152" s="67" t="s">
        <v>1556</v>
      </c>
      <c r="S152" s="68">
        <v>890399029</v>
      </c>
      <c r="T152" s="77"/>
      <c r="U152" s="78"/>
      <c r="V152" s="79">
        <v>250000</v>
      </c>
      <c r="W152" s="80">
        <v>1029382</v>
      </c>
    </row>
    <row r="153" spans="1:23" ht="16.2" thickBot="1" x14ac:dyDescent="0.35">
      <c r="A153" s="158" t="s">
        <v>987</v>
      </c>
      <c r="B153" s="69">
        <v>2514674</v>
      </c>
      <c r="C153" s="69" t="s">
        <v>988</v>
      </c>
      <c r="D153" s="69">
        <v>0</v>
      </c>
      <c r="E153" s="70" t="s">
        <v>472</v>
      </c>
      <c r="F153" s="67" t="s">
        <v>1643</v>
      </c>
      <c r="G153" s="71">
        <v>36494</v>
      </c>
      <c r="H153" s="86">
        <v>44889</v>
      </c>
      <c r="I153" s="133">
        <v>20082994.579999998</v>
      </c>
      <c r="J153" s="134">
        <v>2871030.77</v>
      </c>
      <c r="K153" s="125"/>
      <c r="L153" s="74">
        <v>0.67179999999999995</v>
      </c>
      <c r="M153" s="75">
        <v>336982</v>
      </c>
      <c r="N153" s="76">
        <v>14</v>
      </c>
      <c r="O153" s="76"/>
      <c r="P153" s="76"/>
      <c r="Q153" s="76"/>
      <c r="R153" s="67" t="s">
        <v>1556</v>
      </c>
      <c r="S153" s="68">
        <v>890399029</v>
      </c>
      <c r="T153" s="77"/>
      <c r="U153" s="78"/>
      <c r="V153" s="79">
        <v>250000</v>
      </c>
      <c r="W153" s="80">
        <v>722649</v>
      </c>
    </row>
    <row r="154" spans="1:23" ht="16.2" thickBot="1" x14ac:dyDescent="0.35">
      <c r="A154" s="158" t="s">
        <v>1844</v>
      </c>
      <c r="B154" s="69">
        <v>14939907</v>
      </c>
      <c r="C154" s="69" t="s">
        <v>990</v>
      </c>
      <c r="D154" s="69">
        <v>0</v>
      </c>
      <c r="E154" s="70" t="s">
        <v>472</v>
      </c>
      <c r="F154" s="67" t="s">
        <v>1643</v>
      </c>
      <c r="G154" s="71">
        <v>37378</v>
      </c>
      <c r="H154" s="109">
        <v>44889</v>
      </c>
      <c r="I154" s="133">
        <v>11808331.26</v>
      </c>
      <c r="J154" s="134">
        <v>1688098.97</v>
      </c>
      <c r="K154" s="125"/>
      <c r="L154" s="74">
        <v>0.12509999999999999</v>
      </c>
      <c r="M154" s="75">
        <v>267108</v>
      </c>
      <c r="N154" s="76">
        <v>14</v>
      </c>
      <c r="O154" s="76"/>
      <c r="P154" s="76"/>
      <c r="Q154" s="76"/>
      <c r="R154" s="67" t="s">
        <v>1556</v>
      </c>
      <c r="S154" s="68">
        <v>890399029</v>
      </c>
      <c r="T154" s="77">
        <v>38999764</v>
      </c>
      <c r="U154" s="78" t="s">
        <v>1719</v>
      </c>
      <c r="V154" s="79">
        <v>250000</v>
      </c>
      <c r="W154" s="80">
        <v>2281761</v>
      </c>
    </row>
    <row r="155" spans="1:23" ht="15.6" x14ac:dyDescent="0.3">
      <c r="A155" s="158" t="s">
        <v>991</v>
      </c>
      <c r="B155" s="69">
        <v>6095114</v>
      </c>
      <c r="C155" s="69" t="s">
        <v>992</v>
      </c>
      <c r="D155" s="69">
        <v>0</v>
      </c>
      <c r="E155" s="70" t="s">
        <v>472</v>
      </c>
      <c r="F155" s="67" t="s">
        <v>1643</v>
      </c>
      <c r="G155" s="71">
        <v>37469</v>
      </c>
      <c r="H155" s="87">
        <v>44889</v>
      </c>
      <c r="I155" s="133">
        <v>2079145.82</v>
      </c>
      <c r="J155" s="134">
        <v>297231.15000000002</v>
      </c>
      <c r="K155" s="125"/>
      <c r="L155" s="74">
        <v>3.8800000000000001E-2</v>
      </c>
      <c r="M155" s="75">
        <v>67805</v>
      </c>
      <c r="N155" s="76">
        <v>14</v>
      </c>
      <c r="O155" s="76"/>
      <c r="P155" s="76"/>
      <c r="Q155" s="76"/>
      <c r="R155" s="67" t="s">
        <v>1556</v>
      </c>
      <c r="S155" s="68">
        <v>890399029</v>
      </c>
      <c r="T155" s="77">
        <v>31297710</v>
      </c>
      <c r="U155" s="78" t="s">
        <v>1720</v>
      </c>
      <c r="V155" s="79">
        <v>250000</v>
      </c>
      <c r="W155" s="80">
        <v>1295365</v>
      </c>
    </row>
    <row r="156" spans="1:23" ht="15.6" x14ac:dyDescent="0.3">
      <c r="A156" s="158" t="s">
        <v>993</v>
      </c>
      <c r="B156" s="69">
        <v>31258545</v>
      </c>
      <c r="C156" s="69" t="s">
        <v>994</v>
      </c>
      <c r="D156" s="69">
        <v>0</v>
      </c>
      <c r="E156" s="70" t="s">
        <v>19</v>
      </c>
      <c r="F156" s="67" t="s">
        <v>1643</v>
      </c>
      <c r="G156" s="71">
        <v>39479</v>
      </c>
      <c r="H156" s="72">
        <v>44889</v>
      </c>
      <c r="I156" s="133">
        <v>6074309.2999999998</v>
      </c>
      <c r="J156" s="134">
        <v>868372.93</v>
      </c>
      <c r="K156" s="125"/>
      <c r="L156" s="74">
        <v>0.16789999999999999</v>
      </c>
      <c r="M156" s="75">
        <v>369405</v>
      </c>
      <c r="N156" s="76">
        <v>13</v>
      </c>
      <c r="O156" s="76"/>
      <c r="P156" s="76"/>
      <c r="Q156" s="76"/>
      <c r="R156" s="67" t="s">
        <v>1556</v>
      </c>
      <c r="S156" s="68">
        <v>890399029</v>
      </c>
      <c r="T156" s="77"/>
      <c r="U156" s="78"/>
      <c r="V156" s="79">
        <v>250000</v>
      </c>
      <c r="W156" s="80">
        <v>874551</v>
      </c>
    </row>
    <row r="157" spans="1:23" ht="15.6" x14ac:dyDescent="0.3">
      <c r="A157" s="158" t="s">
        <v>949</v>
      </c>
      <c r="B157" s="69">
        <v>14970690</v>
      </c>
      <c r="C157" s="69" t="s">
        <v>950</v>
      </c>
      <c r="D157" s="69">
        <v>0</v>
      </c>
      <c r="E157" s="70" t="s">
        <v>472</v>
      </c>
      <c r="F157" s="67" t="s">
        <v>1643</v>
      </c>
      <c r="G157" s="71">
        <v>39753</v>
      </c>
      <c r="H157" s="72">
        <v>44889</v>
      </c>
      <c r="I157" s="133">
        <v>1175073.44</v>
      </c>
      <c r="J157" s="134">
        <v>167986.5</v>
      </c>
      <c r="K157" s="125"/>
      <c r="L157" s="74">
        <v>2.1600000000000001E-2</v>
      </c>
      <c r="M157" s="75">
        <v>71677</v>
      </c>
      <c r="N157" s="76">
        <v>13</v>
      </c>
      <c r="O157" s="76"/>
      <c r="P157" s="76"/>
      <c r="Q157" s="76"/>
      <c r="R157" s="67" t="s">
        <v>1556</v>
      </c>
      <c r="S157" s="68">
        <v>890399029</v>
      </c>
      <c r="T157" s="77"/>
      <c r="U157" s="78"/>
      <c r="V157" s="79">
        <v>250000</v>
      </c>
      <c r="W157" s="80">
        <v>1315074</v>
      </c>
    </row>
    <row r="158" spans="1:23" ht="15.6" x14ac:dyDescent="0.3">
      <c r="A158" s="158" t="s">
        <v>997</v>
      </c>
      <c r="B158" s="69">
        <v>19163606</v>
      </c>
      <c r="C158" s="69" t="s">
        <v>998</v>
      </c>
      <c r="D158" s="69">
        <v>0</v>
      </c>
      <c r="E158" s="70" t="s">
        <v>19</v>
      </c>
      <c r="F158" s="67" t="s">
        <v>1643</v>
      </c>
      <c r="G158" s="71">
        <v>39814</v>
      </c>
      <c r="H158" s="72">
        <v>44889</v>
      </c>
      <c r="I158" s="133">
        <v>57051.09</v>
      </c>
      <c r="J158" s="134">
        <v>8155.93</v>
      </c>
      <c r="K158" s="125"/>
      <c r="L158" s="74">
        <v>5.2499999999999998E-2</v>
      </c>
      <c r="M158" s="75">
        <v>71865</v>
      </c>
      <c r="N158" s="76">
        <v>14</v>
      </c>
      <c r="O158" s="76"/>
      <c r="P158" s="76"/>
      <c r="Q158" s="76"/>
      <c r="R158" s="67" t="s">
        <v>1556</v>
      </c>
      <c r="S158" s="68">
        <v>890399029</v>
      </c>
      <c r="T158" s="77"/>
      <c r="U158" s="78"/>
      <c r="V158" s="79">
        <v>250000</v>
      </c>
      <c r="W158" s="80">
        <v>26269</v>
      </c>
    </row>
    <row r="159" spans="1:23" ht="15.6" x14ac:dyDescent="0.3">
      <c r="A159" s="158" t="s">
        <v>1845</v>
      </c>
      <c r="B159" s="69">
        <v>885309</v>
      </c>
      <c r="C159" s="69" t="s">
        <v>1002</v>
      </c>
      <c r="D159" s="69">
        <v>0</v>
      </c>
      <c r="E159" s="70" t="s">
        <v>19</v>
      </c>
      <c r="F159" s="67" t="s">
        <v>1643</v>
      </c>
      <c r="G159" s="71">
        <v>30233</v>
      </c>
      <c r="H159" s="72">
        <v>44889</v>
      </c>
      <c r="I159" s="133">
        <v>38579021.960000001</v>
      </c>
      <c r="J159" s="134">
        <v>5515191.4100000001</v>
      </c>
      <c r="K159" s="125"/>
      <c r="L159" s="74">
        <v>0.47039999999999998</v>
      </c>
      <c r="M159" s="75">
        <v>3002</v>
      </c>
      <c r="N159" s="76">
        <v>14</v>
      </c>
      <c r="O159" s="105">
        <v>0.08</v>
      </c>
      <c r="P159" s="76">
        <v>0</v>
      </c>
      <c r="Q159" s="76">
        <v>0</v>
      </c>
      <c r="R159" s="67" t="s">
        <v>1559</v>
      </c>
      <c r="S159" s="68">
        <v>890480059</v>
      </c>
      <c r="T159" s="77">
        <v>22776903</v>
      </c>
      <c r="U159" s="78" t="s">
        <v>1722</v>
      </c>
      <c r="V159" s="79">
        <v>250000</v>
      </c>
      <c r="W159" s="80">
        <v>1982544</v>
      </c>
    </row>
    <row r="160" spans="1:23" ht="15.6" x14ac:dyDescent="0.3">
      <c r="A160" s="158" t="s">
        <v>1005</v>
      </c>
      <c r="B160" s="69">
        <v>879733</v>
      </c>
      <c r="C160" s="69" t="s">
        <v>1006</v>
      </c>
      <c r="D160" s="69">
        <v>0</v>
      </c>
      <c r="E160" s="70" t="s">
        <v>19</v>
      </c>
      <c r="F160" s="67" t="s">
        <v>1643</v>
      </c>
      <c r="G160" s="71">
        <v>28856</v>
      </c>
      <c r="H160" s="72">
        <v>44889</v>
      </c>
      <c r="I160" s="133">
        <v>2973548.6</v>
      </c>
      <c r="J160" s="134">
        <v>425093.45</v>
      </c>
      <c r="K160" s="125"/>
      <c r="L160" s="74">
        <v>4.9299999999999997E-2</v>
      </c>
      <c r="M160" s="85">
        <v>658</v>
      </c>
      <c r="N160" s="76">
        <v>14</v>
      </c>
      <c r="O160" s="76">
        <v>0</v>
      </c>
      <c r="P160" s="76">
        <v>0</v>
      </c>
      <c r="Q160" s="76">
        <v>0</v>
      </c>
      <c r="R160" s="67" t="s">
        <v>1559</v>
      </c>
      <c r="S160" s="68">
        <v>890480059</v>
      </c>
      <c r="T160" s="77">
        <v>9081650</v>
      </c>
      <c r="U160" s="78" t="s">
        <v>1723</v>
      </c>
      <c r="V160" s="79">
        <v>250000</v>
      </c>
      <c r="W160" s="80">
        <v>1458032</v>
      </c>
    </row>
    <row r="161" spans="1:23" ht="15.6" x14ac:dyDescent="0.3">
      <c r="A161" s="158" t="s">
        <v>1846</v>
      </c>
      <c r="B161" s="69">
        <v>3785112</v>
      </c>
      <c r="C161" s="69" t="s">
        <v>1008</v>
      </c>
      <c r="D161" s="69">
        <v>0</v>
      </c>
      <c r="E161" s="70" t="s">
        <v>19</v>
      </c>
      <c r="F161" s="67" t="s">
        <v>1643</v>
      </c>
      <c r="G161" s="71">
        <v>29582</v>
      </c>
      <c r="H161" s="72">
        <v>44889</v>
      </c>
      <c r="I161" s="133">
        <v>19354960.460000001</v>
      </c>
      <c r="J161" s="134">
        <v>2766952.25</v>
      </c>
      <c r="K161" s="125"/>
      <c r="L161" s="74">
        <v>0.52629999999999999</v>
      </c>
      <c r="M161" s="75">
        <v>7195</v>
      </c>
      <c r="N161" s="76">
        <v>14</v>
      </c>
      <c r="O161" s="76">
        <v>0</v>
      </c>
      <c r="P161" s="76">
        <v>0</v>
      </c>
      <c r="Q161" s="76">
        <v>0</v>
      </c>
      <c r="R161" s="67" t="s">
        <v>1559</v>
      </c>
      <c r="S161" s="68">
        <v>890480059</v>
      </c>
      <c r="T161" s="77">
        <v>22774337</v>
      </c>
      <c r="U161" s="78" t="s">
        <v>1724</v>
      </c>
      <c r="V161" s="79">
        <v>250000</v>
      </c>
      <c r="W161" s="80">
        <v>888992</v>
      </c>
    </row>
    <row r="162" spans="1:23" ht="15.6" x14ac:dyDescent="0.3">
      <c r="A162" s="158" t="s">
        <v>1013</v>
      </c>
      <c r="B162" s="69">
        <v>22756862</v>
      </c>
      <c r="C162" s="69" t="s">
        <v>1014</v>
      </c>
      <c r="D162" s="69">
        <v>0</v>
      </c>
      <c r="E162" s="70" t="s">
        <v>722</v>
      </c>
      <c r="F162" s="67" t="s">
        <v>1643</v>
      </c>
      <c r="G162" s="71">
        <v>31758</v>
      </c>
      <c r="H162" s="72">
        <v>44889</v>
      </c>
      <c r="I162" s="133">
        <v>39416970.729999997</v>
      </c>
      <c r="J162" s="134">
        <v>5634983.1399999997</v>
      </c>
      <c r="K162" s="125"/>
      <c r="L162" s="74">
        <v>0.20630000000000001</v>
      </c>
      <c r="M162" s="75">
        <v>28469</v>
      </c>
      <c r="N162" s="76">
        <v>14</v>
      </c>
      <c r="O162" s="76">
        <v>0</v>
      </c>
      <c r="P162" s="76">
        <v>0</v>
      </c>
      <c r="Q162" s="76">
        <v>0</v>
      </c>
      <c r="R162" s="67" t="s">
        <v>1559</v>
      </c>
      <c r="S162" s="68">
        <v>890480059</v>
      </c>
      <c r="T162" s="77"/>
      <c r="U162" s="78"/>
      <c r="V162" s="79">
        <v>250000</v>
      </c>
      <c r="W162" s="80">
        <v>4618734</v>
      </c>
    </row>
    <row r="163" spans="1:23" ht="15.6" x14ac:dyDescent="0.3">
      <c r="A163" s="158" t="s">
        <v>1013</v>
      </c>
      <c r="B163" s="69">
        <v>22756862</v>
      </c>
      <c r="C163" s="69" t="s">
        <v>1014</v>
      </c>
      <c r="D163" s="69">
        <v>0</v>
      </c>
      <c r="E163" s="70" t="s">
        <v>722</v>
      </c>
      <c r="F163" s="67" t="s">
        <v>1643</v>
      </c>
      <c r="G163" s="71">
        <v>31758</v>
      </c>
      <c r="H163" s="72">
        <v>44889</v>
      </c>
      <c r="I163" s="133">
        <v>39416970.729999997</v>
      </c>
      <c r="J163" s="134">
        <v>5634983.1399999997</v>
      </c>
      <c r="K163" s="125"/>
      <c r="L163" s="74">
        <v>0.20630000000000001</v>
      </c>
      <c r="M163" s="75">
        <v>336345</v>
      </c>
      <c r="N163" s="76">
        <v>14</v>
      </c>
      <c r="O163" s="76">
        <v>0</v>
      </c>
      <c r="P163" s="76">
        <v>0</v>
      </c>
      <c r="Q163" s="76">
        <v>0</v>
      </c>
      <c r="R163" s="67" t="s">
        <v>1559</v>
      </c>
      <c r="S163" s="68">
        <v>890480059</v>
      </c>
      <c r="T163" s="77"/>
      <c r="U163" s="78"/>
      <c r="V163" s="79">
        <v>250000</v>
      </c>
      <c r="W163" s="80">
        <v>4618734</v>
      </c>
    </row>
    <row r="164" spans="1:23" ht="15.6" x14ac:dyDescent="0.3">
      <c r="A164" s="158" t="s">
        <v>1015</v>
      </c>
      <c r="B164" s="69">
        <v>33111862</v>
      </c>
      <c r="C164" s="69" t="s">
        <v>1016</v>
      </c>
      <c r="D164" s="69">
        <v>0</v>
      </c>
      <c r="E164" s="70" t="s">
        <v>19</v>
      </c>
      <c r="F164" s="67" t="s">
        <v>1643</v>
      </c>
      <c r="G164" s="71">
        <v>33938</v>
      </c>
      <c r="H164" s="72">
        <v>44889</v>
      </c>
      <c r="I164" s="133">
        <v>2194331.7999999998</v>
      </c>
      <c r="J164" s="134">
        <v>313697.94</v>
      </c>
      <c r="K164" s="125"/>
      <c r="L164" s="74">
        <v>0.1226</v>
      </c>
      <c r="M164" s="75">
        <v>30681</v>
      </c>
      <c r="N164" s="76">
        <v>14</v>
      </c>
      <c r="O164" s="76">
        <v>0</v>
      </c>
      <c r="P164" s="76">
        <v>0</v>
      </c>
      <c r="Q164" s="76">
        <v>0</v>
      </c>
      <c r="R164" s="67" t="s">
        <v>1559</v>
      </c>
      <c r="S164" s="68">
        <v>890480059</v>
      </c>
      <c r="T164" s="77"/>
      <c r="U164" s="78"/>
      <c r="V164" s="79">
        <v>250000</v>
      </c>
      <c r="W164" s="80">
        <v>432664</v>
      </c>
    </row>
    <row r="165" spans="1:23" ht="15.6" x14ac:dyDescent="0.3">
      <c r="A165" s="158" t="s">
        <v>1838</v>
      </c>
      <c r="B165" s="69">
        <v>22353595</v>
      </c>
      <c r="C165" s="69" t="s">
        <v>901</v>
      </c>
      <c r="D165" s="69">
        <v>0</v>
      </c>
      <c r="E165" s="70" t="s">
        <v>19</v>
      </c>
      <c r="F165" s="67" t="s">
        <v>1643</v>
      </c>
      <c r="G165" s="71">
        <v>34912</v>
      </c>
      <c r="H165" s="72">
        <v>44889</v>
      </c>
      <c r="I165" s="133">
        <v>176322.95</v>
      </c>
      <c r="J165" s="134">
        <v>25206.83</v>
      </c>
      <c r="K165" s="125"/>
      <c r="L165" s="74">
        <v>2.3E-2</v>
      </c>
      <c r="M165" s="75">
        <v>11080</v>
      </c>
      <c r="N165" s="76">
        <v>14</v>
      </c>
      <c r="O165" s="76">
        <v>0</v>
      </c>
      <c r="P165" s="76">
        <v>0</v>
      </c>
      <c r="Q165" s="76">
        <v>0</v>
      </c>
      <c r="R165" s="67" t="s">
        <v>1559</v>
      </c>
      <c r="S165" s="68">
        <v>890480059</v>
      </c>
      <c r="T165" s="77"/>
      <c r="U165" s="78"/>
      <c r="V165" s="79">
        <v>250000</v>
      </c>
      <c r="W165" s="80">
        <v>185319</v>
      </c>
    </row>
    <row r="166" spans="1:23" ht="15.6" x14ac:dyDescent="0.3">
      <c r="A166" s="158" t="s">
        <v>1017</v>
      </c>
      <c r="B166" s="69">
        <v>22994575</v>
      </c>
      <c r="C166" s="69" t="s">
        <v>1018</v>
      </c>
      <c r="D166" s="69">
        <v>0</v>
      </c>
      <c r="E166" s="70" t="s">
        <v>472</v>
      </c>
      <c r="F166" s="67" t="s">
        <v>1643</v>
      </c>
      <c r="G166" s="71">
        <v>27813</v>
      </c>
      <c r="H166" s="72">
        <v>44889</v>
      </c>
      <c r="I166" s="133">
        <v>2472180.91</v>
      </c>
      <c r="J166" s="134">
        <v>353418.78</v>
      </c>
      <c r="K166" s="125"/>
      <c r="L166" s="74">
        <v>0.24779999999999999</v>
      </c>
      <c r="M166" s="75">
        <v>265028</v>
      </c>
      <c r="N166" s="76">
        <v>14</v>
      </c>
      <c r="O166" s="76">
        <v>0</v>
      </c>
      <c r="P166" s="76">
        <v>0</v>
      </c>
      <c r="Q166" s="76">
        <v>0</v>
      </c>
      <c r="R166" s="67" t="s">
        <v>1559</v>
      </c>
      <c r="S166" s="68">
        <v>890480059</v>
      </c>
      <c r="T166" s="77"/>
      <c r="U166" s="78"/>
      <c r="V166" s="79">
        <v>250000</v>
      </c>
      <c r="W166" s="80">
        <v>241167</v>
      </c>
    </row>
    <row r="167" spans="1:23" ht="15.6" x14ac:dyDescent="0.3">
      <c r="A167" s="158" t="s">
        <v>1019</v>
      </c>
      <c r="B167" s="69">
        <v>33145334</v>
      </c>
      <c r="C167" s="69" t="s">
        <v>1020</v>
      </c>
      <c r="D167" s="69">
        <v>0</v>
      </c>
      <c r="E167" s="70" t="s">
        <v>722</v>
      </c>
      <c r="F167" s="67" t="s">
        <v>1643</v>
      </c>
      <c r="G167" s="71">
        <v>37834</v>
      </c>
      <c r="H167" s="72">
        <v>44889</v>
      </c>
      <c r="I167" s="133">
        <v>18917521.829999998</v>
      </c>
      <c r="J167" s="134">
        <v>2704416.77</v>
      </c>
      <c r="K167" s="125"/>
      <c r="L167" s="74">
        <v>0.1449</v>
      </c>
      <c r="M167" s="75">
        <v>302671</v>
      </c>
      <c r="N167" s="76">
        <v>14</v>
      </c>
      <c r="O167" s="76">
        <v>0</v>
      </c>
      <c r="P167" s="76">
        <v>0</v>
      </c>
      <c r="Q167" s="76">
        <v>0</v>
      </c>
      <c r="R167" s="67" t="s">
        <v>1559</v>
      </c>
      <c r="S167" s="68">
        <v>890480059</v>
      </c>
      <c r="T167" s="77">
        <v>9063518</v>
      </c>
      <c r="U167" s="78" t="s">
        <v>1725</v>
      </c>
      <c r="V167" s="79">
        <v>250000</v>
      </c>
      <c r="W167" s="80">
        <v>3155984</v>
      </c>
    </row>
    <row r="168" spans="1:23" ht="15.6" x14ac:dyDescent="0.3">
      <c r="A168" s="158" t="s">
        <v>1847</v>
      </c>
      <c r="B168" s="69">
        <v>33126409</v>
      </c>
      <c r="C168" s="69" t="s">
        <v>1022</v>
      </c>
      <c r="D168" s="69">
        <v>0</v>
      </c>
      <c r="E168" s="70" t="s">
        <v>21</v>
      </c>
      <c r="F168" s="67" t="s">
        <v>1643</v>
      </c>
      <c r="G168" s="71">
        <v>38224</v>
      </c>
      <c r="H168" s="72"/>
      <c r="I168" s="133">
        <v>4055974.12</v>
      </c>
      <c r="J168" s="134">
        <v>579835.17000000004</v>
      </c>
      <c r="K168" s="125"/>
      <c r="L168" s="74">
        <v>0.12859999999999999</v>
      </c>
      <c r="M168" s="75">
        <v>239600</v>
      </c>
      <c r="N168" s="76">
        <v>14</v>
      </c>
      <c r="O168" s="76">
        <v>0</v>
      </c>
      <c r="P168" s="76">
        <v>0</v>
      </c>
      <c r="Q168" s="76">
        <v>0</v>
      </c>
      <c r="R168" s="67" t="s">
        <v>1559</v>
      </c>
      <c r="S168" s="68">
        <v>890480059</v>
      </c>
      <c r="T168" s="77"/>
      <c r="U168" s="78"/>
      <c r="V168" s="79">
        <v>250000</v>
      </c>
      <c r="W168" s="80">
        <v>762418</v>
      </c>
    </row>
    <row r="169" spans="1:23" ht="15.6" x14ac:dyDescent="0.3">
      <c r="A169" s="158" t="s">
        <v>1023</v>
      </c>
      <c r="B169" s="69">
        <v>7448758</v>
      </c>
      <c r="C169" s="69" t="s">
        <v>1024</v>
      </c>
      <c r="D169" s="69">
        <v>0</v>
      </c>
      <c r="E169" s="70" t="s">
        <v>722</v>
      </c>
      <c r="F169" s="67" t="s">
        <v>1643</v>
      </c>
      <c r="G169" s="71">
        <v>38869</v>
      </c>
      <c r="H169" s="72">
        <v>44550</v>
      </c>
      <c r="I169" s="133">
        <v>1032823.9</v>
      </c>
      <c r="J169" s="134">
        <v>147650.75</v>
      </c>
      <c r="K169" s="125"/>
      <c r="L169" s="74">
        <v>7.3999999999999996E-2</v>
      </c>
      <c r="M169" s="75">
        <v>41210</v>
      </c>
      <c r="N169" s="76">
        <v>14</v>
      </c>
      <c r="O169" s="76">
        <v>0</v>
      </c>
      <c r="P169" s="76">
        <v>0</v>
      </c>
      <c r="Q169" s="76">
        <v>0</v>
      </c>
      <c r="R169" s="67" t="s">
        <v>1559</v>
      </c>
      <c r="S169" s="68">
        <v>890480059</v>
      </c>
      <c r="T169" s="77"/>
      <c r="U169" s="78"/>
      <c r="V169" s="79">
        <v>250000</v>
      </c>
      <c r="W169" s="80">
        <v>337391</v>
      </c>
    </row>
    <row r="170" spans="1:23" ht="15.6" x14ac:dyDescent="0.3">
      <c r="A170" s="158" t="s">
        <v>1025</v>
      </c>
      <c r="B170" s="69">
        <v>9057951</v>
      </c>
      <c r="C170" s="69" t="s">
        <v>1026</v>
      </c>
      <c r="D170" s="69">
        <v>0</v>
      </c>
      <c r="E170" s="70" t="s">
        <v>722</v>
      </c>
      <c r="F170" s="67" t="s">
        <v>1643</v>
      </c>
      <c r="G170" s="71">
        <v>38899</v>
      </c>
      <c r="H170" s="72">
        <v>44550</v>
      </c>
      <c r="I170" s="133">
        <v>320614.19</v>
      </c>
      <c r="J170" s="134">
        <v>45834.46</v>
      </c>
      <c r="K170" s="125"/>
      <c r="L170" s="74">
        <v>9.4000000000000004E-3</v>
      </c>
      <c r="M170" s="75">
        <v>20024</v>
      </c>
      <c r="N170" s="76">
        <v>14</v>
      </c>
      <c r="O170" s="76">
        <v>0</v>
      </c>
      <c r="P170" s="76">
        <v>0</v>
      </c>
      <c r="Q170" s="76">
        <v>0</v>
      </c>
      <c r="R170" s="67" t="s">
        <v>1559</v>
      </c>
      <c r="S170" s="68">
        <v>890480059</v>
      </c>
      <c r="T170" s="77"/>
      <c r="U170" s="78"/>
      <c r="V170" s="79">
        <v>250000</v>
      </c>
      <c r="W170" s="80">
        <v>824506</v>
      </c>
    </row>
    <row r="171" spans="1:23" ht="15.6" x14ac:dyDescent="0.3">
      <c r="A171" s="158" t="s">
        <v>1029</v>
      </c>
      <c r="B171" s="69">
        <v>8273847</v>
      </c>
      <c r="C171" s="69" t="s">
        <v>1030</v>
      </c>
      <c r="D171" s="69">
        <v>0</v>
      </c>
      <c r="E171" s="70" t="s">
        <v>722</v>
      </c>
      <c r="F171" s="67" t="s">
        <v>1643</v>
      </c>
      <c r="G171" s="71">
        <v>38976</v>
      </c>
      <c r="H171" s="72">
        <v>44550</v>
      </c>
      <c r="I171" s="133">
        <v>208120.75</v>
      </c>
      <c r="J171" s="134">
        <v>29752.59</v>
      </c>
      <c r="K171" s="125"/>
      <c r="L171" s="74">
        <v>3.44E-2</v>
      </c>
      <c r="M171" s="75">
        <v>56099</v>
      </c>
      <c r="N171" s="76">
        <v>14</v>
      </c>
      <c r="O171" s="76">
        <v>0</v>
      </c>
      <c r="P171" s="76">
        <v>0</v>
      </c>
      <c r="Q171" s="76">
        <v>0</v>
      </c>
      <c r="R171" s="67" t="s">
        <v>1559</v>
      </c>
      <c r="S171" s="68">
        <v>890480059</v>
      </c>
      <c r="T171" s="77"/>
      <c r="U171" s="78"/>
      <c r="V171" s="79">
        <v>250000</v>
      </c>
      <c r="W171" s="80">
        <v>146250</v>
      </c>
    </row>
    <row r="172" spans="1:23" ht="15.6" x14ac:dyDescent="0.3">
      <c r="A172" s="158" t="s">
        <v>1848</v>
      </c>
      <c r="B172" s="69">
        <v>9061063</v>
      </c>
      <c r="C172" s="69" t="s">
        <v>1032</v>
      </c>
      <c r="D172" s="69">
        <v>0</v>
      </c>
      <c r="E172" s="70" t="s">
        <v>722</v>
      </c>
      <c r="F172" s="67" t="s">
        <v>1643</v>
      </c>
      <c r="G172" s="71">
        <v>38991</v>
      </c>
      <c r="H172" s="72"/>
      <c r="I172" s="133">
        <v>6328804.5599999996</v>
      </c>
      <c r="J172" s="134">
        <v>904755.14</v>
      </c>
      <c r="K172" s="125"/>
      <c r="L172" s="74">
        <v>0.18329999999999999</v>
      </c>
      <c r="M172" s="75">
        <v>373426</v>
      </c>
      <c r="N172" s="76">
        <v>14</v>
      </c>
      <c r="O172" s="76">
        <v>0</v>
      </c>
      <c r="P172" s="76">
        <v>0</v>
      </c>
      <c r="Q172" s="76">
        <v>0</v>
      </c>
      <c r="R172" s="67" t="s">
        <v>1559</v>
      </c>
      <c r="S172" s="68">
        <v>890480059</v>
      </c>
      <c r="T172" s="77"/>
      <c r="U172" s="78"/>
      <c r="V172" s="79">
        <v>250000</v>
      </c>
      <c r="W172" s="80">
        <v>834638</v>
      </c>
    </row>
    <row r="173" spans="1:23" ht="15.6" x14ac:dyDescent="0.3">
      <c r="A173" s="158" t="s">
        <v>538</v>
      </c>
      <c r="B173" s="69">
        <v>9063135</v>
      </c>
      <c r="C173" s="69" t="s">
        <v>539</v>
      </c>
      <c r="D173" s="69">
        <v>0</v>
      </c>
      <c r="E173" s="70" t="s">
        <v>19</v>
      </c>
      <c r="F173" s="67" t="s">
        <v>1643</v>
      </c>
      <c r="G173" s="71">
        <v>39052</v>
      </c>
      <c r="H173" s="72">
        <v>43949</v>
      </c>
      <c r="I173" s="133">
        <v>4949284.42</v>
      </c>
      <c r="J173" s="134">
        <v>707541.29</v>
      </c>
      <c r="K173" s="125"/>
      <c r="L173" s="74">
        <v>0.11360000000000001</v>
      </c>
      <c r="M173" s="75">
        <v>248344</v>
      </c>
      <c r="N173" s="76">
        <v>14</v>
      </c>
      <c r="O173" s="76">
        <v>0</v>
      </c>
      <c r="P173" s="76">
        <v>0</v>
      </c>
      <c r="Q173" s="76">
        <v>0</v>
      </c>
      <c r="R173" s="67" t="s">
        <v>1559</v>
      </c>
      <c r="S173" s="68">
        <v>890480059</v>
      </c>
      <c r="T173" s="77"/>
      <c r="U173" s="78"/>
      <c r="V173" s="79">
        <v>250000</v>
      </c>
      <c r="W173" s="80">
        <v>1053181</v>
      </c>
    </row>
    <row r="174" spans="1:23" ht="15.6" x14ac:dyDescent="0.3">
      <c r="A174" s="158" t="s">
        <v>1033</v>
      </c>
      <c r="B174" s="69">
        <v>9072868</v>
      </c>
      <c r="C174" s="69" t="s">
        <v>1034</v>
      </c>
      <c r="D174" s="69">
        <v>0</v>
      </c>
      <c r="E174" s="70" t="s">
        <v>19</v>
      </c>
      <c r="F174" s="67" t="s">
        <v>1643</v>
      </c>
      <c r="G174" s="71">
        <v>39315</v>
      </c>
      <c r="H174" s="72"/>
      <c r="I174" s="133">
        <v>1304679.05</v>
      </c>
      <c r="J174" s="134">
        <v>186514.7</v>
      </c>
      <c r="K174" s="125"/>
      <c r="L174" s="74">
        <v>0.44350000000000001</v>
      </c>
      <c r="M174" s="75">
        <v>735025</v>
      </c>
      <c r="N174" s="76">
        <v>14</v>
      </c>
      <c r="O174" s="76">
        <v>0</v>
      </c>
      <c r="P174" s="76">
        <v>0</v>
      </c>
      <c r="Q174" s="76">
        <v>0</v>
      </c>
      <c r="R174" s="67" t="s">
        <v>1559</v>
      </c>
      <c r="S174" s="68">
        <v>890480059</v>
      </c>
      <c r="T174" s="77"/>
      <c r="U174" s="78"/>
      <c r="V174" s="79">
        <v>250000</v>
      </c>
      <c r="W174" s="80">
        <v>71113</v>
      </c>
    </row>
    <row r="175" spans="1:23" ht="15.6" x14ac:dyDescent="0.3">
      <c r="A175" s="158" t="s">
        <v>1013</v>
      </c>
      <c r="B175" s="69">
        <v>22756862</v>
      </c>
      <c r="C175" s="69" t="s">
        <v>1014</v>
      </c>
      <c r="D175" s="69">
        <v>0</v>
      </c>
      <c r="E175" s="70" t="s">
        <v>19</v>
      </c>
      <c r="F175" s="67" t="s">
        <v>1643</v>
      </c>
      <c r="G175" s="71">
        <v>31758</v>
      </c>
      <c r="H175" s="72"/>
      <c r="I175" s="133">
        <v>39416970.729999997</v>
      </c>
      <c r="J175" s="134">
        <v>5634983.1399999997</v>
      </c>
      <c r="K175" s="125"/>
      <c r="L175" s="74">
        <v>0.20630000000000001</v>
      </c>
      <c r="M175" s="75">
        <v>14378</v>
      </c>
      <c r="N175" s="76">
        <v>14</v>
      </c>
      <c r="O175" s="76"/>
      <c r="P175" s="76"/>
      <c r="Q175" s="76"/>
      <c r="R175" s="67" t="s">
        <v>1560</v>
      </c>
      <c r="S175" s="68">
        <v>890480123</v>
      </c>
      <c r="T175" s="77"/>
      <c r="U175" s="78"/>
      <c r="V175" s="79">
        <v>250000</v>
      </c>
      <c r="W175" s="80">
        <v>4618734</v>
      </c>
    </row>
    <row r="176" spans="1:23" ht="15.6" x14ac:dyDescent="0.3">
      <c r="A176" s="158" t="s">
        <v>538</v>
      </c>
      <c r="B176" s="69">
        <v>9063135</v>
      </c>
      <c r="C176" s="69" t="s">
        <v>539</v>
      </c>
      <c r="D176" s="69">
        <v>0</v>
      </c>
      <c r="E176" s="70" t="s">
        <v>19</v>
      </c>
      <c r="F176" s="67" t="s">
        <v>1643</v>
      </c>
      <c r="G176" s="71">
        <v>39052</v>
      </c>
      <c r="H176" s="72"/>
      <c r="I176" s="133">
        <v>4949284.42</v>
      </c>
      <c r="J176" s="134">
        <v>707541.29</v>
      </c>
      <c r="K176" s="125"/>
      <c r="L176" s="74">
        <v>0.11360000000000001</v>
      </c>
      <c r="M176" s="75">
        <v>96190</v>
      </c>
      <c r="N176" s="76">
        <v>14</v>
      </c>
      <c r="O176" s="76"/>
      <c r="P176" s="76"/>
      <c r="Q176" s="76"/>
      <c r="R176" s="67" t="s">
        <v>1560</v>
      </c>
      <c r="S176" s="68">
        <v>890480123</v>
      </c>
      <c r="T176" s="77"/>
      <c r="U176" s="78"/>
      <c r="V176" s="79">
        <v>250000</v>
      </c>
      <c r="W176" s="80">
        <v>1053181</v>
      </c>
    </row>
    <row r="177" spans="1:23" ht="15.6" x14ac:dyDescent="0.3">
      <c r="A177" s="158" t="s">
        <v>1037</v>
      </c>
      <c r="B177" s="69">
        <v>29655504</v>
      </c>
      <c r="C177" s="69" t="s">
        <v>1038</v>
      </c>
      <c r="D177" s="69">
        <v>0</v>
      </c>
      <c r="E177" s="70" t="s">
        <v>722</v>
      </c>
      <c r="F177" s="67" t="s">
        <v>1643</v>
      </c>
      <c r="G177" s="71">
        <v>34326</v>
      </c>
      <c r="H177" s="72"/>
      <c r="I177" s="133">
        <v>1145633.3700000001</v>
      </c>
      <c r="J177" s="134">
        <v>163777.79999999999</v>
      </c>
      <c r="K177" s="125"/>
      <c r="L177" s="74">
        <v>2.2100000000000002E-2</v>
      </c>
      <c r="M177" s="75">
        <v>13746</v>
      </c>
      <c r="N177" s="76">
        <v>14</v>
      </c>
      <c r="O177" s="76"/>
      <c r="P177" s="76"/>
      <c r="Q177" s="76"/>
      <c r="R177" s="67" t="s">
        <v>1561</v>
      </c>
      <c r="S177" s="68">
        <v>890481149</v>
      </c>
      <c r="T177" s="77"/>
      <c r="U177" s="78"/>
      <c r="V177" s="79">
        <v>250000</v>
      </c>
      <c r="W177" s="80">
        <v>1253119</v>
      </c>
    </row>
    <row r="178" spans="1:23" ht="15.6" x14ac:dyDescent="0.3">
      <c r="A178" s="158" t="s">
        <v>1043</v>
      </c>
      <c r="B178" s="69">
        <v>37217740</v>
      </c>
      <c r="C178" s="69" t="s">
        <v>1044</v>
      </c>
      <c r="D178" s="69">
        <v>0</v>
      </c>
      <c r="E178" s="70" t="s">
        <v>592</v>
      </c>
      <c r="F178" s="67" t="s">
        <v>1643</v>
      </c>
      <c r="G178" s="71">
        <v>35431</v>
      </c>
      <c r="H178" s="72"/>
      <c r="I178" s="133">
        <v>941759.57</v>
      </c>
      <c r="J178" s="134">
        <v>134632.35</v>
      </c>
      <c r="K178" s="125"/>
      <c r="L178" s="74">
        <v>0.1152</v>
      </c>
      <c r="M178" s="75">
        <v>81710</v>
      </c>
      <c r="N178" s="76">
        <v>14</v>
      </c>
      <c r="O178" s="76"/>
      <c r="P178" s="76"/>
      <c r="Q178" s="76"/>
      <c r="R178" s="67" t="s">
        <v>1563</v>
      </c>
      <c r="S178" s="68">
        <v>890500641</v>
      </c>
      <c r="T178" s="77"/>
      <c r="U178" s="78"/>
      <c r="V178" s="79">
        <v>250000</v>
      </c>
      <c r="W178" s="80">
        <v>197618</v>
      </c>
    </row>
    <row r="179" spans="1:23" ht="15.6" x14ac:dyDescent="0.3">
      <c r="A179" s="158" t="s">
        <v>1047</v>
      </c>
      <c r="B179" s="69">
        <v>5392125</v>
      </c>
      <c r="C179" s="69" t="s">
        <v>1048</v>
      </c>
      <c r="D179" s="69">
        <v>0</v>
      </c>
      <c r="E179" s="70" t="s">
        <v>472</v>
      </c>
      <c r="F179" s="67" t="s">
        <v>1643</v>
      </c>
      <c r="G179" s="71">
        <v>38614</v>
      </c>
      <c r="H179" s="72"/>
      <c r="I179" s="133">
        <v>2433657.0499999998</v>
      </c>
      <c r="J179" s="134">
        <v>347911.48</v>
      </c>
      <c r="K179" s="125"/>
      <c r="L179" s="74">
        <v>3.2599999999999997E-2</v>
      </c>
      <c r="M179" s="75">
        <v>24171</v>
      </c>
      <c r="N179" s="76">
        <v>14</v>
      </c>
      <c r="O179" s="76"/>
      <c r="P179" s="76"/>
      <c r="Q179" s="76"/>
      <c r="R179" s="67" t="s">
        <v>1565</v>
      </c>
      <c r="S179" s="68">
        <v>890501434</v>
      </c>
      <c r="T179" s="77">
        <v>37223760</v>
      </c>
      <c r="U179" s="78" t="s">
        <v>1726</v>
      </c>
      <c r="V179" s="79">
        <v>250000</v>
      </c>
      <c r="W179" s="80">
        <v>1804599</v>
      </c>
    </row>
    <row r="180" spans="1:23" ht="15.6" x14ac:dyDescent="0.3">
      <c r="A180" s="158" t="s">
        <v>486</v>
      </c>
      <c r="B180" s="69">
        <v>2244039</v>
      </c>
      <c r="C180" s="69" t="s">
        <v>487</v>
      </c>
      <c r="D180" s="69">
        <v>0</v>
      </c>
      <c r="E180" s="70" t="s">
        <v>472</v>
      </c>
      <c r="F180" s="67" t="s">
        <v>1643</v>
      </c>
      <c r="G180" s="71">
        <v>25797</v>
      </c>
      <c r="H180" s="72"/>
      <c r="I180" s="133">
        <v>8029076.3499999996</v>
      </c>
      <c r="J180" s="134">
        <v>1147823.1100000001</v>
      </c>
      <c r="K180" s="125"/>
      <c r="L180" s="74">
        <v>7.9200000000000007E-2</v>
      </c>
      <c r="M180" s="75">
        <v>3209</v>
      </c>
      <c r="N180" s="76">
        <v>14</v>
      </c>
      <c r="O180" s="76"/>
      <c r="P180" s="76"/>
      <c r="Q180" s="76"/>
      <c r="R180" s="67" t="s">
        <v>1566</v>
      </c>
      <c r="S180" s="68">
        <v>890700961</v>
      </c>
      <c r="T180" s="77">
        <v>28971602</v>
      </c>
      <c r="U180" s="78" t="s">
        <v>1654</v>
      </c>
      <c r="V180" s="79">
        <v>250000</v>
      </c>
      <c r="W180" s="80">
        <v>2450639</v>
      </c>
    </row>
    <row r="181" spans="1:23" ht="15.6" x14ac:dyDescent="0.3">
      <c r="A181" s="158" t="s">
        <v>486</v>
      </c>
      <c r="B181" s="69">
        <v>2244039</v>
      </c>
      <c r="C181" s="69" t="s">
        <v>487</v>
      </c>
      <c r="D181" s="69">
        <v>0</v>
      </c>
      <c r="E181" s="70" t="s">
        <v>19</v>
      </c>
      <c r="F181" s="67" t="s">
        <v>1643</v>
      </c>
      <c r="G181" s="71">
        <v>25797</v>
      </c>
      <c r="H181" s="72"/>
      <c r="I181" s="133">
        <v>8029076.3499999996</v>
      </c>
      <c r="J181" s="134">
        <v>1147823.1100000001</v>
      </c>
      <c r="K181" s="125"/>
      <c r="L181" s="74">
        <v>7.9200000000000007E-2</v>
      </c>
      <c r="M181" s="104">
        <v>19948</v>
      </c>
      <c r="N181" s="76">
        <v>14</v>
      </c>
      <c r="O181" s="76"/>
      <c r="P181" s="76"/>
      <c r="Q181" s="76"/>
      <c r="R181" s="67" t="s">
        <v>1567</v>
      </c>
      <c r="S181" s="68">
        <v>890702015</v>
      </c>
      <c r="T181" s="77">
        <v>28971602</v>
      </c>
      <c r="U181" s="78" t="s">
        <v>1654</v>
      </c>
      <c r="V181" s="79">
        <v>250000</v>
      </c>
      <c r="W181" s="80">
        <v>2450639</v>
      </c>
    </row>
    <row r="182" spans="1:23" ht="15.6" x14ac:dyDescent="0.3">
      <c r="A182" s="158" t="s">
        <v>486</v>
      </c>
      <c r="B182" s="69">
        <v>2244039</v>
      </c>
      <c r="C182" s="69" t="s">
        <v>487</v>
      </c>
      <c r="D182" s="69">
        <v>0</v>
      </c>
      <c r="E182" s="70" t="s">
        <v>19</v>
      </c>
      <c r="F182" s="67" t="s">
        <v>1643</v>
      </c>
      <c r="G182" s="71">
        <v>25797</v>
      </c>
      <c r="H182" s="72"/>
      <c r="I182" s="133">
        <v>8029076.3499999996</v>
      </c>
      <c r="J182" s="134">
        <v>1147823.1100000001</v>
      </c>
      <c r="K182" s="125"/>
      <c r="L182" s="74">
        <v>7.9200000000000007E-2</v>
      </c>
      <c r="M182" s="75">
        <v>6080</v>
      </c>
      <c r="N182" s="76">
        <v>14</v>
      </c>
      <c r="O182" s="76"/>
      <c r="P182" s="76"/>
      <c r="Q182" s="76"/>
      <c r="R182" s="67" t="s">
        <v>1568</v>
      </c>
      <c r="S182" s="68">
        <v>890702034</v>
      </c>
      <c r="T182" s="77">
        <v>28971602</v>
      </c>
      <c r="U182" s="78" t="s">
        <v>1654</v>
      </c>
      <c r="V182" s="79">
        <v>250000</v>
      </c>
      <c r="W182" s="80">
        <v>2450639</v>
      </c>
    </row>
    <row r="183" spans="1:23" ht="15.6" x14ac:dyDescent="0.3">
      <c r="A183" s="158" t="s">
        <v>1801</v>
      </c>
      <c r="B183" s="69">
        <v>28505549</v>
      </c>
      <c r="C183" s="69" t="s">
        <v>1053</v>
      </c>
      <c r="D183" s="69">
        <v>0</v>
      </c>
      <c r="E183" s="70" t="s">
        <v>472</v>
      </c>
      <c r="F183" s="67" t="s">
        <v>1643</v>
      </c>
      <c r="G183" s="71">
        <v>28897</v>
      </c>
      <c r="H183" s="72"/>
      <c r="I183" s="133">
        <v>34938077.350000001</v>
      </c>
      <c r="J183" s="134">
        <v>4994688.16</v>
      </c>
      <c r="K183" s="130"/>
      <c r="L183" s="74">
        <v>0.35099999999999998</v>
      </c>
      <c r="M183" s="85">
        <v>596</v>
      </c>
      <c r="N183" s="76">
        <v>14</v>
      </c>
      <c r="O183" s="76"/>
      <c r="P183" s="76"/>
      <c r="Q183" s="76"/>
      <c r="R183" s="67" t="s">
        <v>1513</v>
      </c>
      <c r="S183" s="68">
        <v>890706355</v>
      </c>
      <c r="T183" s="77">
        <v>1796134</v>
      </c>
      <c r="U183" s="78" t="s">
        <v>1671</v>
      </c>
      <c r="V183" s="79">
        <v>250000</v>
      </c>
      <c r="W183" s="80">
        <v>2406195</v>
      </c>
    </row>
    <row r="184" spans="1:23" ht="15.6" x14ac:dyDescent="0.3">
      <c r="A184" s="158" t="s">
        <v>1054</v>
      </c>
      <c r="B184" s="69">
        <v>4311170</v>
      </c>
      <c r="C184" s="69" t="s">
        <v>1055</v>
      </c>
      <c r="D184" s="69">
        <v>0</v>
      </c>
      <c r="E184" s="70" t="s">
        <v>472</v>
      </c>
      <c r="F184" s="67" t="s">
        <v>1643</v>
      </c>
      <c r="G184" s="71">
        <v>33298</v>
      </c>
      <c r="H184" s="72"/>
      <c r="I184" s="133">
        <v>6216535.7699999996</v>
      </c>
      <c r="J184" s="134">
        <v>888705.39</v>
      </c>
      <c r="K184" s="125"/>
      <c r="L184" s="74">
        <v>0.12429999999999999</v>
      </c>
      <c r="M184" s="75">
        <v>44094</v>
      </c>
      <c r="N184" s="76">
        <v>14</v>
      </c>
      <c r="O184" s="105">
        <v>0.08</v>
      </c>
      <c r="P184" s="83">
        <v>354851</v>
      </c>
      <c r="Q184" s="76">
        <v>0</v>
      </c>
      <c r="R184" s="67" t="s">
        <v>1569</v>
      </c>
      <c r="S184" s="68">
        <v>890800128</v>
      </c>
      <c r="T184" s="77">
        <v>24282839</v>
      </c>
      <c r="U184" s="78" t="s">
        <v>1727</v>
      </c>
      <c r="V184" s="79">
        <v>250000</v>
      </c>
      <c r="W184" s="80">
        <v>1208972</v>
      </c>
    </row>
    <row r="185" spans="1:23" ht="15.6" x14ac:dyDescent="0.3">
      <c r="A185" s="158" t="s">
        <v>1057</v>
      </c>
      <c r="B185" s="69">
        <v>19095432</v>
      </c>
      <c r="C185" s="69" t="s">
        <v>1058</v>
      </c>
      <c r="D185" s="69">
        <v>0</v>
      </c>
      <c r="E185" s="70" t="s">
        <v>472</v>
      </c>
      <c r="F185" s="67" t="s">
        <v>1643</v>
      </c>
      <c r="G185" s="71">
        <v>38783</v>
      </c>
      <c r="H185" s="72"/>
      <c r="I185" s="133">
        <v>6250112.9299999997</v>
      </c>
      <c r="J185" s="134">
        <v>893505.52</v>
      </c>
      <c r="K185" s="125"/>
      <c r="L185" s="74">
        <v>6.0299999999999999E-2</v>
      </c>
      <c r="M185" s="75">
        <v>177516</v>
      </c>
      <c r="N185" s="76">
        <v>14</v>
      </c>
      <c r="O185" s="76">
        <v>0</v>
      </c>
      <c r="P185" s="83">
        <v>2943878</v>
      </c>
      <c r="Q185" s="83">
        <v>4349057</v>
      </c>
      <c r="R185" s="67" t="s">
        <v>1569</v>
      </c>
      <c r="S185" s="68">
        <v>890800128</v>
      </c>
      <c r="T185" s="77"/>
      <c r="U185" s="78"/>
      <c r="V185" s="79">
        <v>250000</v>
      </c>
      <c r="W185" s="80">
        <v>2505587</v>
      </c>
    </row>
    <row r="186" spans="1:23" ht="15.6" x14ac:dyDescent="0.3">
      <c r="A186" s="158" t="s">
        <v>1072</v>
      </c>
      <c r="B186" s="146">
        <v>1195034</v>
      </c>
      <c r="C186" s="69" t="s">
        <v>1073</v>
      </c>
      <c r="D186" s="69">
        <v>0</v>
      </c>
      <c r="E186" s="70" t="s">
        <v>472</v>
      </c>
      <c r="F186" s="67" t="s">
        <v>1643</v>
      </c>
      <c r="G186" s="71">
        <v>29561</v>
      </c>
      <c r="H186" s="72"/>
      <c r="I186" s="133">
        <v>15284856.68</v>
      </c>
      <c r="J186" s="134">
        <v>2185097.13</v>
      </c>
      <c r="K186" s="125"/>
      <c r="L186" s="74">
        <v>0.23599999999999999</v>
      </c>
      <c r="M186" s="75">
        <v>4537</v>
      </c>
      <c r="N186" s="76">
        <v>14</v>
      </c>
      <c r="O186" s="76">
        <v>0</v>
      </c>
      <c r="P186" s="83">
        <v>19229</v>
      </c>
      <c r="Q186" s="76">
        <v>0</v>
      </c>
      <c r="R186" s="67" t="s">
        <v>1571</v>
      </c>
      <c r="S186" s="68">
        <v>890801052</v>
      </c>
      <c r="T186" s="77">
        <v>24251761</v>
      </c>
      <c r="U186" s="78" t="s">
        <v>1733</v>
      </c>
      <c r="V186" s="79">
        <v>250000</v>
      </c>
      <c r="W186" s="80">
        <v>1565627</v>
      </c>
    </row>
    <row r="187" spans="1:23" ht="15.6" x14ac:dyDescent="0.3">
      <c r="A187" s="158" t="s">
        <v>684</v>
      </c>
      <c r="B187" s="146">
        <v>144109</v>
      </c>
      <c r="C187" s="69" t="s">
        <v>685</v>
      </c>
      <c r="D187" s="69">
        <v>0</v>
      </c>
      <c r="E187" s="70" t="s">
        <v>19</v>
      </c>
      <c r="F187" s="67" t="s">
        <v>1643</v>
      </c>
      <c r="G187" s="71">
        <v>30162</v>
      </c>
      <c r="H187" s="72"/>
      <c r="I187" s="133">
        <v>3795939.97</v>
      </c>
      <c r="J187" s="134">
        <v>542661.13</v>
      </c>
      <c r="K187" s="125"/>
      <c r="L187" s="74">
        <v>6.3200000000000006E-2</v>
      </c>
      <c r="M187" s="75">
        <v>15720</v>
      </c>
      <c r="N187" s="76">
        <v>14</v>
      </c>
      <c r="O187" s="76">
        <v>0</v>
      </c>
      <c r="P187" s="83">
        <v>15720</v>
      </c>
      <c r="Q187" s="76">
        <v>0</v>
      </c>
      <c r="R187" s="67" t="s">
        <v>1571</v>
      </c>
      <c r="S187" s="68">
        <v>890801052</v>
      </c>
      <c r="T187" s="77">
        <v>20128658</v>
      </c>
      <c r="U187" s="78" t="s">
        <v>1680</v>
      </c>
      <c r="V187" s="79">
        <v>250000</v>
      </c>
      <c r="W187" s="80">
        <v>1451915</v>
      </c>
    </row>
    <row r="188" spans="1:23" ht="15.6" x14ac:dyDescent="0.3">
      <c r="A188" s="158" t="s">
        <v>1074</v>
      </c>
      <c r="B188" s="146">
        <v>1386374</v>
      </c>
      <c r="C188" s="69" t="s">
        <v>1075</v>
      </c>
      <c r="D188" s="69">
        <v>0</v>
      </c>
      <c r="E188" s="70" t="s">
        <v>19</v>
      </c>
      <c r="F188" s="67" t="s">
        <v>1643</v>
      </c>
      <c r="G188" s="71">
        <v>23676</v>
      </c>
      <c r="H188" s="72"/>
      <c r="I188" s="133">
        <v>15649326.560000001</v>
      </c>
      <c r="J188" s="134">
        <v>2237201.13</v>
      </c>
      <c r="K188" s="125"/>
      <c r="L188" s="74">
        <v>0.17749999999999999</v>
      </c>
      <c r="M188" s="75">
        <v>8624</v>
      </c>
      <c r="N188" s="76">
        <v>14</v>
      </c>
      <c r="O188" s="76">
        <v>0</v>
      </c>
      <c r="P188" s="83">
        <v>48586</v>
      </c>
      <c r="Q188" s="76">
        <v>0</v>
      </c>
      <c r="R188" s="67" t="s">
        <v>1571</v>
      </c>
      <c r="S188" s="68">
        <v>890801052</v>
      </c>
      <c r="T188" s="77">
        <v>41471964</v>
      </c>
      <c r="U188" s="78" t="s">
        <v>1734</v>
      </c>
      <c r="V188" s="79">
        <v>250000</v>
      </c>
      <c r="W188" s="80">
        <v>2131259</v>
      </c>
    </row>
    <row r="189" spans="1:23" ht="15.6" x14ac:dyDescent="0.3">
      <c r="A189" s="158" t="s">
        <v>644</v>
      </c>
      <c r="B189" s="146">
        <v>4316056</v>
      </c>
      <c r="C189" s="69" t="s">
        <v>645</v>
      </c>
      <c r="D189" s="69">
        <v>0</v>
      </c>
      <c r="E189" s="70" t="s">
        <v>472</v>
      </c>
      <c r="F189" s="67" t="s">
        <v>1643</v>
      </c>
      <c r="G189" s="71">
        <v>32629</v>
      </c>
      <c r="H189" s="72"/>
      <c r="I189" s="133">
        <v>32262688.390000001</v>
      </c>
      <c r="J189" s="134">
        <v>4612219.0999999996</v>
      </c>
      <c r="K189" s="125"/>
      <c r="L189" s="74">
        <v>0.28439999999999999</v>
      </c>
      <c r="M189" s="75">
        <v>3410</v>
      </c>
      <c r="N189" s="76">
        <v>14</v>
      </c>
      <c r="O189" s="76">
        <v>0</v>
      </c>
      <c r="P189" s="83">
        <v>132270</v>
      </c>
      <c r="Q189" s="76">
        <v>0</v>
      </c>
      <c r="R189" s="67" t="s">
        <v>1571</v>
      </c>
      <c r="S189" s="68">
        <v>890801052</v>
      </c>
      <c r="T189" s="77"/>
      <c r="U189" s="78"/>
      <c r="V189" s="79">
        <v>250000</v>
      </c>
      <c r="W189" s="80">
        <v>2742268</v>
      </c>
    </row>
    <row r="190" spans="1:23" ht="15.6" x14ac:dyDescent="0.3">
      <c r="A190" s="158" t="s">
        <v>1076</v>
      </c>
      <c r="B190" s="146">
        <v>29371609</v>
      </c>
      <c r="C190" s="69" t="s">
        <v>1077</v>
      </c>
      <c r="D190" s="69">
        <v>0</v>
      </c>
      <c r="E190" s="70" t="s">
        <v>19</v>
      </c>
      <c r="F190" s="67" t="s">
        <v>1643</v>
      </c>
      <c r="G190" s="71">
        <v>32752</v>
      </c>
      <c r="H190" s="72"/>
      <c r="I190" s="133">
        <v>9933531.3499999996</v>
      </c>
      <c r="J190" s="134">
        <v>1420080.76</v>
      </c>
      <c r="K190" s="125"/>
      <c r="L190" s="74">
        <v>7.1499999999999994E-2</v>
      </c>
      <c r="M190" s="75">
        <v>14762</v>
      </c>
      <c r="N190" s="76">
        <v>14</v>
      </c>
      <c r="O190" s="76">
        <v>0</v>
      </c>
      <c r="P190" s="83">
        <v>206347</v>
      </c>
      <c r="Q190" s="76">
        <v>0</v>
      </c>
      <c r="R190" s="67" t="s">
        <v>1571</v>
      </c>
      <c r="S190" s="68">
        <v>890801052</v>
      </c>
      <c r="T190" s="77"/>
      <c r="U190" s="78"/>
      <c r="V190" s="79">
        <v>250000</v>
      </c>
      <c r="W190" s="80">
        <v>3358432</v>
      </c>
    </row>
    <row r="191" spans="1:23" ht="15.6" x14ac:dyDescent="0.3">
      <c r="A191" s="158" t="s">
        <v>1078</v>
      </c>
      <c r="B191" s="146">
        <v>1267414</v>
      </c>
      <c r="C191" s="69" t="s">
        <v>1079</v>
      </c>
      <c r="D191" s="69">
        <v>0</v>
      </c>
      <c r="E191" s="70" t="s">
        <v>19</v>
      </c>
      <c r="F191" s="67" t="s">
        <v>1643</v>
      </c>
      <c r="G191" s="71">
        <v>32874</v>
      </c>
      <c r="H191" s="72"/>
      <c r="I191" s="133">
        <v>16918098.390000001</v>
      </c>
      <c r="J191" s="134">
        <v>2418582.59</v>
      </c>
      <c r="K191" s="125"/>
      <c r="L191" s="74">
        <v>0.19059999999999999</v>
      </c>
      <c r="M191" s="75">
        <v>21783</v>
      </c>
      <c r="N191" s="76">
        <v>14</v>
      </c>
      <c r="O191" s="76">
        <v>0</v>
      </c>
      <c r="P191" s="83">
        <v>114293</v>
      </c>
      <c r="Q191" s="76">
        <v>0</v>
      </c>
      <c r="R191" s="67" t="s">
        <v>1571</v>
      </c>
      <c r="S191" s="68">
        <v>890801052</v>
      </c>
      <c r="T191" s="77">
        <v>24565754</v>
      </c>
      <c r="U191" s="78" t="s">
        <v>1735</v>
      </c>
      <c r="V191" s="79">
        <v>250000</v>
      </c>
      <c r="W191" s="80">
        <v>2145693</v>
      </c>
    </row>
    <row r="192" spans="1:23" ht="15.6" x14ac:dyDescent="0.3">
      <c r="A192" s="158" t="s">
        <v>1080</v>
      </c>
      <c r="B192" s="69">
        <v>24446657</v>
      </c>
      <c r="C192" s="69" t="s">
        <v>1081</v>
      </c>
      <c r="D192" s="69">
        <v>0</v>
      </c>
      <c r="E192" s="70" t="s">
        <v>472</v>
      </c>
      <c r="F192" s="67" t="s">
        <v>1643</v>
      </c>
      <c r="G192" s="71">
        <v>34351</v>
      </c>
      <c r="H192" s="72"/>
      <c r="I192" s="133">
        <v>3652479.41</v>
      </c>
      <c r="J192" s="134">
        <v>522152.25</v>
      </c>
      <c r="K192" s="125"/>
      <c r="L192" s="74">
        <v>0.1172</v>
      </c>
      <c r="M192" s="75">
        <v>27579</v>
      </c>
      <c r="N192" s="76">
        <v>14</v>
      </c>
      <c r="O192" s="76">
        <v>0</v>
      </c>
      <c r="P192" s="83">
        <v>79868</v>
      </c>
      <c r="Q192" s="83">
        <v>155429</v>
      </c>
      <c r="R192" s="67" t="s">
        <v>1571</v>
      </c>
      <c r="S192" s="68">
        <v>890801052</v>
      </c>
      <c r="T192" s="77"/>
      <c r="U192" s="78"/>
      <c r="V192" s="79">
        <v>250000</v>
      </c>
      <c r="W192" s="80">
        <v>753354</v>
      </c>
    </row>
    <row r="193" spans="1:23" ht="16.2" thickBot="1" x14ac:dyDescent="0.35">
      <c r="A193" s="158" t="s">
        <v>1082</v>
      </c>
      <c r="B193" s="146">
        <v>24297360</v>
      </c>
      <c r="C193" s="69" t="s">
        <v>1083</v>
      </c>
      <c r="D193" s="69">
        <v>0</v>
      </c>
      <c r="E193" s="70" t="s">
        <v>19</v>
      </c>
      <c r="F193" s="67" t="s">
        <v>1643</v>
      </c>
      <c r="G193" s="71">
        <v>35431</v>
      </c>
      <c r="H193" s="86">
        <v>41425</v>
      </c>
      <c r="I193" s="133">
        <v>23483522.66</v>
      </c>
      <c r="J193" s="134">
        <v>3357164.48</v>
      </c>
      <c r="K193" s="125"/>
      <c r="L193" s="74">
        <v>0.11700000000000001</v>
      </c>
      <c r="M193" s="75">
        <v>103881</v>
      </c>
      <c r="N193" s="76">
        <v>14</v>
      </c>
      <c r="O193" s="76">
        <v>0</v>
      </c>
      <c r="P193" s="83">
        <v>888238</v>
      </c>
      <c r="Q193" s="76">
        <v>0</v>
      </c>
      <c r="R193" s="67" t="s">
        <v>1571</v>
      </c>
      <c r="S193" s="68">
        <v>890801052</v>
      </c>
      <c r="T193" s="77">
        <v>4296224</v>
      </c>
      <c r="U193" s="78" t="s">
        <v>1572</v>
      </c>
      <c r="V193" s="79">
        <v>250000</v>
      </c>
      <c r="W193" s="80">
        <v>4851950</v>
      </c>
    </row>
    <row r="194" spans="1:23" ht="15.6" x14ac:dyDescent="0.3">
      <c r="A194" s="158" t="s">
        <v>1096</v>
      </c>
      <c r="B194" s="69">
        <v>26252932</v>
      </c>
      <c r="C194" s="69" t="s">
        <v>1097</v>
      </c>
      <c r="D194" s="69">
        <v>0</v>
      </c>
      <c r="E194" s="70" t="s">
        <v>1061</v>
      </c>
      <c r="F194" s="67" t="s">
        <v>1643</v>
      </c>
      <c r="G194" s="71">
        <v>31413</v>
      </c>
      <c r="H194" s="72"/>
      <c r="I194" s="133">
        <v>10970160.689999999</v>
      </c>
      <c r="J194" s="134">
        <v>1568275.53</v>
      </c>
      <c r="K194" s="125"/>
      <c r="L194" s="74">
        <v>0.17080000000000001</v>
      </c>
      <c r="M194" s="75">
        <v>7942</v>
      </c>
      <c r="N194" s="76">
        <v>14</v>
      </c>
      <c r="O194" s="105">
        <v>0.08</v>
      </c>
      <c r="P194" s="83">
        <v>46499</v>
      </c>
      <c r="Q194" s="76">
        <v>0</v>
      </c>
      <c r="R194" s="67" t="s">
        <v>1574</v>
      </c>
      <c r="S194" s="68">
        <v>890900286</v>
      </c>
      <c r="T194" s="77"/>
      <c r="U194" s="78"/>
      <c r="V194" s="79">
        <v>250000</v>
      </c>
      <c r="W194" s="80">
        <v>1552616</v>
      </c>
    </row>
    <row r="195" spans="1:23" ht="15.6" x14ac:dyDescent="0.3">
      <c r="A195" s="158" t="s">
        <v>1098</v>
      </c>
      <c r="B195" s="69">
        <v>541693</v>
      </c>
      <c r="C195" s="69" t="s">
        <v>1099</v>
      </c>
      <c r="D195" s="69">
        <v>0</v>
      </c>
      <c r="E195" s="70" t="s">
        <v>1100</v>
      </c>
      <c r="F195" s="67" t="s">
        <v>1643</v>
      </c>
      <c r="G195" s="71">
        <v>31671</v>
      </c>
      <c r="H195" s="72"/>
      <c r="I195" s="133">
        <v>12008142.16</v>
      </c>
      <c r="J195" s="134">
        <v>1716663.59</v>
      </c>
      <c r="K195" s="125"/>
      <c r="L195" s="74">
        <v>9.2200000000000004E-2</v>
      </c>
      <c r="M195" s="75">
        <v>74099</v>
      </c>
      <c r="N195" s="76">
        <v>14</v>
      </c>
      <c r="O195" s="105">
        <v>0.08</v>
      </c>
      <c r="P195" s="83">
        <v>65434</v>
      </c>
      <c r="Q195" s="83">
        <v>10493</v>
      </c>
      <c r="R195" s="67" t="s">
        <v>1574</v>
      </c>
      <c r="S195" s="68">
        <v>890900286</v>
      </c>
      <c r="T195" s="77">
        <v>71600185</v>
      </c>
      <c r="U195" s="78" t="s">
        <v>1738</v>
      </c>
      <c r="V195" s="79">
        <v>250000</v>
      </c>
      <c r="W195" s="80">
        <v>3148356</v>
      </c>
    </row>
    <row r="196" spans="1:23" ht="16.2" thickBot="1" x14ac:dyDescent="0.35">
      <c r="A196" s="158" t="s">
        <v>1849</v>
      </c>
      <c r="B196" s="69">
        <v>21263379</v>
      </c>
      <c r="C196" s="69" t="s">
        <v>1102</v>
      </c>
      <c r="D196" s="69">
        <v>0</v>
      </c>
      <c r="E196" s="70" t="s">
        <v>472</v>
      </c>
      <c r="F196" s="67" t="s">
        <v>1643</v>
      </c>
      <c r="G196" s="71">
        <v>31778</v>
      </c>
      <c r="H196" s="72"/>
      <c r="I196" s="133">
        <v>42517460.469999999</v>
      </c>
      <c r="J196" s="134">
        <v>6078223.8899999997</v>
      </c>
      <c r="K196" s="128"/>
      <c r="L196" s="74">
        <v>0.72009999999999996</v>
      </c>
      <c r="M196" s="75">
        <v>49175</v>
      </c>
      <c r="N196" s="76">
        <v>14</v>
      </c>
      <c r="O196" s="76"/>
      <c r="P196" s="76"/>
      <c r="Q196" s="76"/>
      <c r="R196" s="67" t="s">
        <v>1574</v>
      </c>
      <c r="S196" s="68">
        <v>890900286</v>
      </c>
      <c r="T196" s="77"/>
      <c r="U196" s="78"/>
      <c r="V196" s="79">
        <v>250000</v>
      </c>
      <c r="W196" s="80">
        <v>1427294</v>
      </c>
    </row>
    <row r="197" spans="1:23" ht="15.6" x14ac:dyDescent="0.3">
      <c r="A197" s="158" t="s">
        <v>1103</v>
      </c>
      <c r="B197" s="69">
        <v>21320864</v>
      </c>
      <c r="C197" s="69" t="s">
        <v>1104</v>
      </c>
      <c r="D197" s="69">
        <v>0</v>
      </c>
      <c r="E197" s="70" t="s">
        <v>472</v>
      </c>
      <c r="F197" s="67" t="s">
        <v>1643</v>
      </c>
      <c r="G197" s="71">
        <v>31778</v>
      </c>
      <c r="H197" s="72"/>
      <c r="I197" s="133">
        <v>42425016</v>
      </c>
      <c r="J197" s="134">
        <v>6065008.1799999997</v>
      </c>
      <c r="K197" s="127"/>
      <c r="L197" s="74">
        <v>0.53069999999999995</v>
      </c>
      <c r="M197" s="75">
        <v>36348</v>
      </c>
      <c r="N197" s="76">
        <v>14</v>
      </c>
      <c r="O197" s="76"/>
      <c r="P197" s="76"/>
      <c r="Q197" s="76"/>
      <c r="R197" s="67" t="s">
        <v>1574</v>
      </c>
      <c r="S197" s="68">
        <v>890900286</v>
      </c>
      <c r="T197" s="77"/>
      <c r="U197" s="78"/>
      <c r="V197" s="79">
        <v>250000</v>
      </c>
      <c r="W197" s="80">
        <v>1932466</v>
      </c>
    </row>
    <row r="198" spans="1:23" ht="15.6" x14ac:dyDescent="0.3">
      <c r="A198" s="158" t="s">
        <v>1105</v>
      </c>
      <c r="B198" s="69">
        <v>21261483</v>
      </c>
      <c r="C198" s="69" t="s">
        <v>1106</v>
      </c>
      <c r="D198" s="69">
        <v>0</v>
      </c>
      <c r="E198" s="70" t="s">
        <v>1100</v>
      </c>
      <c r="F198" s="67" t="s">
        <v>1643</v>
      </c>
      <c r="G198" s="71">
        <v>32082</v>
      </c>
      <c r="H198" s="72"/>
      <c r="I198" s="133">
        <v>2596382.58</v>
      </c>
      <c r="J198" s="134">
        <v>371174.44</v>
      </c>
      <c r="K198" s="125"/>
      <c r="L198" s="74">
        <v>5.21E-2</v>
      </c>
      <c r="M198" s="75">
        <v>46807</v>
      </c>
      <c r="N198" s="76">
        <v>14</v>
      </c>
      <c r="O198" s="105">
        <v>0.08</v>
      </c>
      <c r="P198" s="83">
        <v>79888</v>
      </c>
      <c r="Q198" s="76">
        <v>0</v>
      </c>
      <c r="R198" s="67" t="s">
        <v>1574</v>
      </c>
      <c r="S198" s="68">
        <v>890900286</v>
      </c>
      <c r="T198" s="77"/>
      <c r="U198" s="78"/>
      <c r="V198" s="79">
        <v>250000</v>
      </c>
      <c r="W198" s="80">
        <v>1204675</v>
      </c>
    </row>
    <row r="199" spans="1:23" ht="16.2" thickBot="1" x14ac:dyDescent="0.35">
      <c r="A199" s="158" t="s">
        <v>1109</v>
      </c>
      <c r="B199" s="69">
        <v>504838</v>
      </c>
      <c r="C199" s="69" t="s">
        <v>1110</v>
      </c>
      <c r="D199" s="69">
        <v>0</v>
      </c>
      <c r="E199" s="70" t="s">
        <v>1061</v>
      </c>
      <c r="F199" s="67" t="s">
        <v>1643</v>
      </c>
      <c r="G199" s="71">
        <v>32520</v>
      </c>
      <c r="H199" s="72"/>
      <c r="I199" s="133">
        <v>17250532.149999999</v>
      </c>
      <c r="J199" s="134">
        <v>2466106.7599999998</v>
      </c>
      <c r="K199" s="128"/>
      <c r="L199" s="74">
        <v>0.22459999999999999</v>
      </c>
      <c r="M199" s="75">
        <v>11107</v>
      </c>
      <c r="N199" s="76">
        <v>14</v>
      </c>
      <c r="O199" s="105">
        <v>0.08</v>
      </c>
      <c r="P199" s="83">
        <v>49457</v>
      </c>
      <c r="Q199" s="76">
        <v>0</v>
      </c>
      <c r="R199" s="67" t="s">
        <v>1574</v>
      </c>
      <c r="S199" s="68">
        <v>890900286</v>
      </c>
      <c r="T199" s="77">
        <v>32408190</v>
      </c>
      <c r="U199" s="78" t="s">
        <v>1739</v>
      </c>
      <c r="V199" s="79">
        <v>250000</v>
      </c>
      <c r="W199" s="80">
        <v>1856657</v>
      </c>
    </row>
    <row r="200" spans="1:23" ht="16.2" thickBot="1" x14ac:dyDescent="0.35">
      <c r="A200" s="158" t="s">
        <v>644</v>
      </c>
      <c r="B200" s="69">
        <v>4316056</v>
      </c>
      <c r="C200" s="69" t="s">
        <v>645</v>
      </c>
      <c r="D200" s="69">
        <v>0</v>
      </c>
      <c r="E200" s="70" t="s">
        <v>472</v>
      </c>
      <c r="F200" s="67" t="s">
        <v>1643</v>
      </c>
      <c r="G200" s="71">
        <v>32629</v>
      </c>
      <c r="H200" s="72"/>
      <c r="I200" s="133">
        <v>32262688.390000001</v>
      </c>
      <c r="J200" s="134">
        <v>4612219.0999999996</v>
      </c>
      <c r="K200" s="128"/>
      <c r="L200" s="74">
        <v>0.28439999999999999</v>
      </c>
      <c r="M200" s="75">
        <v>37618</v>
      </c>
      <c r="N200" s="76">
        <v>14</v>
      </c>
      <c r="O200" s="105">
        <v>0.08</v>
      </c>
      <c r="P200" s="83">
        <v>132270</v>
      </c>
      <c r="Q200" s="76">
        <v>0</v>
      </c>
      <c r="R200" s="67" t="s">
        <v>1574</v>
      </c>
      <c r="S200" s="68">
        <v>890900286</v>
      </c>
      <c r="T200" s="77"/>
      <c r="U200" s="78"/>
      <c r="V200" s="79">
        <v>250000</v>
      </c>
      <c r="W200" s="80">
        <v>2742268</v>
      </c>
    </row>
    <row r="201" spans="1:23" ht="15.6" x14ac:dyDescent="0.3">
      <c r="A201" s="158" t="s">
        <v>1850</v>
      </c>
      <c r="B201" s="69">
        <v>3332029</v>
      </c>
      <c r="C201" s="69" t="s">
        <v>1112</v>
      </c>
      <c r="D201" s="69">
        <v>0</v>
      </c>
      <c r="E201" s="70" t="s">
        <v>1100</v>
      </c>
      <c r="F201" s="67" t="s">
        <v>1643</v>
      </c>
      <c r="G201" s="71">
        <v>33600</v>
      </c>
      <c r="H201" s="72"/>
      <c r="I201" s="133">
        <v>21023459.5</v>
      </c>
      <c r="J201" s="134">
        <v>3005478.04</v>
      </c>
      <c r="K201" s="127"/>
      <c r="L201" s="74">
        <v>0.1187</v>
      </c>
      <c r="M201" s="75">
        <v>33808</v>
      </c>
      <c r="N201" s="76">
        <v>14</v>
      </c>
      <c r="O201" s="105">
        <v>0.08</v>
      </c>
      <c r="P201" s="83">
        <v>284813</v>
      </c>
      <c r="Q201" s="76">
        <v>0</v>
      </c>
      <c r="R201" s="67" t="s">
        <v>1574</v>
      </c>
      <c r="S201" s="68">
        <v>890900286</v>
      </c>
      <c r="T201" s="77"/>
      <c r="U201" s="78"/>
      <c r="V201" s="79">
        <v>250000</v>
      </c>
      <c r="W201" s="80">
        <v>4281465</v>
      </c>
    </row>
    <row r="202" spans="1:23" ht="16.2" thickBot="1" x14ac:dyDescent="0.35">
      <c r="A202" s="158" t="s">
        <v>1113</v>
      </c>
      <c r="B202" s="147">
        <v>3404834</v>
      </c>
      <c r="C202" s="69" t="s">
        <v>1114</v>
      </c>
      <c r="D202" s="69">
        <v>0</v>
      </c>
      <c r="E202" s="91" t="s">
        <v>1100</v>
      </c>
      <c r="F202" s="67" t="s">
        <v>1643</v>
      </c>
      <c r="G202" s="71">
        <v>33795</v>
      </c>
      <c r="H202" s="86"/>
      <c r="I202" s="133">
        <v>16405815.33</v>
      </c>
      <c r="J202" s="134">
        <v>2345347.4700000002</v>
      </c>
      <c r="K202" s="128"/>
      <c r="L202" s="74">
        <v>0.3402</v>
      </c>
      <c r="M202" s="100">
        <v>22179</v>
      </c>
      <c r="N202" s="76">
        <v>14</v>
      </c>
      <c r="O202" s="105">
        <v>0.08</v>
      </c>
      <c r="P202" s="83">
        <v>65190</v>
      </c>
      <c r="Q202" s="76">
        <v>0</v>
      </c>
      <c r="R202" s="67" t="s">
        <v>1574</v>
      </c>
      <c r="S202" s="68">
        <v>890900286</v>
      </c>
      <c r="T202" s="77"/>
      <c r="U202" s="78"/>
      <c r="V202" s="79">
        <v>250000</v>
      </c>
      <c r="W202" s="80">
        <v>1165742</v>
      </c>
    </row>
    <row r="203" spans="1:23" ht="16.2" thickBot="1" x14ac:dyDescent="0.35">
      <c r="A203" s="158" t="s">
        <v>1115</v>
      </c>
      <c r="B203" s="148">
        <v>21365573</v>
      </c>
      <c r="C203" s="69" t="s">
        <v>1116</v>
      </c>
      <c r="D203" s="69">
        <v>0</v>
      </c>
      <c r="E203" s="95" t="s">
        <v>19</v>
      </c>
      <c r="F203" s="67" t="s">
        <v>1643</v>
      </c>
      <c r="G203" s="71">
        <v>33938</v>
      </c>
      <c r="H203" s="72"/>
      <c r="I203" s="133">
        <v>4783104.17</v>
      </c>
      <c r="J203" s="134">
        <v>683784.44</v>
      </c>
      <c r="K203" s="132"/>
      <c r="L203" s="74">
        <v>0.31069999999999998</v>
      </c>
      <c r="M203" s="96">
        <v>61473</v>
      </c>
      <c r="N203" s="76">
        <v>14</v>
      </c>
      <c r="O203" s="105">
        <v>0.08</v>
      </c>
      <c r="P203" s="83">
        <v>252828</v>
      </c>
      <c r="Q203" s="76">
        <v>0</v>
      </c>
      <c r="R203" s="67" t="s">
        <v>1574</v>
      </c>
      <c r="S203" s="68">
        <v>890900286</v>
      </c>
      <c r="T203" s="77"/>
      <c r="U203" s="78"/>
      <c r="V203" s="79">
        <v>250000</v>
      </c>
      <c r="W203" s="80">
        <v>372141</v>
      </c>
    </row>
    <row r="204" spans="1:23" ht="15.6" x14ac:dyDescent="0.3">
      <c r="A204" s="158" t="s">
        <v>1851</v>
      </c>
      <c r="B204" s="69">
        <v>3329674</v>
      </c>
      <c r="C204" s="69" t="s">
        <v>1121</v>
      </c>
      <c r="D204" s="69">
        <v>0</v>
      </c>
      <c r="E204" s="70" t="s">
        <v>1100</v>
      </c>
      <c r="F204" s="67" t="s">
        <v>1643</v>
      </c>
      <c r="G204" s="71">
        <v>34303</v>
      </c>
      <c r="H204" s="72">
        <v>39447</v>
      </c>
      <c r="I204" s="133">
        <v>15788274.359999999</v>
      </c>
      <c r="J204" s="134">
        <v>2257064.87</v>
      </c>
      <c r="K204" s="125"/>
      <c r="L204" s="74">
        <v>0.1095</v>
      </c>
      <c r="M204" s="75">
        <v>63161</v>
      </c>
      <c r="N204" s="76">
        <v>14</v>
      </c>
      <c r="O204" s="105">
        <v>0.08</v>
      </c>
      <c r="P204" s="83">
        <v>581773</v>
      </c>
      <c r="Q204" s="76">
        <v>0</v>
      </c>
      <c r="R204" s="67" t="s">
        <v>1574</v>
      </c>
      <c r="S204" s="68">
        <v>890900286</v>
      </c>
      <c r="T204" s="77"/>
      <c r="U204" s="78"/>
      <c r="V204" s="79">
        <v>250000</v>
      </c>
      <c r="W204" s="80">
        <v>3485455</v>
      </c>
    </row>
    <row r="205" spans="1:23" ht="15.6" x14ac:dyDescent="0.3">
      <c r="A205" s="158" t="s">
        <v>1122</v>
      </c>
      <c r="B205" s="69">
        <v>21335503</v>
      </c>
      <c r="C205" s="69" t="s">
        <v>1123</v>
      </c>
      <c r="D205" s="69">
        <v>0</v>
      </c>
      <c r="E205" s="70" t="s">
        <v>1061</v>
      </c>
      <c r="F205" s="67" t="s">
        <v>1643</v>
      </c>
      <c r="G205" s="71">
        <v>34700</v>
      </c>
      <c r="H205" s="87"/>
      <c r="I205" s="133">
        <v>2480607.1</v>
      </c>
      <c r="J205" s="134">
        <v>354623.37</v>
      </c>
      <c r="K205" s="125"/>
      <c r="L205" s="74">
        <v>2.41E-2</v>
      </c>
      <c r="M205" s="112">
        <v>15531</v>
      </c>
      <c r="N205" s="76">
        <v>14</v>
      </c>
      <c r="O205" s="76">
        <v>0</v>
      </c>
      <c r="P205" s="83">
        <v>790325</v>
      </c>
      <c r="Q205" s="76">
        <v>0</v>
      </c>
      <c r="R205" s="67" t="s">
        <v>1574</v>
      </c>
      <c r="S205" s="68">
        <v>890900286</v>
      </c>
      <c r="T205" s="77"/>
      <c r="U205" s="78"/>
      <c r="V205" s="79">
        <v>250000</v>
      </c>
      <c r="W205" s="80">
        <v>2488169</v>
      </c>
    </row>
    <row r="206" spans="1:23" ht="16.2" thickBot="1" x14ac:dyDescent="0.35">
      <c r="A206" s="158" t="s">
        <v>642</v>
      </c>
      <c r="B206" s="149">
        <v>32412374</v>
      </c>
      <c r="C206" s="69" t="s">
        <v>643</v>
      </c>
      <c r="D206" s="69">
        <v>0</v>
      </c>
      <c r="E206" s="114" t="s">
        <v>472</v>
      </c>
      <c r="F206" s="67" t="s">
        <v>1643</v>
      </c>
      <c r="G206" s="71">
        <v>34700</v>
      </c>
      <c r="H206" s="72">
        <v>39146</v>
      </c>
      <c r="I206" s="133">
        <v>92137.31</v>
      </c>
      <c r="J206" s="134">
        <v>13171.8</v>
      </c>
      <c r="K206" s="125"/>
      <c r="L206" s="74">
        <v>6.1100000000000002E-2</v>
      </c>
      <c r="M206" s="100">
        <v>8420</v>
      </c>
      <c r="N206" s="76">
        <v>14</v>
      </c>
      <c r="O206" s="76"/>
      <c r="P206" s="76"/>
      <c r="Q206" s="76"/>
      <c r="R206" s="67" t="s">
        <v>1574</v>
      </c>
      <c r="S206" s="68">
        <v>890900286</v>
      </c>
      <c r="T206" s="77"/>
      <c r="U206" s="78"/>
      <c r="V206" s="79">
        <v>250000</v>
      </c>
      <c r="W206" s="80">
        <v>36453</v>
      </c>
    </row>
    <row r="207" spans="1:23" ht="15.6" x14ac:dyDescent="0.3">
      <c r="A207" s="158" t="s">
        <v>1124</v>
      </c>
      <c r="B207" s="148">
        <v>32402612</v>
      </c>
      <c r="C207" s="69" t="s">
        <v>1125</v>
      </c>
      <c r="D207" s="69">
        <v>0</v>
      </c>
      <c r="E207" s="95" t="s">
        <v>1100</v>
      </c>
      <c r="F207" s="67" t="s">
        <v>1643</v>
      </c>
      <c r="G207" s="71">
        <v>35399</v>
      </c>
      <c r="H207" s="72">
        <v>39447</v>
      </c>
      <c r="I207" s="133">
        <v>24472313.449999999</v>
      </c>
      <c r="J207" s="134">
        <v>3498520.34</v>
      </c>
      <c r="K207" s="125"/>
      <c r="L207" s="74">
        <v>0.48720000000000002</v>
      </c>
      <c r="M207" s="96">
        <v>182762</v>
      </c>
      <c r="N207" s="76">
        <v>14</v>
      </c>
      <c r="O207" s="76">
        <v>0</v>
      </c>
      <c r="P207" s="83">
        <v>375118</v>
      </c>
      <c r="Q207" s="76">
        <v>0</v>
      </c>
      <c r="R207" s="67" t="s">
        <v>1574</v>
      </c>
      <c r="S207" s="68">
        <v>890900286</v>
      </c>
      <c r="T207" s="77"/>
      <c r="U207" s="78"/>
      <c r="V207" s="79">
        <v>250000</v>
      </c>
      <c r="W207" s="80">
        <v>1214246</v>
      </c>
    </row>
    <row r="208" spans="1:23" ht="16.2" thickBot="1" x14ac:dyDescent="0.35">
      <c r="A208" s="158" t="s">
        <v>1126</v>
      </c>
      <c r="B208" s="147">
        <v>3478568</v>
      </c>
      <c r="C208" s="69" t="s">
        <v>1127</v>
      </c>
      <c r="D208" s="69">
        <v>0</v>
      </c>
      <c r="E208" s="91" t="s">
        <v>1128</v>
      </c>
      <c r="F208" s="67" t="s">
        <v>1643</v>
      </c>
      <c r="G208" s="71">
        <v>35431</v>
      </c>
      <c r="H208" s="72">
        <v>39447</v>
      </c>
      <c r="I208" s="133">
        <v>48367333.509999998</v>
      </c>
      <c r="J208" s="134">
        <v>6914511.79</v>
      </c>
      <c r="K208" s="125"/>
      <c r="L208" s="74">
        <v>0.46989999999999998</v>
      </c>
      <c r="M208" s="100">
        <v>717633</v>
      </c>
      <c r="N208" s="76">
        <v>14</v>
      </c>
      <c r="O208" s="76">
        <v>0</v>
      </c>
      <c r="P208" s="83">
        <v>1527358</v>
      </c>
      <c r="Q208" s="76">
        <v>0</v>
      </c>
      <c r="R208" s="67" t="s">
        <v>1574</v>
      </c>
      <c r="S208" s="68">
        <v>890900286</v>
      </c>
      <c r="T208" s="77"/>
      <c r="U208" s="78"/>
      <c r="V208" s="79">
        <v>250000</v>
      </c>
      <c r="W208" s="80">
        <v>2488202</v>
      </c>
    </row>
    <row r="209" spans="1:23" ht="16.2" thickBot="1" x14ac:dyDescent="0.35">
      <c r="A209" s="158" t="s">
        <v>1129</v>
      </c>
      <c r="B209" s="150">
        <v>32422337</v>
      </c>
      <c r="C209" s="69" t="s">
        <v>1130</v>
      </c>
      <c r="D209" s="69">
        <v>0</v>
      </c>
      <c r="E209" s="116" t="s">
        <v>1100</v>
      </c>
      <c r="F209" s="67" t="s">
        <v>1643</v>
      </c>
      <c r="G209" s="71">
        <v>35436</v>
      </c>
      <c r="H209" s="72"/>
      <c r="I209" s="133">
        <v>3922714.82</v>
      </c>
      <c r="J209" s="134">
        <v>560784.64000000001</v>
      </c>
      <c r="K209" s="125"/>
      <c r="L209" s="74">
        <v>0.1477</v>
      </c>
      <c r="M209" s="117">
        <v>117497</v>
      </c>
      <c r="N209" s="76">
        <v>14</v>
      </c>
      <c r="O209" s="76">
        <v>0</v>
      </c>
      <c r="P209" s="83">
        <v>795736</v>
      </c>
      <c r="Q209" s="76">
        <v>0</v>
      </c>
      <c r="R209" s="67" t="s">
        <v>1574</v>
      </c>
      <c r="S209" s="68">
        <v>890900286</v>
      </c>
      <c r="T209" s="77"/>
      <c r="U209" s="78"/>
      <c r="V209" s="79">
        <v>250000</v>
      </c>
      <c r="W209" s="80">
        <v>642015</v>
      </c>
    </row>
    <row r="210" spans="1:23" ht="15.6" x14ac:dyDescent="0.3">
      <c r="A210" s="158" t="s">
        <v>1131</v>
      </c>
      <c r="B210" s="148">
        <v>32400861</v>
      </c>
      <c r="C210" s="69" t="s">
        <v>1132</v>
      </c>
      <c r="D210" s="69">
        <v>0</v>
      </c>
      <c r="E210" s="95" t="s">
        <v>472</v>
      </c>
      <c r="F210" s="67" t="s">
        <v>1643</v>
      </c>
      <c r="G210" s="71">
        <v>35796</v>
      </c>
      <c r="H210" s="72"/>
      <c r="I210" s="133">
        <v>11332845.01</v>
      </c>
      <c r="J210" s="134">
        <v>1620124.26</v>
      </c>
      <c r="K210" s="125"/>
      <c r="L210" s="74">
        <v>0.45900000000000002</v>
      </c>
      <c r="M210" s="96">
        <v>280848</v>
      </c>
      <c r="N210" s="76">
        <v>14</v>
      </c>
      <c r="O210" s="76"/>
      <c r="P210" s="76"/>
      <c r="Q210" s="76"/>
      <c r="R210" s="67" t="s">
        <v>1574</v>
      </c>
      <c r="S210" s="68">
        <v>890900286</v>
      </c>
      <c r="T210" s="77"/>
      <c r="U210" s="78"/>
      <c r="V210" s="79">
        <v>250000</v>
      </c>
      <c r="W210" s="80">
        <v>596850</v>
      </c>
    </row>
    <row r="211" spans="1:23" ht="15.6" x14ac:dyDescent="0.3">
      <c r="A211" s="158" t="s">
        <v>1133</v>
      </c>
      <c r="B211" s="69">
        <v>6781718</v>
      </c>
      <c r="C211" s="69" t="s">
        <v>1134</v>
      </c>
      <c r="D211" s="69">
        <v>0</v>
      </c>
      <c r="E211" s="70" t="s">
        <v>1061</v>
      </c>
      <c r="F211" s="67" t="s">
        <v>1643</v>
      </c>
      <c r="G211" s="71">
        <v>35905</v>
      </c>
      <c r="H211" s="72"/>
      <c r="I211" s="133">
        <v>38518662.689999998</v>
      </c>
      <c r="J211" s="134">
        <v>5506562.5499999998</v>
      </c>
      <c r="K211" s="125"/>
      <c r="L211" s="74">
        <v>0.23730000000000001</v>
      </c>
      <c r="M211" s="75">
        <v>326826</v>
      </c>
      <c r="N211" s="76">
        <v>14</v>
      </c>
      <c r="O211" s="76">
        <v>0</v>
      </c>
      <c r="P211" s="83">
        <v>2420096</v>
      </c>
      <c r="Q211" s="76">
        <v>0</v>
      </c>
      <c r="R211" s="67" t="s">
        <v>1574</v>
      </c>
      <c r="S211" s="68">
        <v>890900286</v>
      </c>
      <c r="T211" s="77">
        <v>32338646</v>
      </c>
      <c r="U211" s="78" t="s">
        <v>1791</v>
      </c>
      <c r="V211" s="79">
        <v>250000</v>
      </c>
      <c r="W211" s="80">
        <v>3923850</v>
      </c>
    </row>
    <row r="212" spans="1:23" ht="15.6" x14ac:dyDescent="0.3">
      <c r="A212" s="158" t="s">
        <v>1852</v>
      </c>
      <c r="B212" s="69">
        <v>8238115</v>
      </c>
      <c r="C212" s="69" t="s">
        <v>1136</v>
      </c>
      <c r="D212" s="69">
        <v>0</v>
      </c>
      <c r="E212" s="70" t="s">
        <v>1061</v>
      </c>
      <c r="F212" s="67" t="s">
        <v>1643</v>
      </c>
      <c r="G212" s="71">
        <v>36860</v>
      </c>
      <c r="H212" s="87">
        <v>45635</v>
      </c>
      <c r="I212" s="133">
        <v>5609241.0899999999</v>
      </c>
      <c r="J212" s="134">
        <v>801887.57</v>
      </c>
      <c r="K212" s="125"/>
      <c r="L212" s="74">
        <v>7.9100000000000004E-2</v>
      </c>
      <c r="M212" s="75">
        <v>146141</v>
      </c>
      <c r="N212" s="76">
        <v>14</v>
      </c>
      <c r="O212" s="76">
        <v>0</v>
      </c>
      <c r="P212" s="83">
        <v>1846653</v>
      </c>
      <c r="Q212" s="76">
        <v>0</v>
      </c>
      <c r="R212" s="67" t="s">
        <v>1574</v>
      </c>
      <c r="S212" s="68">
        <v>890900286</v>
      </c>
      <c r="T212" s="77">
        <v>21547126</v>
      </c>
      <c r="U212" s="78" t="s">
        <v>1741</v>
      </c>
      <c r="V212" s="79">
        <v>250000</v>
      </c>
      <c r="W212" s="80">
        <v>1714220</v>
      </c>
    </row>
    <row r="213" spans="1:23" ht="15.6" x14ac:dyDescent="0.3">
      <c r="A213" s="158" t="s">
        <v>1137</v>
      </c>
      <c r="B213" s="69">
        <v>32417836</v>
      </c>
      <c r="C213" s="69" t="s">
        <v>1138</v>
      </c>
      <c r="D213" s="69">
        <v>0</v>
      </c>
      <c r="E213" s="70" t="s">
        <v>472</v>
      </c>
      <c r="F213" s="67" t="s">
        <v>1643</v>
      </c>
      <c r="G213" s="71">
        <v>37590</v>
      </c>
      <c r="H213" s="72"/>
      <c r="I213" s="133">
        <v>5184439.54</v>
      </c>
      <c r="J213" s="134">
        <v>741158.66</v>
      </c>
      <c r="K213" s="125"/>
      <c r="L213" s="74">
        <v>4.7E-2</v>
      </c>
      <c r="M213" s="75">
        <v>75650</v>
      </c>
      <c r="N213" s="76">
        <v>14</v>
      </c>
      <c r="O213" s="76">
        <v>0</v>
      </c>
      <c r="P213" s="83">
        <v>857261</v>
      </c>
      <c r="Q213" s="83">
        <v>974633</v>
      </c>
      <c r="R213" s="67" t="s">
        <v>1574</v>
      </c>
      <c r="S213" s="68">
        <v>890900286</v>
      </c>
      <c r="T213" s="77"/>
      <c r="U213" s="78"/>
      <c r="V213" s="79">
        <v>250000</v>
      </c>
      <c r="W213" s="80">
        <v>2666508</v>
      </c>
    </row>
    <row r="214" spans="1:23" ht="15.6" x14ac:dyDescent="0.3">
      <c r="A214" s="158" t="s">
        <v>1853</v>
      </c>
      <c r="B214" s="69">
        <v>32445041</v>
      </c>
      <c r="C214" s="69" t="s">
        <v>1140</v>
      </c>
      <c r="D214" s="69">
        <v>0</v>
      </c>
      <c r="E214" s="70" t="s">
        <v>472</v>
      </c>
      <c r="F214" s="67" t="s">
        <v>1643</v>
      </c>
      <c r="G214" s="71">
        <v>38098</v>
      </c>
      <c r="H214" s="72"/>
      <c r="I214" s="133">
        <v>614545.96</v>
      </c>
      <c r="J214" s="134">
        <v>87854.45</v>
      </c>
      <c r="K214" s="125"/>
      <c r="L214" s="74">
        <v>1.23E-2</v>
      </c>
      <c r="M214" s="75">
        <v>34595</v>
      </c>
      <c r="N214" s="76">
        <v>14</v>
      </c>
      <c r="O214" s="76"/>
      <c r="P214" s="76"/>
      <c r="Q214" s="76"/>
      <c r="R214" s="67" t="s">
        <v>1574</v>
      </c>
      <c r="S214" s="68">
        <v>890900286</v>
      </c>
      <c r="T214" s="77"/>
      <c r="U214" s="78"/>
      <c r="V214" s="79">
        <v>250000</v>
      </c>
      <c r="W214" s="80">
        <v>1207781</v>
      </c>
    </row>
    <row r="215" spans="1:23" ht="15.6" x14ac:dyDescent="0.3">
      <c r="A215" s="158" t="s">
        <v>1141</v>
      </c>
      <c r="B215" s="69">
        <v>32433370</v>
      </c>
      <c r="C215" s="69" t="s">
        <v>1142</v>
      </c>
      <c r="D215" s="69">
        <v>0</v>
      </c>
      <c r="E215" s="70" t="s">
        <v>19</v>
      </c>
      <c r="F215" s="67" t="s">
        <v>1643</v>
      </c>
      <c r="G215" s="71">
        <v>38154</v>
      </c>
      <c r="H215" s="72"/>
      <c r="I215" s="133">
        <v>5261211.4000000004</v>
      </c>
      <c r="J215" s="134">
        <v>752133.84</v>
      </c>
      <c r="K215" s="125"/>
      <c r="L215" s="74">
        <v>0.16919999999999999</v>
      </c>
      <c r="M215" s="75">
        <v>275322</v>
      </c>
      <c r="N215" s="76">
        <v>14</v>
      </c>
      <c r="O215" s="76"/>
      <c r="P215" s="76"/>
      <c r="Q215" s="76"/>
      <c r="R215" s="67" t="s">
        <v>1574</v>
      </c>
      <c r="S215" s="68">
        <v>890900286</v>
      </c>
      <c r="T215" s="77"/>
      <c r="U215" s="78"/>
      <c r="V215" s="79">
        <v>250000</v>
      </c>
      <c r="W215" s="80">
        <v>751665</v>
      </c>
    </row>
    <row r="216" spans="1:23" ht="15.6" x14ac:dyDescent="0.3">
      <c r="A216" s="158" t="s">
        <v>1143</v>
      </c>
      <c r="B216" s="69">
        <v>32433371</v>
      </c>
      <c r="C216" s="69" t="s">
        <v>1144</v>
      </c>
      <c r="D216" s="69">
        <v>0</v>
      </c>
      <c r="E216" s="70" t="s">
        <v>1119</v>
      </c>
      <c r="F216" s="67" t="s">
        <v>1643</v>
      </c>
      <c r="G216" s="71">
        <v>38169</v>
      </c>
      <c r="H216" s="72"/>
      <c r="I216" s="133">
        <v>1421567.21</v>
      </c>
      <c r="J216" s="134">
        <v>203224.83</v>
      </c>
      <c r="K216" s="125"/>
      <c r="L216" s="74">
        <v>9.3899999999999997E-2</v>
      </c>
      <c r="M216" s="75">
        <v>134046</v>
      </c>
      <c r="N216" s="76">
        <v>14</v>
      </c>
      <c r="O216" s="76"/>
      <c r="P216" s="76"/>
      <c r="Q216" s="76"/>
      <c r="R216" s="67" t="s">
        <v>1574</v>
      </c>
      <c r="S216" s="68">
        <v>890900286</v>
      </c>
      <c r="T216" s="77"/>
      <c r="U216" s="78"/>
      <c r="V216" s="79">
        <v>250000</v>
      </c>
      <c r="W216" s="80">
        <v>365966</v>
      </c>
    </row>
    <row r="217" spans="1:23" ht="15.6" x14ac:dyDescent="0.3">
      <c r="A217" s="158" t="s">
        <v>1854</v>
      </c>
      <c r="B217" s="69">
        <v>8387556</v>
      </c>
      <c r="C217" s="69" t="s">
        <v>1146</v>
      </c>
      <c r="D217" s="69">
        <v>0</v>
      </c>
      <c r="E217" s="70" t="s">
        <v>592</v>
      </c>
      <c r="F217" s="67" t="s">
        <v>1643</v>
      </c>
      <c r="G217" s="71">
        <v>38246</v>
      </c>
      <c r="H217" s="72"/>
      <c r="I217" s="133">
        <v>9548437.5099999998</v>
      </c>
      <c r="J217" s="134">
        <v>1365028.4</v>
      </c>
      <c r="K217" s="125"/>
      <c r="L217" s="74">
        <v>0.1313</v>
      </c>
      <c r="M217" s="75">
        <v>204316</v>
      </c>
      <c r="N217" s="76">
        <v>14</v>
      </c>
      <c r="O217" s="76">
        <v>0</v>
      </c>
      <c r="P217" s="83">
        <v>1556100</v>
      </c>
      <c r="Q217" s="76">
        <v>0</v>
      </c>
      <c r="R217" s="67" t="s">
        <v>1574</v>
      </c>
      <c r="S217" s="68">
        <v>890900286</v>
      </c>
      <c r="T217" s="77"/>
      <c r="U217" s="78"/>
      <c r="V217" s="79">
        <v>250000</v>
      </c>
      <c r="W217" s="80">
        <v>1757950</v>
      </c>
    </row>
    <row r="218" spans="1:23" ht="15.6" x14ac:dyDescent="0.3">
      <c r="A218" s="158" t="s">
        <v>1855</v>
      </c>
      <c r="B218" s="69">
        <v>32426138</v>
      </c>
      <c r="C218" s="69" t="s">
        <v>1148</v>
      </c>
      <c r="D218" s="69">
        <v>0</v>
      </c>
      <c r="E218" s="70" t="s">
        <v>592</v>
      </c>
      <c r="F218" s="67" t="s">
        <v>1643</v>
      </c>
      <c r="G218" s="71">
        <v>38322</v>
      </c>
      <c r="H218" s="72"/>
      <c r="I218" s="133">
        <v>2032979.37</v>
      </c>
      <c r="J218" s="134">
        <v>290631.28000000003</v>
      </c>
      <c r="K218" s="125"/>
      <c r="L218" s="74">
        <v>7.4700000000000003E-2</v>
      </c>
      <c r="M218" s="75">
        <v>18001</v>
      </c>
      <c r="N218" s="76">
        <v>14</v>
      </c>
      <c r="O218" s="76"/>
      <c r="P218" s="76"/>
      <c r="Q218" s="76"/>
      <c r="R218" s="67" t="s">
        <v>1574</v>
      </c>
      <c r="S218" s="68">
        <v>890900286</v>
      </c>
      <c r="T218" s="77"/>
      <c r="U218" s="78"/>
      <c r="V218" s="79">
        <v>250000</v>
      </c>
      <c r="W218" s="80">
        <v>657887</v>
      </c>
    </row>
    <row r="219" spans="1:23" ht="15.6" x14ac:dyDescent="0.3">
      <c r="A219" s="158" t="s">
        <v>1856</v>
      </c>
      <c r="B219" s="69">
        <v>32441523</v>
      </c>
      <c r="C219" s="69" t="s">
        <v>1150</v>
      </c>
      <c r="D219" s="69">
        <v>0</v>
      </c>
      <c r="E219" s="70" t="s">
        <v>1119</v>
      </c>
      <c r="F219" s="67" t="s">
        <v>1643</v>
      </c>
      <c r="G219" s="71">
        <v>38363</v>
      </c>
      <c r="H219" s="72"/>
      <c r="I219" s="133">
        <v>1901861.56</v>
      </c>
      <c r="J219" s="134">
        <v>271886.90000000002</v>
      </c>
      <c r="K219" s="125"/>
      <c r="L219" s="74">
        <v>4.36E-2</v>
      </c>
      <c r="M219" s="75">
        <v>76396</v>
      </c>
      <c r="N219" s="76">
        <v>14</v>
      </c>
      <c r="O219" s="76">
        <v>0</v>
      </c>
      <c r="P219" s="83">
        <v>407477</v>
      </c>
      <c r="Q219" s="76">
        <v>0</v>
      </c>
      <c r="R219" s="67" t="s">
        <v>1574</v>
      </c>
      <c r="S219" s="68">
        <v>890900286</v>
      </c>
      <c r="T219" s="77"/>
      <c r="U219" s="78"/>
      <c r="V219" s="79">
        <v>250000</v>
      </c>
      <c r="W219" s="80">
        <v>1054463</v>
      </c>
    </row>
    <row r="220" spans="1:23" ht="15.6" x14ac:dyDescent="0.3">
      <c r="A220" s="158" t="s">
        <v>1151</v>
      </c>
      <c r="B220" s="69">
        <v>32445873</v>
      </c>
      <c r="C220" s="69" t="s">
        <v>1152</v>
      </c>
      <c r="D220" s="69">
        <v>0</v>
      </c>
      <c r="E220" s="70" t="s">
        <v>472</v>
      </c>
      <c r="F220" s="67" t="s">
        <v>1643</v>
      </c>
      <c r="G220" s="71">
        <v>38504</v>
      </c>
      <c r="H220" s="72"/>
      <c r="I220" s="133">
        <v>21783.39</v>
      </c>
      <c r="J220" s="134">
        <v>3114.12</v>
      </c>
      <c r="K220" s="125"/>
      <c r="L220" s="74">
        <v>1.1299999999999999E-2</v>
      </c>
      <c r="M220" s="75">
        <v>18005</v>
      </c>
      <c r="N220" s="76">
        <v>14</v>
      </c>
      <c r="O220" s="76"/>
      <c r="P220" s="76"/>
      <c r="Q220" s="76"/>
      <c r="R220" s="67" t="s">
        <v>1574</v>
      </c>
      <c r="S220" s="68">
        <v>890900286</v>
      </c>
      <c r="T220" s="77"/>
      <c r="U220" s="78"/>
      <c r="V220" s="79">
        <v>250000</v>
      </c>
      <c r="W220" s="80">
        <v>46600</v>
      </c>
    </row>
    <row r="221" spans="1:23" ht="15.6" x14ac:dyDescent="0.3">
      <c r="A221" s="158" t="s">
        <v>1153</v>
      </c>
      <c r="B221" s="69">
        <v>32469969</v>
      </c>
      <c r="C221" s="69" t="s">
        <v>1154</v>
      </c>
      <c r="D221" s="69">
        <v>0</v>
      </c>
      <c r="E221" s="70" t="s">
        <v>758</v>
      </c>
      <c r="F221" s="67" t="s">
        <v>1643</v>
      </c>
      <c r="G221" s="71">
        <v>38538</v>
      </c>
      <c r="H221" s="72"/>
      <c r="I221" s="133">
        <v>2695588.15</v>
      </c>
      <c r="J221" s="134">
        <v>385356.7</v>
      </c>
      <c r="K221" s="125"/>
      <c r="L221" s="74">
        <v>0.123</v>
      </c>
      <c r="M221" s="75">
        <v>165638</v>
      </c>
      <c r="N221" s="76">
        <v>14</v>
      </c>
      <c r="O221" s="76">
        <v>0</v>
      </c>
      <c r="P221" s="83">
        <v>204717</v>
      </c>
      <c r="Q221" s="83">
        <v>1141934</v>
      </c>
      <c r="R221" s="67" t="s">
        <v>1574</v>
      </c>
      <c r="S221" s="68">
        <v>890900286</v>
      </c>
      <c r="T221" s="77"/>
      <c r="U221" s="78"/>
      <c r="V221" s="79">
        <v>250000</v>
      </c>
      <c r="W221" s="80">
        <v>529770</v>
      </c>
    </row>
    <row r="222" spans="1:23" ht="15.6" x14ac:dyDescent="0.3">
      <c r="A222" s="158" t="s">
        <v>1155</v>
      </c>
      <c r="B222" s="69">
        <v>32453008</v>
      </c>
      <c r="C222" s="69" t="s">
        <v>1156</v>
      </c>
      <c r="D222" s="69">
        <v>0</v>
      </c>
      <c r="E222" s="70" t="s">
        <v>1119</v>
      </c>
      <c r="F222" s="67" t="s">
        <v>1643</v>
      </c>
      <c r="G222" s="71">
        <v>38777</v>
      </c>
      <c r="H222" s="72"/>
      <c r="I222" s="133">
        <v>895175.71</v>
      </c>
      <c r="J222" s="134">
        <v>127972.8</v>
      </c>
      <c r="K222" s="125"/>
      <c r="L222" s="74">
        <v>6.25E-2</v>
      </c>
      <c r="M222" s="75">
        <v>100303</v>
      </c>
      <c r="N222" s="76">
        <v>14</v>
      </c>
      <c r="O222" s="76">
        <v>0</v>
      </c>
      <c r="P222" s="83">
        <v>14280</v>
      </c>
      <c r="Q222" s="83">
        <v>1464562</v>
      </c>
      <c r="R222" s="67" t="s">
        <v>1574</v>
      </c>
      <c r="S222" s="68">
        <v>890900286</v>
      </c>
      <c r="T222" s="77"/>
      <c r="U222" s="78"/>
      <c r="V222" s="79">
        <v>250000</v>
      </c>
      <c r="W222" s="80">
        <v>346232</v>
      </c>
    </row>
    <row r="223" spans="1:23" ht="15.6" x14ac:dyDescent="0.3">
      <c r="A223" s="158" t="s">
        <v>1163</v>
      </c>
      <c r="B223" s="69">
        <v>3351055</v>
      </c>
      <c r="C223" s="69" t="s">
        <v>1164</v>
      </c>
      <c r="D223" s="69">
        <v>0</v>
      </c>
      <c r="E223" s="70" t="s">
        <v>1128</v>
      </c>
      <c r="F223" s="67" t="s">
        <v>1643</v>
      </c>
      <c r="G223" s="71">
        <v>38922</v>
      </c>
      <c r="H223" s="72">
        <v>43606</v>
      </c>
      <c r="I223" s="133">
        <v>61738.87</v>
      </c>
      <c r="J223" s="134">
        <v>8826.08</v>
      </c>
      <c r="K223" s="125"/>
      <c r="L223" s="74">
        <v>5.5199999999999999E-2</v>
      </c>
      <c r="M223" s="75">
        <v>89270</v>
      </c>
      <c r="N223" s="76">
        <v>14</v>
      </c>
      <c r="O223" s="105">
        <v>0</v>
      </c>
      <c r="P223" s="83">
        <v>1788426</v>
      </c>
      <c r="Q223" s="76">
        <v>0</v>
      </c>
      <c r="R223" s="67" t="s">
        <v>1574</v>
      </c>
      <c r="S223" s="68">
        <v>890900286</v>
      </c>
      <c r="T223" s="77"/>
      <c r="U223" s="78"/>
      <c r="V223" s="79">
        <v>250000</v>
      </c>
      <c r="W223" s="80">
        <v>27037</v>
      </c>
    </row>
    <row r="224" spans="1:23" ht="15.6" x14ac:dyDescent="0.3">
      <c r="A224" s="158" t="s">
        <v>1165</v>
      </c>
      <c r="B224" s="69">
        <v>3666660</v>
      </c>
      <c r="C224" s="69" t="s">
        <v>1166</v>
      </c>
      <c r="D224" s="69">
        <v>0</v>
      </c>
      <c r="E224" s="70" t="s">
        <v>1061</v>
      </c>
      <c r="F224" s="67" t="s">
        <v>1643</v>
      </c>
      <c r="G224" s="71">
        <v>38930</v>
      </c>
      <c r="H224" s="72"/>
      <c r="I224" s="133">
        <v>4634844.72</v>
      </c>
      <c r="J224" s="134">
        <v>662589.53</v>
      </c>
      <c r="K224" s="125"/>
      <c r="L224" s="74">
        <v>0.152</v>
      </c>
      <c r="M224" s="75">
        <v>258324</v>
      </c>
      <c r="N224" s="76">
        <v>14</v>
      </c>
      <c r="O224" s="76">
        <v>0</v>
      </c>
      <c r="P224" s="83">
        <v>1926096</v>
      </c>
      <c r="Q224" s="76">
        <v>0</v>
      </c>
      <c r="R224" s="67" t="s">
        <v>1574</v>
      </c>
      <c r="S224" s="68">
        <v>890900286</v>
      </c>
      <c r="T224" s="77"/>
      <c r="U224" s="78"/>
      <c r="V224" s="79">
        <v>250000</v>
      </c>
      <c r="W224" s="80">
        <v>737107</v>
      </c>
    </row>
    <row r="225" spans="1:23" ht="15.6" x14ac:dyDescent="0.3">
      <c r="A225" s="158" t="s">
        <v>1167</v>
      </c>
      <c r="B225" s="69">
        <v>8289015</v>
      </c>
      <c r="C225" s="69" t="s">
        <v>1168</v>
      </c>
      <c r="D225" s="69">
        <v>0</v>
      </c>
      <c r="E225" s="70" t="s">
        <v>1128</v>
      </c>
      <c r="F225" s="67" t="s">
        <v>1643</v>
      </c>
      <c r="G225" s="71">
        <v>38930</v>
      </c>
      <c r="H225" s="87">
        <v>42004</v>
      </c>
      <c r="I225" s="133">
        <v>3487883</v>
      </c>
      <c r="J225" s="134">
        <v>498621.82</v>
      </c>
      <c r="K225" s="125"/>
      <c r="L225" s="74">
        <v>9.4500000000000001E-2</v>
      </c>
      <c r="M225" s="75">
        <v>216847</v>
      </c>
      <c r="N225" s="76">
        <v>14</v>
      </c>
      <c r="O225" s="76">
        <v>0</v>
      </c>
      <c r="P225" s="83">
        <v>2294678</v>
      </c>
      <c r="Q225" s="76">
        <v>0</v>
      </c>
      <c r="R225" s="67" t="s">
        <v>1574</v>
      </c>
      <c r="S225" s="68">
        <v>890900286</v>
      </c>
      <c r="T225" s="77"/>
      <c r="U225" s="78"/>
      <c r="V225" s="79">
        <v>250000</v>
      </c>
      <c r="W225" s="80">
        <v>892214</v>
      </c>
    </row>
    <row r="226" spans="1:23" ht="15.6" x14ac:dyDescent="0.3">
      <c r="A226" s="158" t="s">
        <v>1169</v>
      </c>
      <c r="B226" s="69">
        <v>3480157</v>
      </c>
      <c r="C226" s="69" t="s">
        <v>1170</v>
      </c>
      <c r="D226" s="69">
        <v>0</v>
      </c>
      <c r="E226" s="70" t="s">
        <v>1128</v>
      </c>
      <c r="F226" s="67" t="s">
        <v>1643</v>
      </c>
      <c r="G226" s="71">
        <v>38961</v>
      </c>
      <c r="H226" s="72">
        <v>42004</v>
      </c>
      <c r="I226" s="133">
        <v>10096124.359999999</v>
      </c>
      <c r="J226" s="134">
        <v>1443324.78</v>
      </c>
      <c r="K226" s="125"/>
      <c r="L226" s="74">
        <v>0.1744</v>
      </c>
      <c r="M226" s="75">
        <v>335091</v>
      </c>
      <c r="N226" s="76">
        <v>14</v>
      </c>
      <c r="O226" s="76">
        <v>0</v>
      </c>
      <c r="P226" s="83">
        <v>1927323</v>
      </c>
      <c r="Q226" s="76">
        <v>0</v>
      </c>
      <c r="R226" s="67" t="s">
        <v>1574</v>
      </c>
      <c r="S226" s="68">
        <v>890900286</v>
      </c>
      <c r="T226" s="77"/>
      <c r="U226" s="78"/>
      <c r="V226" s="79">
        <v>250000</v>
      </c>
      <c r="W226" s="80">
        <v>1399417</v>
      </c>
    </row>
    <row r="227" spans="1:23" ht="15.6" x14ac:dyDescent="0.3">
      <c r="A227" s="158" t="s">
        <v>1171</v>
      </c>
      <c r="B227" s="69">
        <v>32487151</v>
      </c>
      <c r="C227" s="69" t="s">
        <v>1172</v>
      </c>
      <c r="D227" s="69">
        <v>0</v>
      </c>
      <c r="E227" s="70" t="s">
        <v>1100</v>
      </c>
      <c r="F227" s="67" t="s">
        <v>1643</v>
      </c>
      <c r="G227" s="71">
        <v>38985</v>
      </c>
      <c r="H227" s="72"/>
      <c r="I227" s="133">
        <v>8687117.5099999998</v>
      </c>
      <c r="J227" s="134">
        <v>1241895.55</v>
      </c>
      <c r="K227" s="125"/>
      <c r="L227" s="74">
        <v>8.1100000000000005E-2</v>
      </c>
      <c r="M227" s="75">
        <v>246559</v>
      </c>
      <c r="N227" s="76">
        <v>13</v>
      </c>
      <c r="O227" s="76">
        <v>0</v>
      </c>
      <c r="P227" s="83">
        <v>1049149</v>
      </c>
      <c r="Q227" s="83">
        <v>1991042</v>
      </c>
      <c r="R227" s="67" t="s">
        <v>1574</v>
      </c>
      <c r="S227" s="68">
        <v>890900286</v>
      </c>
      <c r="T227" s="77"/>
      <c r="U227" s="78"/>
      <c r="V227" s="79">
        <v>250000</v>
      </c>
      <c r="W227" s="80">
        <v>2589368</v>
      </c>
    </row>
    <row r="228" spans="1:23" ht="15.6" x14ac:dyDescent="0.3">
      <c r="A228" s="158" t="s">
        <v>650</v>
      </c>
      <c r="B228" s="69">
        <v>32492112</v>
      </c>
      <c r="C228" s="69" t="s">
        <v>651</v>
      </c>
      <c r="D228" s="69">
        <v>0</v>
      </c>
      <c r="E228" s="70" t="s">
        <v>472</v>
      </c>
      <c r="F228" s="67" t="s">
        <v>1643</v>
      </c>
      <c r="G228" s="71">
        <v>39416</v>
      </c>
      <c r="H228" s="72">
        <v>40543</v>
      </c>
      <c r="I228" s="133">
        <v>407919.76</v>
      </c>
      <c r="J228" s="134">
        <v>58315.519999999997</v>
      </c>
      <c r="K228" s="125"/>
      <c r="L228" s="74">
        <v>3.2300000000000002E-2</v>
      </c>
      <c r="M228" s="75">
        <v>29061</v>
      </c>
      <c r="N228" s="76">
        <v>13</v>
      </c>
      <c r="O228" s="76"/>
      <c r="P228" s="76"/>
      <c r="Q228" s="76"/>
      <c r="R228" s="67" t="s">
        <v>1574</v>
      </c>
      <c r="S228" s="68">
        <v>890900286</v>
      </c>
      <c r="T228" s="77"/>
      <c r="U228" s="78"/>
      <c r="V228" s="79">
        <v>250000</v>
      </c>
      <c r="W228" s="80">
        <v>305289</v>
      </c>
    </row>
    <row r="229" spans="1:23" ht="15.6" x14ac:dyDescent="0.3">
      <c r="A229" s="158" t="s">
        <v>1179</v>
      </c>
      <c r="B229" s="69">
        <v>22081149</v>
      </c>
      <c r="C229" s="69" t="s">
        <v>1180</v>
      </c>
      <c r="D229" s="69">
        <v>0</v>
      </c>
      <c r="E229" s="70" t="s">
        <v>1119</v>
      </c>
      <c r="F229" s="67" t="s">
        <v>1643</v>
      </c>
      <c r="G229" s="71">
        <v>39587</v>
      </c>
      <c r="H229" s="72">
        <v>40543</v>
      </c>
      <c r="I229" s="133">
        <v>613480.92000000004</v>
      </c>
      <c r="J229" s="134">
        <v>87702.19</v>
      </c>
      <c r="K229" s="125"/>
      <c r="L229" s="74">
        <v>0.2051</v>
      </c>
      <c r="M229" s="75">
        <v>312331</v>
      </c>
      <c r="N229" s="76">
        <v>13</v>
      </c>
      <c r="O229" s="76">
        <v>0</v>
      </c>
      <c r="P229" s="83">
        <v>32346</v>
      </c>
      <c r="Q229" s="83">
        <v>1490477</v>
      </c>
      <c r="R229" s="67" t="s">
        <v>1574</v>
      </c>
      <c r="S229" s="68">
        <v>890900286</v>
      </c>
      <c r="T229" s="77"/>
      <c r="U229" s="78"/>
      <c r="V229" s="79">
        <v>250000</v>
      </c>
      <c r="W229" s="80">
        <v>72306</v>
      </c>
    </row>
    <row r="230" spans="1:23" ht="15.6" x14ac:dyDescent="0.3">
      <c r="A230" s="158" t="s">
        <v>1857</v>
      </c>
      <c r="B230" s="69">
        <v>8286723</v>
      </c>
      <c r="C230" s="69" t="s">
        <v>1182</v>
      </c>
      <c r="D230" s="69">
        <v>0</v>
      </c>
      <c r="E230" s="70" t="s">
        <v>1061</v>
      </c>
      <c r="F230" s="67" t="s">
        <v>1643</v>
      </c>
      <c r="G230" s="71">
        <v>40026</v>
      </c>
      <c r="H230" s="72"/>
      <c r="I230" s="133">
        <v>2457181.71</v>
      </c>
      <c r="J230" s="134">
        <v>351274.52</v>
      </c>
      <c r="K230" s="125"/>
      <c r="L230" s="74">
        <v>0.2</v>
      </c>
      <c r="M230" s="75">
        <v>241810</v>
      </c>
      <c r="N230" s="76">
        <v>14</v>
      </c>
      <c r="O230" s="76">
        <v>0</v>
      </c>
      <c r="P230" s="83">
        <v>143068</v>
      </c>
      <c r="Q230" s="83">
        <v>1065980</v>
      </c>
      <c r="R230" s="67" t="s">
        <v>1574</v>
      </c>
      <c r="S230" s="68">
        <v>890900286</v>
      </c>
      <c r="T230" s="77"/>
      <c r="U230" s="78"/>
      <c r="V230" s="79">
        <v>250000</v>
      </c>
      <c r="W230" s="80">
        <v>296993</v>
      </c>
    </row>
    <row r="231" spans="1:23" ht="15.6" x14ac:dyDescent="0.3">
      <c r="A231" s="158" t="s">
        <v>642</v>
      </c>
      <c r="B231" s="69">
        <v>32412374</v>
      </c>
      <c r="C231" s="69" t="s">
        <v>643</v>
      </c>
      <c r="D231" s="69">
        <v>0</v>
      </c>
      <c r="E231" s="70" t="s">
        <v>472</v>
      </c>
      <c r="F231" s="67" t="s">
        <v>1643</v>
      </c>
      <c r="G231" s="71">
        <v>34700</v>
      </c>
      <c r="H231" s="72"/>
      <c r="I231" s="133">
        <v>92137.31</v>
      </c>
      <c r="J231" s="134">
        <v>13171.8</v>
      </c>
      <c r="K231" s="125"/>
      <c r="L231" s="74">
        <v>6.1100000000000002E-2</v>
      </c>
      <c r="M231" s="75">
        <v>45689</v>
      </c>
      <c r="N231" s="76">
        <v>14</v>
      </c>
      <c r="O231" s="76"/>
      <c r="P231" s="76"/>
      <c r="Q231" s="76"/>
      <c r="R231" s="67" t="s">
        <v>1575</v>
      </c>
      <c r="S231" s="68">
        <v>890904646</v>
      </c>
      <c r="T231" s="77"/>
      <c r="U231" s="78"/>
      <c r="V231" s="79">
        <v>250000</v>
      </c>
      <c r="W231" s="80">
        <v>36453</v>
      </c>
    </row>
    <row r="232" spans="1:23" ht="15.6" x14ac:dyDescent="0.3">
      <c r="A232" s="158" t="s">
        <v>1185</v>
      </c>
      <c r="B232" s="69">
        <v>6435800</v>
      </c>
      <c r="C232" s="69" t="s">
        <v>1186</v>
      </c>
      <c r="D232" s="69">
        <v>0</v>
      </c>
      <c r="E232" s="70" t="s">
        <v>472</v>
      </c>
      <c r="F232" s="67" t="s">
        <v>1643</v>
      </c>
      <c r="G232" s="71">
        <v>35033</v>
      </c>
      <c r="H232" s="72">
        <v>44561</v>
      </c>
      <c r="I232" s="133">
        <v>717553.56</v>
      </c>
      <c r="J232" s="134">
        <v>102580.24</v>
      </c>
      <c r="K232" s="125"/>
      <c r="L232" s="74">
        <v>4.2900000000000001E-2</v>
      </c>
      <c r="M232" s="75">
        <v>14225</v>
      </c>
      <c r="N232" s="76">
        <v>14</v>
      </c>
      <c r="O232" s="76"/>
      <c r="P232" s="76"/>
      <c r="Q232" s="76"/>
      <c r="R232" s="67" t="s">
        <v>1576</v>
      </c>
      <c r="S232" s="68">
        <v>890904996</v>
      </c>
      <c r="T232" s="77"/>
      <c r="U232" s="78"/>
      <c r="V232" s="79">
        <v>250000</v>
      </c>
      <c r="W232" s="80">
        <v>404330</v>
      </c>
    </row>
    <row r="233" spans="1:23" ht="15.6" x14ac:dyDescent="0.3">
      <c r="A233" s="158" t="s">
        <v>1858</v>
      </c>
      <c r="B233" s="69">
        <v>6781718</v>
      </c>
      <c r="C233" s="69" t="s">
        <v>1134</v>
      </c>
      <c r="D233" s="69">
        <v>0</v>
      </c>
      <c r="E233" s="70" t="s">
        <v>592</v>
      </c>
      <c r="F233" s="67" t="s">
        <v>1643</v>
      </c>
      <c r="G233" s="71">
        <v>35905</v>
      </c>
      <c r="H233" s="72">
        <v>44561</v>
      </c>
      <c r="I233" s="133">
        <v>38518662.689999998</v>
      </c>
      <c r="J233" s="134">
        <v>5506562.5499999998</v>
      </c>
      <c r="K233" s="125"/>
      <c r="L233" s="74">
        <v>0.23730000000000001</v>
      </c>
      <c r="M233" s="96">
        <v>609757</v>
      </c>
      <c r="N233" s="76">
        <v>14</v>
      </c>
      <c r="O233" s="76"/>
      <c r="P233" s="76"/>
      <c r="Q233" s="76"/>
      <c r="R233" s="67" t="s">
        <v>1576</v>
      </c>
      <c r="S233" s="68">
        <v>890904996</v>
      </c>
      <c r="T233" s="77">
        <v>32338646</v>
      </c>
      <c r="U233" s="78" t="s">
        <v>1791</v>
      </c>
      <c r="V233" s="79">
        <v>250000</v>
      </c>
      <c r="W233" s="80">
        <v>3923850</v>
      </c>
    </row>
    <row r="234" spans="1:23" ht="15.6" x14ac:dyDescent="0.3">
      <c r="A234" s="158" t="s">
        <v>1190</v>
      </c>
      <c r="B234" s="69">
        <v>8276654</v>
      </c>
      <c r="C234" s="69" t="s">
        <v>1191</v>
      </c>
      <c r="D234" s="69">
        <v>0</v>
      </c>
      <c r="E234" s="70" t="s">
        <v>472</v>
      </c>
      <c r="F234" s="67" t="s">
        <v>1643</v>
      </c>
      <c r="G234" s="71">
        <v>38991</v>
      </c>
      <c r="H234" s="72"/>
      <c r="I234" s="133">
        <v>6273458.7400000002</v>
      </c>
      <c r="J234" s="134">
        <v>896843</v>
      </c>
      <c r="K234" s="125"/>
      <c r="L234" s="74">
        <v>0.20930000000000001</v>
      </c>
      <c r="M234" s="75">
        <v>358738</v>
      </c>
      <c r="N234" s="76">
        <v>14</v>
      </c>
      <c r="O234" s="76"/>
      <c r="P234" s="76"/>
      <c r="Q234" s="76"/>
      <c r="R234" s="67" t="s">
        <v>1576</v>
      </c>
      <c r="S234" s="68">
        <v>890904996</v>
      </c>
      <c r="T234" s="77"/>
      <c r="U234" s="78"/>
      <c r="V234" s="79">
        <v>250000</v>
      </c>
      <c r="W234" s="80">
        <v>724564</v>
      </c>
    </row>
    <row r="235" spans="1:23" ht="15.6" x14ac:dyDescent="0.3">
      <c r="A235" s="158" t="s">
        <v>1192</v>
      </c>
      <c r="B235" s="69">
        <v>8301405</v>
      </c>
      <c r="C235" s="69" t="s">
        <v>1193</v>
      </c>
      <c r="D235" s="69">
        <v>0</v>
      </c>
      <c r="E235" s="70" t="s">
        <v>592</v>
      </c>
      <c r="F235" s="67" t="s">
        <v>1643</v>
      </c>
      <c r="G235" s="71">
        <v>39508</v>
      </c>
      <c r="H235" s="72">
        <v>44196</v>
      </c>
      <c r="I235" s="133">
        <v>104989827.69</v>
      </c>
      <c r="J235" s="134">
        <v>15009167.32</v>
      </c>
      <c r="K235" s="125"/>
      <c r="L235" s="74">
        <v>0.71530000000000005</v>
      </c>
      <c r="M235" s="75">
        <v>507299</v>
      </c>
      <c r="N235" s="76">
        <v>13</v>
      </c>
      <c r="O235" s="76"/>
      <c r="P235" s="76"/>
      <c r="Q235" s="76"/>
      <c r="R235" s="67" t="s">
        <v>1577</v>
      </c>
      <c r="S235" s="68">
        <v>890905055</v>
      </c>
      <c r="T235" s="77"/>
      <c r="U235" s="78"/>
      <c r="V235" s="79">
        <v>250000</v>
      </c>
      <c r="W235" s="80">
        <v>3548117</v>
      </c>
    </row>
    <row r="236" spans="1:23" ht="15.6" x14ac:dyDescent="0.3">
      <c r="A236" s="158" t="s">
        <v>1851</v>
      </c>
      <c r="B236" s="69">
        <v>3329674</v>
      </c>
      <c r="C236" s="69" t="s">
        <v>1121</v>
      </c>
      <c r="D236" s="69">
        <v>0</v>
      </c>
      <c r="E236" s="70" t="s">
        <v>472</v>
      </c>
      <c r="F236" s="67" t="s">
        <v>1643</v>
      </c>
      <c r="G236" s="71">
        <v>34303</v>
      </c>
      <c r="H236" s="72">
        <v>44196</v>
      </c>
      <c r="I236" s="133">
        <v>15788274.359999999</v>
      </c>
      <c r="J236" s="134">
        <v>2257064.87</v>
      </c>
      <c r="K236" s="125"/>
      <c r="L236" s="74">
        <v>0.1095</v>
      </c>
      <c r="M236" s="75">
        <v>157187</v>
      </c>
      <c r="N236" s="76">
        <v>14</v>
      </c>
      <c r="O236" s="76"/>
      <c r="P236" s="76"/>
      <c r="Q236" s="76"/>
      <c r="R236" s="67" t="s">
        <v>1578</v>
      </c>
      <c r="S236" s="68">
        <v>890905065</v>
      </c>
      <c r="T236" s="77"/>
      <c r="U236" s="78"/>
      <c r="V236" s="79">
        <v>250000</v>
      </c>
      <c r="W236" s="80">
        <v>3485455</v>
      </c>
    </row>
    <row r="237" spans="1:23" ht="15.6" x14ac:dyDescent="0.3">
      <c r="A237" s="158" t="s">
        <v>1194</v>
      </c>
      <c r="B237" s="69">
        <v>21264648</v>
      </c>
      <c r="C237" s="69" t="s">
        <v>1195</v>
      </c>
      <c r="D237" s="69">
        <v>0</v>
      </c>
      <c r="E237" s="70" t="s">
        <v>472</v>
      </c>
      <c r="F237" s="67" t="s">
        <v>1643</v>
      </c>
      <c r="G237" s="71">
        <v>30864</v>
      </c>
      <c r="H237" s="72">
        <v>44196</v>
      </c>
      <c r="I237" s="133">
        <v>18281351.699999999</v>
      </c>
      <c r="J237" s="134">
        <v>2613470.9700000002</v>
      </c>
      <c r="K237" s="125"/>
      <c r="L237" s="74">
        <v>0.26540000000000002</v>
      </c>
      <c r="M237" s="75">
        <v>8604</v>
      </c>
      <c r="N237" s="76">
        <v>14</v>
      </c>
      <c r="O237" s="76"/>
      <c r="P237" s="76"/>
      <c r="Q237" s="76"/>
      <c r="R237" s="67" t="s">
        <v>1579</v>
      </c>
      <c r="S237" s="68">
        <v>890905166</v>
      </c>
      <c r="T237" s="77">
        <v>3335726</v>
      </c>
      <c r="U237" s="78" t="s">
        <v>1792</v>
      </c>
      <c r="V237" s="79">
        <v>250000</v>
      </c>
      <c r="W237" s="80">
        <v>1665123</v>
      </c>
    </row>
    <row r="238" spans="1:23" ht="15.6" x14ac:dyDescent="0.3">
      <c r="A238" s="158" t="s">
        <v>1196</v>
      </c>
      <c r="B238" s="69">
        <v>32327708</v>
      </c>
      <c r="C238" s="69" t="s">
        <v>1197</v>
      </c>
      <c r="D238" s="69">
        <v>0</v>
      </c>
      <c r="E238" s="70" t="s">
        <v>592</v>
      </c>
      <c r="F238" s="67" t="s">
        <v>1643</v>
      </c>
      <c r="G238" s="71">
        <v>35431</v>
      </c>
      <c r="H238" s="87">
        <v>41274</v>
      </c>
      <c r="I238" s="133">
        <v>933438.27</v>
      </c>
      <c r="J238" s="134">
        <v>133442.75</v>
      </c>
      <c r="K238" s="125"/>
      <c r="L238" s="74">
        <v>0.1002</v>
      </c>
      <c r="M238" s="75">
        <v>70653</v>
      </c>
      <c r="N238" s="76">
        <v>14</v>
      </c>
      <c r="O238" s="76"/>
      <c r="P238" s="76"/>
      <c r="Q238" s="76"/>
      <c r="R238" s="67" t="s">
        <v>1579</v>
      </c>
      <c r="S238" s="68">
        <v>890905166</v>
      </c>
      <c r="T238" s="77"/>
      <c r="U238" s="78"/>
      <c r="V238" s="79">
        <v>250000</v>
      </c>
      <c r="W238" s="80">
        <v>225194</v>
      </c>
    </row>
    <row r="239" spans="1:23" ht="15.6" x14ac:dyDescent="0.3">
      <c r="A239" s="158" t="s">
        <v>1131</v>
      </c>
      <c r="B239" s="69">
        <v>32400861</v>
      </c>
      <c r="C239" s="69" t="s">
        <v>1132</v>
      </c>
      <c r="D239" s="69">
        <v>0</v>
      </c>
      <c r="E239" s="70" t="s">
        <v>592</v>
      </c>
      <c r="F239" s="67" t="s">
        <v>1643</v>
      </c>
      <c r="G239" s="71">
        <v>35796</v>
      </c>
      <c r="H239" s="72">
        <v>44196</v>
      </c>
      <c r="I239" s="133">
        <v>11332845.01</v>
      </c>
      <c r="J239" s="134">
        <v>1620124.26</v>
      </c>
      <c r="K239" s="125"/>
      <c r="L239" s="74">
        <v>0.45900000000000002</v>
      </c>
      <c r="M239" s="75">
        <v>280848</v>
      </c>
      <c r="N239" s="76">
        <v>14</v>
      </c>
      <c r="O239" s="76"/>
      <c r="P239" s="76"/>
      <c r="Q239" s="76"/>
      <c r="R239" s="67" t="s">
        <v>1579</v>
      </c>
      <c r="S239" s="68">
        <v>890905166</v>
      </c>
      <c r="T239" s="77"/>
      <c r="U239" s="78"/>
      <c r="V239" s="79">
        <v>250000</v>
      </c>
      <c r="W239" s="80">
        <v>596850</v>
      </c>
    </row>
    <row r="240" spans="1:23" ht="15.6" x14ac:dyDescent="0.3">
      <c r="A240" s="158" t="s">
        <v>1859</v>
      </c>
      <c r="B240" s="69">
        <v>32076761</v>
      </c>
      <c r="C240" s="69" t="s">
        <v>1199</v>
      </c>
      <c r="D240" s="69">
        <v>0</v>
      </c>
      <c r="E240" s="70" t="s">
        <v>592</v>
      </c>
      <c r="F240" s="67" t="s">
        <v>1643</v>
      </c>
      <c r="G240" s="71">
        <v>37073</v>
      </c>
      <c r="H240" s="72">
        <v>44196</v>
      </c>
      <c r="I240" s="133">
        <v>6628433.8799999999</v>
      </c>
      <c r="J240" s="134">
        <v>947589.64</v>
      </c>
      <c r="K240" s="125"/>
      <c r="L240" s="74">
        <v>0.1336</v>
      </c>
      <c r="M240" s="75">
        <v>142785</v>
      </c>
      <c r="N240" s="76">
        <v>14</v>
      </c>
      <c r="O240" s="76"/>
      <c r="P240" s="76"/>
      <c r="Q240" s="76"/>
      <c r="R240" s="67" t="s">
        <v>1579</v>
      </c>
      <c r="S240" s="68">
        <v>890905166</v>
      </c>
      <c r="T240" s="77"/>
      <c r="U240" s="78"/>
      <c r="V240" s="79">
        <v>250000</v>
      </c>
      <c r="W240" s="80">
        <v>1199343</v>
      </c>
    </row>
    <row r="241" spans="1:23" ht="15.6" x14ac:dyDescent="0.3">
      <c r="A241" s="158" t="s">
        <v>1212</v>
      </c>
      <c r="B241" s="69">
        <v>2048069</v>
      </c>
      <c r="C241" s="69" t="s">
        <v>1213</v>
      </c>
      <c r="D241" s="69">
        <v>0</v>
      </c>
      <c r="E241" s="70" t="s">
        <v>472</v>
      </c>
      <c r="F241" s="67" t="s">
        <v>1643</v>
      </c>
      <c r="G241" s="71">
        <v>33832</v>
      </c>
      <c r="H241" s="72">
        <v>44196</v>
      </c>
      <c r="I241" s="133">
        <v>1643803.46</v>
      </c>
      <c r="J241" s="134">
        <v>234995.35</v>
      </c>
      <c r="K241" s="125"/>
      <c r="L241" s="74">
        <v>4.2599999999999999E-2</v>
      </c>
      <c r="M241" s="75">
        <v>9314</v>
      </c>
      <c r="N241" s="76">
        <v>14</v>
      </c>
      <c r="O241" s="76"/>
      <c r="P241" s="76"/>
      <c r="Q241" s="76"/>
      <c r="R241" s="67" t="s">
        <v>1580</v>
      </c>
      <c r="S241" s="68">
        <v>890905211</v>
      </c>
      <c r="T241" s="77">
        <v>32507885</v>
      </c>
      <c r="U241" s="78" t="s">
        <v>1747</v>
      </c>
      <c r="V241" s="79">
        <v>250000</v>
      </c>
      <c r="W241" s="80">
        <v>932780</v>
      </c>
    </row>
    <row r="242" spans="1:23" ht="15.6" x14ac:dyDescent="0.3">
      <c r="A242" s="158" t="s">
        <v>1851</v>
      </c>
      <c r="B242" s="69">
        <v>3329674</v>
      </c>
      <c r="C242" s="69" t="s">
        <v>1121</v>
      </c>
      <c r="D242" s="69">
        <v>0</v>
      </c>
      <c r="E242" s="70" t="s">
        <v>472</v>
      </c>
      <c r="F242" s="67" t="s">
        <v>1643</v>
      </c>
      <c r="G242" s="71">
        <v>34303</v>
      </c>
      <c r="H242" s="72">
        <v>44196</v>
      </c>
      <c r="I242" s="133">
        <v>15788274.359999999</v>
      </c>
      <c r="J242" s="134">
        <v>2257064.87</v>
      </c>
      <c r="K242" s="125"/>
      <c r="L242" s="74">
        <v>0.1095</v>
      </c>
      <c r="M242" s="75">
        <v>72798</v>
      </c>
      <c r="N242" s="76">
        <v>14</v>
      </c>
      <c r="O242" s="76"/>
      <c r="P242" s="76"/>
      <c r="Q242" s="76"/>
      <c r="R242" s="67" t="s">
        <v>1580</v>
      </c>
      <c r="S242" s="68">
        <v>890905211</v>
      </c>
      <c r="T242" s="77"/>
      <c r="U242" s="78"/>
      <c r="V242" s="79">
        <v>250000</v>
      </c>
      <c r="W242" s="80">
        <v>3485455</v>
      </c>
    </row>
    <row r="243" spans="1:23" ht="15.6" x14ac:dyDescent="0.3">
      <c r="A243" s="158" t="s">
        <v>1860</v>
      </c>
      <c r="B243" s="69">
        <v>6781718</v>
      </c>
      <c r="C243" s="69" t="s">
        <v>1134</v>
      </c>
      <c r="D243" s="69">
        <v>0</v>
      </c>
      <c r="E243" s="70" t="s">
        <v>472</v>
      </c>
      <c r="F243" s="67" t="s">
        <v>1643</v>
      </c>
      <c r="G243" s="71">
        <v>35905</v>
      </c>
      <c r="H243" s="72">
        <v>44196</v>
      </c>
      <c r="I243" s="133">
        <v>38518662.689999998</v>
      </c>
      <c r="J243" s="134">
        <v>5506562.5499999998</v>
      </c>
      <c r="K243" s="125"/>
      <c r="L243" s="74">
        <v>0.23730000000000001</v>
      </c>
      <c r="M243" s="75">
        <v>238332</v>
      </c>
      <c r="N243" s="76">
        <v>14</v>
      </c>
      <c r="O243" s="76"/>
      <c r="P243" s="76"/>
      <c r="Q243" s="76"/>
      <c r="R243" s="67" t="s">
        <v>1580</v>
      </c>
      <c r="S243" s="68">
        <v>890905211</v>
      </c>
      <c r="T243" s="77">
        <v>32338646</v>
      </c>
      <c r="U243" s="78" t="s">
        <v>1791</v>
      </c>
      <c r="V243" s="79">
        <v>250000</v>
      </c>
      <c r="W243" s="80">
        <v>3923850</v>
      </c>
    </row>
    <row r="244" spans="1:23" ht="15.6" x14ac:dyDescent="0.3">
      <c r="A244" s="158" t="s">
        <v>1852</v>
      </c>
      <c r="B244" s="69">
        <v>8238115</v>
      </c>
      <c r="C244" s="69" t="s">
        <v>1136</v>
      </c>
      <c r="D244" s="69">
        <v>0</v>
      </c>
      <c r="E244" s="70" t="s">
        <v>472</v>
      </c>
      <c r="F244" s="67" t="s">
        <v>1643</v>
      </c>
      <c r="G244" s="71">
        <v>36860</v>
      </c>
      <c r="H244" s="72">
        <v>44196</v>
      </c>
      <c r="I244" s="133">
        <v>5609241.0899999999</v>
      </c>
      <c r="J244" s="134">
        <v>801887.57</v>
      </c>
      <c r="K244" s="125"/>
      <c r="L244" s="74">
        <v>7.9100000000000004E-2</v>
      </c>
      <c r="M244" s="75">
        <v>78785</v>
      </c>
      <c r="N244" s="76">
        <v>14</v>
      </c>
      <c r="O244" s="76"/>
      <c r="P244" s="76"/>
      <c r="Q244" s="76"/>
      <c r="R244" s="67" t="s">
        <v>1580</v>
      </c>
      <c r="S244" s="68">
        <v>890905211</v>
      </c>
      <c r="T244" s="77">
        <v>21547126</v>
      </c>
      <c r="U244" s="78" t="s">
        <v>1741</v>
      </c>
      <c r="V244" s="79">
        <v>250000</v>
      </c>
      <c r="W244" s="80">
        <v>1714220</v>
      </c>
    </row>
    <row r="245" spans="1:23" ht="15.6" x14ac:dyDescent="0.3">
      <c r="A245" s="158" t="s">
        <v>1217</v>
      </c>
      <c r="B245" s="69">
        <v>32416518</v>
      </c>
      <c r="C245" s="69" t="s">
        <v>1218</v>
      </c>
      <c r="D245" s="69">
        <v>0</v>
      </c>
      <c r="E245" s="70" t="s">
        <v>472</v>
      </c>
      <c r="F245" s="67" t="s">
        <v>1643</v>
      </c>
      <c r="G245" s="71">
        <v>36860</v>
      </c>
      <c r="H245" s="72">
        <v>44196</v>
      </c>
      <c r="I245" s="133">
        <v>30750867.620000001</v>
      </c>
      <c r="J245" s="134">
        <v>4396091.7699999996</v>
      </c>
      <c r="K245" s="125"/>
      <c r="L245" s="74">
        <v>0.33529999999999999</v>
      </c>
      <c r="M245" s="75">
        <v>359613</v>
      </c>
      <c r="N245" s="76">
        <v>14</v>
      </c>
      <c r="O245" s="76"/>
      <c r="P245" s="76"/>
      <c r="Q245" s="76"/>
      <c r="R245" s="67" t="s">
        <v>1580</v>
      </c>
      <c r="S245" s="68">
        <v>890905211</v>
      </c>
      <c r="T245" s="77"/>
      <c r="U245" s="78"/>
      <c r="V245" s="79">
        <v>250000</v>
      </c>
      <c r="W245" s="80">
        <v>2216985</v>
      </c>
    </row>
    <row r="246" spans="1:23" ht="15.6" x14ac:dyDescent="0.3">
      <c r="A246" s="158" t="s">
        <v>1219</v>
      </c>
      <c r="B246" s="69">
        <v>8273356</v>
      </c>
      <c r="C246" s="69" t="s">
        <v>1220</v>
      </c>
      <c r="D246" s="69">
        <v>0</v>
      </c>
      <c r="E246" s="70" t="s">
        <v>472</v>
      </c>
      <c r="F246" s="67" t="s">
        <v>1643</v>
      </c>
      <c r="G246" s="71">
        <v>40909</v>
      </c>
      <c r="H246" s="72">
        <v>44196</v>
      </c>
      <c r="I246" s="133">
        <v>11594078.23</v>
      </c>
      <c r="J246" s="134">
        <v>1657469.72</v>
      </c>
      <c r="K246" s="125"/>
      <c r="L246" s="74">
        <v>0.4375</v>
      </c>
      <c r="M246" s="75">
        <v>667713</v>
      </c>
      <c r="N246" s="76">
        <v>14</v>
      </c>
      <c r="O246" s="76"/>
      <c r="P246" s="76"/>
      <c r="Q246" s="76"/>
      <c r="R246" s="67" t="s">
        <v>1580</v>
      </c>
      <c r="S246" s="68">
        <v>890905211</v>
      </c>
      <c r="T246" s="77"/>
      <c r="U246" s="78"/>
      <c r="V246" s="79">
        <v>250000</v>
      </c>
      <c r="W246" s="80">
        <v>640615</v>
      </c>
    </row>
    <row r="247" spans="1:23" ht="15.6" x14ac:dyDescent="0.3">
      <c r="A247" s="158" t="s">
        <v>1137</v>
      </c>
      <c r="B247" s="69">
        <v>32417836</v>
      </c>
      <c r="C247" s="69" t="s">
        <v>1138</v>
      </c>
      <c r="D247" s="69">
        <v>0</v>
      </c>
      <c r="E247" s="70" t="s">
        <v>472</v>
      </c>
      <c r="F247" s="67" t="s">
        <v>1643</v>
      </c>
      <c r="G247" s="71">
        <v>37590</v>
      </c>
      <c r="H247" s="72">
        <v>44196</v>
      </c>
      <c r="I247" s="133">
        <v>5184439.54</v>
      </c>
      <c r="J247" s="134">
        <v>741158.66</v>
      </c>
      <c r="K247" s="125"/>
      <c r="L247" s="74">
        <v>4.7E-2</v>
      </c>
      <c r="M247" s="75">
        <v>781611</v>
      </c>
      <c r="N247" s="76">
        <v>14</v>
      </c>
      <c r="O247" s="76"/>
      <c r="P247" s="76"/>
      <c r="Q247" s="76"/>
      <c r="R247" s="67" t="s">
        <v>1580</v>
      </c>
      <c r="S247" s="68">
        <v>890905211</v>
      </c>
      <c r="T247" s="77"/>
      <c r="U247" s="78"/>
      <c r="V247" s="79">
        <v>250000</v>
      </c>
      <c r="W247" s="80">
        <v>2666508</v>
      </c>
    </row>
    <row r="248" spans="1:23" ht="15.6" x14ac:dyDescent="0.3">
      <c r="A248" s="158" t="s">
        <v>1854</v>
      </c>
      <c r="B248" s="69">
        <v>8387556</v>
      </c>
      <c r="C248" s="69" t="s">
        <v>1146</v>
      </c>
      <c r="D248" s="69">
        <v>0</v>
      </c>
      <c r="E248" s="70" t="s">
        <v>472</v>
      </c>
      <c r="F248" s="67" t="s">
        <v>1643</v>
      </c>
      <c r="G248" s="71">
        <v>38246</v>
      </c>
      <c r="H248" s="72">
        <v>44196</v>
      </c>
      <c r="I248" s="133">
        <v>9548437.5099999998</v>
      </c>
      <c r="J248" s="134">
        <v>1365028.4</v>
      </c>
      <c r="K248" s="125"/>
      <c r="L248" s="74">
        <v>0.1313</v>
      </c>
      <c r="M248" s="75">
        <v>439598</v>
      </c>
      <c r="N248" s="76">
        <v>14</v>
      </c>
      <c r="O248" s="76"/>
      <c r="P248" s="76"/>
      <c r="Q248" s="76"/>
      <c r="R248" s="67" t="s">
        <v>1580</v>
      </c>
      <c r="S248" s="68">
        <v>890905211</v>
      </c>
      <c r="T248" s="77"/>
      <c r="U248" s="78"/>
      <c r="V248" s="79">
        <v>250000</v>
      </c>
      <c r="W248" s="80">
        <v>1757950</v>
      </c>
    </row>
    <row r="249" spans="1:23" ht="15.6" x14ac:dyDescent="0.3">
      <c r="A249" s="158" t="s">
        <v>1223</v>
      </c>
      <c r="B249" s="69">
        <v>8296085</v>
      </c>
      <c r="C249" s="69" t="s">
        <v>1224</v>
      </c>
      <c r="D249" s="69">
        <v>0</v>
      </c>
      <c r="E249" s="70" t="s">
        <v>472</v>
      </c>
      <c r="F249" s="67" t="s">
        <v>1643</v>
      </c>
      <c r="G249" s="71">
        <v>38817</v>
      </c>
      <c r="H249" s="72">
        <v>44196</v>
      </c>
      <c r="I249" s="133">
        <v>5725221.4800000004</v>
      </c>
      <c r="J249" s="134">
        <v>818467.93</v>
      </c>
      <c r="K249" s="125"/>
      <c r="L249" s="74">
        <v>0.16539999999999999</v>
      </c>
      <c r="M249" s="75">
        <v>324680</v>
      </c>
      <c r="N249" s="76">
        <v>14</v>
      </c>
      <c r="O249" s="76"/>
      <c r="P249" s="76"/>
      <c r="Q249" s="76"/>
      <c r="R249" s="67" t="s">
        <v>1580</v>
      </c>
      <c r="S249" s="68">
        <v>890905211</v>
      </c>
      <c r="T249" s="77"/>
      <c r="U249" s="78"/>
      <c r="V249" s="79">
        <v>250000</v>
      </c>
      <c r="W249" s="80">
        <v>836750</v>
      </c>
    </row>
    <row r="250" spans="1:23" ht="15.6" x14ac:dyDescent="0.3">
      <c r="A250" s="158" t="s">
        <v>1225</v>
      </c>
      <c r="B250" s="69">
        <v>6785613</v>
      </c>
      <c r="C250" s="69" t="s">
        <v>1226</v>
      </c>
      <c r="D250" s="69">
        <v>0</v>
      </c>
      <c r="E250" s="70" t="s">
        <v>472</v>
      </c>
      <c r="F250" s="67" t="s">
        <v>1643</v>
      </c>
      <c r="G250" s="71">
        <v>38839</v>
      </c>
      <c r="H250" s="72">
        <v>44196</v>
      </c>
      <c r="I250" s="133">
        <v>409005.9</v>
      </c>
      <c r="J250" s="134">
        <v>58470.79</v>
      </c>
      <c r="K250" s="125"/>
      <c r="L250" s="74">
        <v>1.15E-2</v>
      </c>
      <c r="M250" s="75">
        <v>28236</v>
      </c>
      <c r="N250" s="76">
        <v>14</v>
      </c>
      <c r="O250" s="76"/>
      <c r="P250" s="76"/>
      <c r="Q250" s="76"/>
      <c r="R250" s="67" t="s">
        <v>1580</v>
      </c>
      <c r="S250" s="68">
        <v>890905211</v>
      </c>
      <c r="T250" s="77">
        <v>32477167</v>
      </c>
      <c r="U250" s="78" t="s">
        <v>1748</v>
      </c>
      <c r="V250" s="79">
        <v>250000</v>
      </c>
      <c r="W250" s="80">
        <v>859747</v>
      </c>
    </row>
    <row r="251" spans="1:23" ht="15.6" x14ac:dyDescent="0.3">
      <c r="A251" s="158" t="s">
        <v>1861</v>
      </c>
      <c r="B251" s="69">
        <v>8255630</v>
      </c>
      <c r="C251" s="69" t="s">
        <v>1228</v>
      </c>
      <c r="D251" s="69">
        <v>0</v>
      </c>
      <c r="E251" s="70" t="s">
        <v>472</v>
      </c>
      <c r="F251" s="67" t="s">
        <v>1643</v>
      </c>
      <c r="G251" s="71">
        <v>38867</v>
      </c>
      <c r="H251" s="72">
        <v>44196</v>
      </c>
      <c r="I251" s="133">
        <v>4376204.74</v>
      </c>
      <c r="J251" s="134">
        <v>625614.79</v>
      </c>
      <c r="K251" s="125"/>
      <c r="L251" s="74">
        <v>0.2213</v>
      </c>
      <c r="M251" s="75">
        <v>455383</v>
      </c>
      <c r="N251" s="76">
        <v>14</v>
      </c>
      <c r="O251" s="76"/>
      <c r="P251" s="76"/>
      <c r="Q251" s="76"/>
      <c r="R251" s="67" t="s">
        <v>1580</v>
      </c>
      <c r="S251" s="68">
        <v>890905211</v>
      </c>
      <c r="T251" s="77"/>
      <c r="U251" s="78"/>
      <c r="V251" s="79">
        <v>250000</v>
      </c>
      <c r="W251" s="80">
        <v>478030</v>
      </c>
    </row>
    <row r="252" spans="1:23" ht="15.6" x14ac:dyDescent="0.3">
      <c r="A252" s="158" t="s">
        <v>1229</v>
      </c>
      <c r="B252" s="69">
        <v>8303286</v>
      </c>
      <c r="C252" s="69" t="s">
        <v>1230</v>
      </c>
      <c r="D252" s="69">
        <v>0</v>
      </c>
      <c r="E252" s="70" t="s">
        <v>472</v>
      </c>
      <c r="F252" s="67" t="s">
        <v>1643</v>
      </c>
      <c r="G252" s="71">
        <v>38867</v>
      </c>
      <c r="H252" s="72"/>
      <c r="I252" s="133">
        <v>11843530.119999999</v>
      </c>
      <c r="J252" s="134">
        <v>1693130.93</v>
      </c>
      <c r="K252" s="125"/>
      <c r="L252" s="74">
        <v>0.40970000000000001</v>
      </c>
      <c r="M252" s="75">
        <v>737646</v>
      </c>
      <c r="N252" s="76">
        <v>14</v>
      </c>
      <c r="O252" s="76"/>
      <c r="P252" s="76"/>
      <c r="Q252" s="76"/>
      <c r="R252" s="67" t="s">
        <v>1580</v>
      </c>
      <c r="S252" s="68">
        <v>890905211</v>
      </c>
      <c r="T252" s="77">
        <v>32504356</v>
      </c>
      <c r="U252" s="78" t="s">
        <v>1749</v>
      </c>
      <c r="V252" s="79">
        <v>250000</v>
      </c>
      <c r="W252" s="80">
        <v>698802</v>
      </c>
    </row>
    <row r="253" spans="1:23" ht="15.6" x14ac:dyDescent="0.3">
      <c r="A253" s="158" t="s">
        <v>1862</v>
      </c>
      <c r="B253" s="69">
        <v>15330734</v>
      </c>
      <c r="C253" s="69" t="s">
        <v>1234</v>
      </c>
      <c r="D253" s="69">
        <v>0</v>
      </c>
      <c r="E253" s="70" t="s">
        <v>472</v>
      </c>
      <c r="F253" s="67" t="s">
        <v>1643</v>
      </c>
      <c r="G253" s="71">
        <v>39692</v>
      </c>
      <c r="H253" s="72">
        <v>44196</v>
      </c>
      <c r="I253" s="133">
        <v>51920.41</v>
      </c>
      <c r="J253" s="134">
        <v>7422.45</v>
      </c>
      <c r="K253" s="125"/>
      <c r="L253" s="74">
        <v>3.3999999999999998E-3</v>
      </c>
      <c r="M253" s="75">
        <v>3303</v>
      </c>
      <c r="N253" s="76">
        <v>14</v>
      </c>
      <c r="O253" s="76"/>
      <c r="P253" s="76"/>
      <c r="Q253" s="76"/>
      <c r="R253" s="67" t="s">
        <v>1580</v>
      </c>
      <c r="S253" s="68">
        <v>890905211</v>
      </c>
      <c r="T253" s="77">
        <v>39380446</v>
      </c>
      <c r="U253" s="78" t="s">
        <v>1750</v>
      </c>
      <c r="V253" s="79">
        <v>250000</v>
      </c>
      <c r="W253" s="80">
        <v>369146</v>
      </c>
    </row>
    <row r="254" spans="1:23" ht="15.6" x14ac:dyDescent="0.3">
      <c r="A254" s="158" t="s">
        <v>1863</v>
      </c>
      <c r="B254" s="69">
        <v>32439678</v>
      </c>
      <c r="C254" s="69" t="s">
        <v>1240</v>
      </c>
      <c r="D254" s="69">
        <v>0</v>
      </c>
      <c r="E254" s="70" t="s">
        <v>592</v>
      </c>
      <c r="F254" s="67" t="s">
        <v>1643</v>
      </c>
      <c r="G254" s="71">
        <v>37955</v>
      </c>
      <c r="H254" s="72"/>
      <c r="I254" s="133">
        <v>12641991.42</v>
      </c>
      <c r="J254" s="134">
        <v>1807277.61</v>
      </c>
      <c r="K254" s="125"/>
      <c r="L254" s="74">
        <v>0.15740000000000001</v>
      </c>
      <c r="M254" s="75">
        <v>467172</v>
      </c>
      <c r="N254" s="76">
        <v>14</v>
      </c>
      <c r="O254" s="76"/>
      <c r="P254" s="76"/>
      <c r="Q254" s="76"/>
      <c r="R254" s="67" t="s">
        <v>1583</v>
      </c>
      <c r="S254" s="68">
        <v>890980179</v>
      </c>
      <c r="T254" s="77"/>
      <c r="U254" s="78"/>
      <c r="V254" s="79">
        <v>250000</v>
      </c>
      <c r="W254" s="80">
        <v>1941555</v>
      </c>
    </row>
    <row r="255" spans="1:23" ht="15.6" x14ac:dyDescent="0.3">
      <c r="A255" s="158" t="s">
        <v>1862</v>
      </c>
      <c r="B255" s="69">
        <v>15330734</v>
      </c>
      <c r="C255" s="69" t="s">
        <v>1234</v>
      </c>
      <c r="D255" s="69">
        <v>0</v>
      </c>
      <c r="E255" s="70" t="s">
        <v>19</v>
      </c>
      <c r="F255" s="67" t="s">
        <v>1643</v>
      </c>
      <c r="G255" s="71">
        <v>39692</v>
      </c>
      <c r="H255" s="72"/>
      <c r="I255" s="133">
        <v>51920.41</v>
      </c>
      <c r="J255" s="134">
        <v>7422.45</v>
      </c>
      <c r="K255" s="125"/>
      <c r="L255" s="74">
        <v>3.3999999999999998E-3</v>
      </c>
      <c r="M255" s="75">
        <v>11174</v>
      </c>
      <c r="N255" s="76">
        <v>14</v>
      </c>
      <c r="O255" s="76"/>
      <c r="P255" s="76"/>
      <c r="Q255" s="76"/>
      <c r="R255" s="67" t="s">
        <v>1584</v>
      </c>
      <c r="S255" s="68">
        <v>890980344</v>
      </c>
      <c r="T255" s="77">
        <v>39380446</v>
      </c>
      <c r="U255" s="78" t="s">
        <v>1750</v>
      </c>
      <c r="V255" s="79">
        <v>250000</v>
      </c>
      <c r="W255" s="80">
        <v>369146</v>
      </c>
    </row>
    <row r="256" spans="1:23" ht="15.6" x14ac:dyDescent="0.3">
      <c r="A256" s="158" t="s">
        <v>1243</v>
      </c>
      <c r="B256" s="69">
        <v>4869628</v>
      </c>
      <c r="C256" s="69" t="s">
        <v>1244</v>
      </c>
      <c r="D256" s="69">
        <v>0</v>
      </c>
      <c r="E256" s="70" t="s">
        <v>472</v>
      </c>
      <c r="F256" s="67" t="s">
        <v>1643</v>
      </c>
      <c r="G256" s="71">
        <v>33349</v>
      </c>
      <c r="H256" s="72"/>
      <c r="I256" s="133">
        <v>52949785.990000002</v>
      </c>
      <c r="J256" s="134">
        <v>7569611.4100000001</v>
      </c>
      <c r="K256" s="125"/>
      <c r="L256" s="74">
        <v>0.2576</v>
      </c>
      <c r="M256" s="75">
        <v>17346</v>
      </c>
      <c r="N256" s="76">
        <v>14</v>
      </c>
      <c r="O256" s="76"/>
      <c r="P256" s="76"/>
      <c r="Q256" s="76"/>
      <c r="R256" s="67" t="s">
        <v>1586</v>
      </c>
      <c r="S256" s="68">
        <v>891180009</v>
      </c>
      <c r="T256" s="77">
        <v>26411008</v>
      </c>
      <c r="U256" s="78" t="s">
        <v>1751</v>
      </c>
      <c r="V256" s="79">
        <v>250000</v>
      </c>
      <c r="W256" s="80">
        <v>4968866</v>
      </c>
    </row>
    <row r="257" spans="1:23" ht="15.6" x14ac:dyDescent="0.3">
      <c r="A257" s="158" t="s">
        <v>1864</v>
      </c>
      <c r="B257" s="69">
        <v>20162585</v>
      </c>
      <c r="C257" s="69" t="s">
        <v>1246</v>
      </c>
      <c r="D257" s="69">
        <v>0</v>
      </c>
      <c r="E257" s="70" t="s">
        <v>19</v>
      </c>
      <c r="F257" s="67" t="s">
        <v>1643</v>
      </c>
      <c r="G257" s="71">
        <v>34303</v>
      </c>
      <c r="H257" s="72"/>
      <c r="I257" s="133">
        <v>1303142.81</v>
      </c>
      <c r="J257" s="134">
        <v>186295.08</v>
      </c>
      <c r="K257" s="125"/>
      <c r="L257" s="74">
        <v>3.7699999999999997E-2</v>
      </c>
      <c r="M257" s="75">
        <v>11877</v>
      </c>
      <c r="N257" s="76">
        <v>14</v>
      </c>
      <c r="O257" s="76"/>
      <c r="P257" s="76"/>
      <c r="Q257" s="76"/>
      <c r="R257" s="67" t="s">
        <v>1587</v>
      </c>
      <c r="S257" s="68">
        <v>891280000</v>
      </c>
      <c r="T257" s="77"/>
      <c r="U257" s="78"/>
      <c r="V257" s="79">
        <v>250000</v>
      </c>
      <c r="W257" s="80">
        <v>835583</v>
      </c>
    </row>
    <row r="258" spans="1:23" ht="15.6" x14ac:dyDescent="0.3">
      <c r="A258" s="158" t="s">
        <v>977</v>
      </c>
      <c r="B258" s="69">
        <v>6366164</v>
      </c>
      <c r="C258" s="69" t="s">
        <v>978</v>
      </c>
      <c r="D258" s="69">
        <v>0</v>
      </c>
      <c r="E258" s="70" t="s">
        <v>19</v>
      </c>
      <c r="F258" s="67" t="s">
        <v>1643</v>
      </c>
      <c r="G258" s="71">
        <v>34700</v>
      </c>
      <c r="H258" s="72"/>
      <c r="I258" s="133">
        <v>1911567.68</v>
      </c>
      <c r="J258" s="134">
        <v>273274.46999999997</v>
      </c>
      <c r="K258" s="125"/>
      <c r="L258" s="74">
        <v>6.7500000000000004E-2</v>
      </c>
      <c r="M258" s="75">
        <v>184299</v>
      </c>
      <c r="N258" s="76">
        <v>14</v>
      </c>
      <c r="O258" s="76"/>
      <c r="P258" s="76"/>
      <c r="Q258" s="76"/>
      <c r="R258" s="67" t="s">
        <v>1588</v>
      </c>
      <c r="S258" s="68">
        <v>891380007</v>
      </c>
      <c r="T258" s="77"/>
      <c r="U258" s="78"/>
      <c r="V258" s="79">
        <v>250000</v>
      </c>
      <c r="W258" s="80">
        <v>684581</v>
      </c>
    </row>
    <row r="259" spans="1:23" ht="15.6" x14ac:dyDescent="0.3">
      <c r="A259" s="158" t="s">
        <v>1247</v>
      </c>
      <c r="B259" s="69">
        <v>31138356</v>
      </c>
      <c r="C259" s="69" t="s">
        <v>1248</v>
      </c>
      <c r="D259" s="69">
        <v>0</v>
      </c>
      <c r="E259" s="70" t="s">
        <v>592</v>
      </c>
      <c r="F259" s="67" t="s">
        <v>1643</v>
      </c>
      <c r="G259" s="71">
        <v>39479</v>
      </c>
      <c r="H259" s="72">
        <v>45156</v>
      </c>
      <c r="I259" s="133">
        <v>306203.64</v>
      </c>
      <c r="J259" s="134">
        <v>43774.35</v>
      </c>
      <c r="K259" s="125"/>
      <c r="L259" s="74">
        <v>7.8899999999999998E-2</v>
      </c>
      <c r="M259" s="75">
        <v>155941</v>
      </c>
      <c r="N259" s="76">
        <v>13</v>
      </c>
      <c r="O259" s="76"/>
      <c r="P259" s="76"/>
      <c r="Q259" s="76"/>
      <c r="R259" s="67" t="s">
        <v>1588</v>
      </c>
      <c r="S259" s="68">
        <v>891380007</v>
      </c>
      <c r="T259" s="77"/>
      <c r="U259" s="78"/>
      <c r="V259" s="79">
        <v>250000</v>
      </c>
      <c r="W259" s="80">
        <v>93815</v>
      </c>
    </row>
    <row r="260" spans="1:23" ht="15.6" x14ac:dyDescent="0.3">
      <c r="A260" s="158" t="s">
        <v>1865</v>
      </c>
      <c r="B260" s="69">
        <v>29655686</v>
      </c>
      <c r="C260" s="69" t="s">
        <v>982</v>
      </c>
      <c r="D260" s="69">
        <v>0</v>
      </c>
      <c r="E260" s="70" t="s">
        <v>472</v>
      </c>
      <c r="F260" s="67" t="s">
        <v>1643</v>
      </c>
      <c r="G260" s="71">
        <v>35064</v>
      </c>
      <c r="H260" s="119"/>
      <c r="I260" s="133">
        <v>6147036.8600000003</v>
      </c>
      <c r="J260" s="134">
        <v>878769.94</v>
      </c>
      <c r="K260" s="125"/>
      <c r="L260" s="74">
        <v>0.14199999999999999</v>
      </c>
      <c r="M260" s="75">
        <v>81154</v>
      </c>
      <c r="N260" s="76">
        <v>14</v>
      </c>
      <c r="O260" s="76"/>
      <c r="P260" s="76"/>
      <c r="Q260" s="76"/>
      <c r="R260" s="67" t="s">
        <v>1590</v>
      </c>
      <c r="S260" s="68">
        <v>891380036</v>
      </c>
      <c r="T260" s="77"/>
      <c r="U260" s="78"/>
      <c r="V260" s="79">
        <v>250000</v>
      </c>
      <c r="W260" s="80">
        <v>1046445</v>
      </c>
    </row>
    <row r="261" spans="1:23" ht="15.6" x14ac:dyDescent="0.3">
      <c r="A261" s="158" t="s">
        <v>912</v>
      </c>
      <c r="B261" s="69">
        <v>38972862</v>
      </c>
      <c r="C261" s="69" t="s">
        <v>913</v>
      </c>
      <c r="D261" s="69">
        <v>0</v>
      </c>
      <c r="E261" s="70" t="s">
        <v>472</v>
      </c>
      <c r="F261" s="67" t="s">
        <v>1643</v>
      </c>
      <c r="G261" s="71">
        <v>34700</v>
      </c>
      <c r="H261" s="119"/>
      <c r="I261" s="133">
        <v>2075178.26</v>
      </c>
      <c r="J261" s="134">
        <v>296663.96000000002</v>
      </c>
      <c r="K261" s="125"/>
      <c r="L261" s="74">
        <v>2.6100000000000002E-2</v>
      </c>
      <c r="M261" s="75">
        <v>16397</v>
      </c>
      <c r="N261" s="76">
        <v>14</v>
      </c>
      <c r="O261" s="76"/>
      <c r="P261" s="76"/>
      <c r="Q261" s="76"/>
      <c r="R261" s="67" t="s">
        <v>1591</v>
      </c>
      <c r="S261" s="68">
        <v>891380054</v>
      </c>
      <c r="T261" s="77"/>
      <c r="U261" s="78"/>
      <c r="V261" s="79">
        <v>250000</v>
      </c>
      <c r="W261" s="80">
        <v>1922002</v>
      </c>
    </row>
    <row r="262" spans="1:23" ht="15.6" x14ac:dyDescent="0.3">
      <c r="A262" s="158" t="s">
        <v>1256</v>
      </c>
      <c r="B262" s="69">
        <v>10055169</v>
      </c>
      <c r="C262" s="69" t="s">
        <v>1257</v>
      </c>
      <c r="D262" s="69">
        <v>0</v>
      </c>
      <c r="E262" s="70" t="s">
        <v>19</v>
      </c>
      <c r="F262" s="67" t="s">
        <v>1643</v>
      </c>
      <c r="G262" s="71">
        <v>37407</v>
      </c>
      <c r="H262" s="119"/>
      <c r="I262" s="133">
        <v>16647751.73</v>
      </c>
      <c r="J262" s="134">
        <v>2379934.29</v>
      </c>
      <c r="K262" s="125"/>
      <c r="L262" s="74">
        <v>0.14499999999999999</v>
      </c>
      <c r="M262" s="75">
        <v>157711</v>
      </c>
      <c r="N262" s="76">
        <v>14</v>
      </c>
      <c r="O262" s="76"/>
      <c r="P262" s="76"/>
      <c r="Q262" s="76"/>
      <c r="R262" s="67" t="s">
        <v>1592</v>
      </c>
      <c r="S262" s="68">
        <v>891480030</v>
      </c>
      <c r="T262" s="77">
        <v>31405287</v>
      </c>
      <c r="U262" s="78" t="s">
        <v>1752</v>
      </c>
      <c r="V262" s="79">
        <v>250000</v>
      </c>
      <c r="W262" s="80">
        <v>2775406</v>
      </c>
    </row>
    <row r="263" spans="1:23" ht="16.2" thickBot="1" x14ac:dyDescent="0.35">
      <c r="A263" s="158" t="s">
        <v>1258</v>
      </c>
      <c r="B263" s="69">
        <v>25168950</v>
      </c>
      <c r="C263" s="69" t="s">
        <v>1259</v>
      </c>
      <c r="D263" s="69">
        <v>0</v>
      </c>
      <c r="E263" s="70" t="s">
        <v>592</v>
      </c>
      <c r="F263" s="67" t="s">
        <v>1643</v>
      </c>
      <c r="G263" s="71">
        <v>40210</v>
      </c>
      <c r="H263" s="119"/>
      <c r="I263" s="133">
        <v>937024.42</v>
      </c>
      <c r="J263" s="134">
        <v>133955.42000000001</v>
      </c>
      <c r="K263" s="128"/>
      <c r="L263" s="74">
        <v>6.0600000000000001E-2</v>
      </c>
      <c r="M263" s="75">
        <v>127705</v>
      </c>
      <c r="N263" s="76">
        <v>13</v>
      </c>
      <c r="O263" s="76"/>
      <c r="P263" s="76"/>
      <c r="Q263" s="76"/>
      <c r="R263" s="67" t="s">
        <v>1592</v>
      </c>
      <c r="S263" s="68">
        <v>891480030</v>
      </c>
      <c r="T263" s="77"/>
      <c r="U263" s="78"/>
      <c r="V263" s="79">
        <v>250000</v>
      </c>
      <c r="W263" s="80">
        <v>373781</v>
      </c>
    </row>
    <row r="264" spans="1:23" ht="15.6" x14ac:dyDescent="0.3">
      <c r="A264" s="158" t="s">
        <v>1256</v>
      </c>
      <c r="B264" s="69">
        <v>10055169</v>
      </c>
      <c r="C264" s="69" t="s">
        <v>1257</v>
      </c>
      <c r="D264" s="69">
        <v>0</v>
      </c>
      <c r="E264" s="70" t="s">
        <v>472</v>
      </c>
      <c r="F264" s="67" t="s">
        <v>1643</v>
      </c>
      <c r="G264" s="71">
        <v>37407</v>
      </c>
      <c r="H264" s="119" t="s">
        <v>1056</v>
      </c>
      <c r="I264" s="133">
        <v>16647751.73</v>
      </c>
      <c r="J264" s="134">
        <v>2379934.29</v>
      </c>
      <c r="K264" s="125"/>
      <c r="L264" s="74">
        <v>0.14499999999999999</v>
      </c>
      <c r="M264" s="75">
        <v>250818</v>
      </c>
      <c r="N264" s="76">
        <v>14</v>
      </c>
      <c r="O264" s="76">
        <v>0</v>
      </c>
      <c r="P264" s="83">
        <v>1072511</v>
      </c>
      <c r="Q264" s="83">
        <v>1005612</v>
      </c>
      <c r="R264" s="67" t="s">
        <v>1593</v>
      </c>
      <c r="S264" s="68">
        <v>891480085</v>
      </c>
      <c r="T264" s="77">
        <v>31405287</v>
      </c>
      <c r="U264" s="78" t="s">
        <v>1752</v>
      </c>
      <c r="V264" s="79">
        <v>250000</v>
      </c>
      <c r="W264" s="80">
        <v>2775406</v>
      </c>
    </row>
    <row r="265" spans="1:23" ht="16.2" thickBot="1" x14ac:dyDescent="0.35">
      <c r="A265" s="158" t="s">
        <v>1262</v>
      </c>
      <c r="B265" s="147">
        <v>10217838</v>
      </c>
      <c r="C265" s="69" t="s">
        <v>1263</v>
      </c>
      <c r="D265" s="69">
        <v>0</v>
      </c>
      <c r="E265" s="91" t="s">
        <v>472</v>
      </c>
      <c r="F265" s="67" t="s">
        <v>1643</v>
      </c>
      <c r="G265" s="71">
        <v>39050</v>
      </c>
      <c r="H265" s="120">
        <v>41425</v>
      </c>
      <c r="I265" s="133">
        <v>4168307.56</v>
      </c>
      <c r="J265" s="134">
        <v>595894.16</v>
      </c>
      <c r="K265" s="128"/>
      <c r="L265" s="74">
        <v>8.1500000000000003E-2</v>
      </c>
      <c r="M265" s="100">
        <v>143336</v>
      </c>
      <c r="N265" s="76">
        <v>14</v>
      </c>
      <c r="O265" s="76">
        <v>0</v>
      </c>
      <c r="P265" s="83">
        <v>169166</v>
      </c>
      <c r="Q265" s="83">
        <v>2164849</v>
      </c>
      <c r="R265" s="67" t="s">
        <v>1593</v>
      </c>
      <c r="S265" s="68">
        <v>891480085</v>
      </c>
      <c r="T265" s="77"/>
      <c r="U265" s="78"/>
      <c r="V265" s="79">
        <v>250000</v>
      </c>
      <c r="W265" s="80">
        <v>1236349</v>
      </c>
    </row>
    <row r="266" spans="1:23" ht="16.2" thickBot="1" x14ac:dyDescent="0.35">
      <c r="A266" s="158" t="s">
        <v>1264</v>
      </c>
      <c r="B266" s="148">
        <v>4575380</v>
      </c>
      <c r="C266" s="69" t="s">
        <v>1265</v>
      </c>
      <c r="D266" s="69">
        <v>0</v>
      </c>
      <c r="E266" s="95" t="s">
        <v>19</v>
      </c>
      <c r="F266" s="67" t="s">
        <v>1643</v>
      </c>
      <c r="G266" s="71">
        <v>39232</v>
      </c>
      <c r="H266" s="121">
        <v>41639</v>
      </c>
      <c r="I266" s="133">
        <v>3783665.22</v>
      </c>
      <c r="J266" s="134">
        <v>540906.35</v>
      </c>
      <c r="K266" s="132"/>
      <c r="L266" s="74">
        <v>9.4299999999999995E-2</v>
      </c>
      <c r="M266" s="96">
        <v>167513</v>
      </c>
      <c r="N266" s="76">
        <v>14</v>
      </c>
      <c r="O266" s="76">
        <v>0</v>
      </c>
      <c r="P266" s="83">
        <v>467244</v>
      </c>
      <c r="Q266" s="83">
        <v>2102071</v>
      </c>
      <c r="R266" s="67" t="s">
        <v>1593</v>
      </c>
      <c r="S266" s="68">
        <v>891480085</v>
      </c>
      <c r="T266" s="77"/>
      <c r="U266" s="78"/>
      <c r="V266" s="79">
        <v>250000</v>
      </c>
      <c r="W266" s="80">
        <v>969929</v>
      </c>
    </row>
    <row r="267" spans="1:23" ht="15.6" x14ac:dyDescent="0.3">
      <c r="A267" s="158" t="s">
        <v>997</v>
      </c>
      <c r="B267" s="69">
        <v>19163606</v>
      </c>
      <c r="C267" s="69" t="s">
        <v>998</v>
      </c>
      <c r="D267" s="69">
        <v>0</v>
      </c>
      <c r="E267" s="70" t="s">
        <v>472</v>
      </c>
      <c r="F267" s="67" t="s">
        <v>1643</v>
      </c>
      <c r="G267" s="71">
        <v>39814</v>
      </c>
      <c r="H267" s="119"/>
      <c r="I267" s="133">
        <v>57051.09</v>
      </c>
      <c r="J267" s="134">
        <v>8155.93</v>
      </c>
      <c r="K267" s="125"/>
      <c r="L267" s="74">
        <v>5.2499999999999998E-2</v>
      </c>
      <c r="M267" s="75">
        <v>63651</v>
      </c>
      <c r="N267" s="76">
        <v>14</v>
      </c>
      <c r="O267" s="76"/>
      <c r="P267" s="76"/>
      <c r="Q267" s="76"/>
      <c r="R267" s="67" t="s">
        <v>1595</v>
      </c>
      <c r="S267" s="68">
        <v>891500580</v>
      </c>
      <c r="T267" s="77"/>
      <c r="U267" s="78"/>
      <c r="V267" s="79">
        <v>250000</v>
      </c>
      <c r="W267" s="80">
        <v>26269</v>
      </c>
    </row>
    <row r="268" spans="1:23" ht="16.2" thickBot="1" x14ac:dyDescent="0.35">
      <c r="A268" s="158" t="s">
        <v>926</v>
      </c>
      <c r="B268" s="147">
        <v>29646891</v>
      </c>
      <c r="C268" s="69" t="s">
        <v>927</v>
      </c>
      <c r="D268" s="69">
        <v>0</v>
      </c>
      <c r="E268" s="91" t="s">
        <v>19</v>
      </c>
      <c r="F268" s="67" t="s">
        <v>1643</v>
      </c>
      <c r="G268" s="71">
        <v>35064</v>
      </c>
      <c r="H268" s="120"/>
      <c r="I268" s="133">
        <v>910260.69</v>
      </c>
      <c r="J268" s="134">
        <v>130129.32</v>
      </c>
      <c r="K268" s="125"/>
      <c r="L268" s="74">
        <v>7.17E-2</v>
      </c>
      <c r="M268" s="100">
        <v>35124</v>
      </c>
      <c r="N268" s="76">
        <v>14</v>
      </c>
      <c r="O268" s="76"/>
      <c r="P268" s="76"/>
      <c r="Q268" s="76"/>
      <c r="R268" s="67" t="s">
        <v>1596</v>
      </c>
      <c r="S268" s="68">
        <v>891502188</v>
      </c>
      <c r="T268" s="77"/>
      <c r="U268" s="78"/>
      <c r="V268" s="79">
        <v>250000</v>
      </c>
      <c r="W268" s="80">
        <v>306892</v>
      </c>
    </row>
    <row r="269" spans="1:23" ht="15.6" x14ac:dyDescent="0.3">
      <c r="A269" s="158" t="s">
        <v>926</v>
      </c>
      <c r="B269" s="148">
        <v>29646891</v>
      </c>
      <c r="C269" s="69" t="s">
        <v>927</v>
      </c>
      <c r="D269" s="69">
        <v>0</v>
      </c>
      <c r="E269" s="95" t="s">
        <v>472</v>
      </c>
      <c r="F269" s="67" t="s">
        <v>1643</v>
      </c>
      <c r="G269" s="71">
        <v>35064</v>
      </c>
      <c r="H269" s="121"/>
      <c r="I269" s="133">
        <v>910260.69</v>
      </c>
      <c r="J269" s="134">
        <v>130129.32</v>
      </c>
      <c r="K269" s="125"/>
      <c r="L269" s="74">
        <v>7.17E-2</v>
      </c>
      <c r="M269" s="96">
        <v>25640</v>
      </c>
      <c r="N269" s="76">
        <v>14</v>
      </c>
      <c r="O269" s="76"/>
      <c r="P269" s="76"/>
      <c r="Q269" s="76"/>
      <c r="R269" s="67" t="s">
        <v>1597</v>
      </c>
      <c r="S269" s="68">
        <v>891580002</v>
      </c>
      <c r="T269" s="77"/>
      <c r="U269" s="78"/>
      <c r="V269" s="79">
        <v>250000</v>
      </c>
      <c r="W269" s="80">
        <v>306892</v>
      </c>
    </row>
    <row r="270" spans="1:23" ht="15.6" x14ac:dyDescent="0.3">
      <c r="A270" s="158" t="s">
        <v>1843</v>
      </c>
      <c r="B270" s="69">
        <v>6043169</v>
      </c>
      <c r="C270" s="69" t="s">
        <v>956</v>
      </c>
      <c r="D270" s="69">
        <v>0</v>
      </c>
      <c r="E270" s="70" t="s">
        <v>19</v>
      </c>
      <c r="F270" s="67" t="s">
        <v>1643</v>
      </c>
      <c r="G270" s="71">
        <v>25674</v>
      </c>
      <c r="H270" s="119"/>
      <c r="I270" s="133">
        <v>198992558.53</v>
      </c>
      <c r="J270" s="134">
        <v>28447637.949999999</v>
      </c>
      <c r="K270" s="125"/>
      <c r="L270" s="74">
        <v>0.65439999999999998</v>
      </c>
      <c r="M270" s="75">
        <v>65230</v>
      </c>
      <c r="N270" s="76">
        <v>14</v>
      </c>
      <c r="O270" s="76"/>
      <c r="P270" s="76"/>
      <c r="Q270" s="76"/>
      <c r="R270" s="67" t="s">
        <v>1599</v>
      </c>
      <c r="S270" s="68">
        <v>891580016</v>
      </c>
      <c r="T270" s="77">
        <v>38959134</v>
      </c>
      <c r="U270" s="78" t="s">
        <v>1709</v>
      </c>
      <c r="V270" s="79">
        <v>250000</v>
      </c>
      <c r="W270" s="80">
        <v>7350764</v>
      </c>
    </row>
    <row r="271" spans="1:23" ht="15.6" x14ac:dyDescent="0.3">
      <c r="A271" s="158" t="s">
        <v>1272</v>
      </c>
      <c r="B271" s="69">
        <v>1427605</v>
      </c>
      <c r="C271" s="69" t="s">
        <v>1273</v>
      </c>
      <c r="D271" s="69">
        <v>0</v>
      </c>
      <c r="E271" s="70" t="s">
        <v>472</v>
      </c>
      <c r="F271" s="67" t="s">
        <v>1643</v>
      </c>
      <c r="G271" s="71">
        <v>33451</v>
      </c>
      <c r="H271" s="119"/>
      <c r="I271" s="133">
        <v>12410337.869999999</v>
      </c>
      <c r="J271" s="134">
        <v>1774160.81</v>
      </c>
      <c r="K271" s="125"/>
      <c r="L271" s="74">
        <v>0.27739999999999998</v>
      </c>
      <c r="M271" s="75">
        <v>34459</v>
      </c>
      <c r="N271" s="76">
        <v>14</v>
      </c>
      <c r="O271" s="76"/>
      <c r="P271" s="76"/>
      <c r="Q271" s="76"/>
      <c r="R271" s="67" t="s">
        <v>1599</v>
      </c>
      <c r="S271" s="68">
        <v>891580016</v>
      </c>
      <c r="T271" s="77">
        <v>25256907</v>
      </c>
      <c r="U271" s="78" t="s">
        <v>1755</v>
      </c>
      <c r="V271" s="79">
        <v>250000</v>
      </c>
      <c r="W271" s="80">
        <v>1081474</v>
      </c>
    </row>
    <row r="272" spans="1:23" ht="15.6" x14ac:dyDescent="0.3">
      <c r="A272" s="158" t="s">
        <v>1274</v>
      </c>
      <c r="B272" s="69">
        <v>6369677</v>
      </c>
      <c r="C272" s="69" t="s">
        <v>1275</v>
      </c>
      <c r="D272" s="69">
        <v>0</v>
      </c>
      <c r="E272" s="70" t="s">
        <v>19</v>
      </c>
      <c r="F272" s="67" t="s">
        <v>1643</v>
      </c>
      <c r="G272" s="71">
        <v>33939</v>
      </c>
      <c r="H272" s="119"/>
      <c r="I272" s="133">
        <v>7107892.8899999997</v>
      </c>
      <c r="J272" s="134">
        <v>1016132.29</v>
      </c>
      <c r="K272" s="125"/>
      <c r="L272" s="74">
        <v>3.04E-2</v>
      </c>
      <c r="M272" s="75">
        <v>11673</v>
      </c>
      <c r="N272" s="76">
        <v>14</v>
      </c>
      <c r="O272" s="76"/>
      <c r="P272" s="76"/>
      <c r="Q272" s="76"/>
      <c r="R272" s="67" t="s">
        <v>1599</v>
      </c>
      <c r="S272" s="68">
        <v>891580016</v>
      </c>
      <c r="T272" s="77"/>
      <c r="U272" s="78"/>
      <c r="V272" s="79">
        <v>250000</v>
      </c>
      <c r="W272" s="80">
        <v>5652053</v>
      </c>
    </row>
    <row r="273" spans="1:23" ht="15.6" x14ac:dyDescent="0.3">
      <c r="A273" s="158" t="s">
        <v>924</v>
      </c>
      <c r="B273" s="69">
        <v>6072246</v>
      </c>
      <c r="C273" s="69" t="s">
        <v>925</v>
      </c>
      <c r="D273" s="69">
        <v>0</v>
      </c>
      <c r="E273" s="70" t="s">
        <v>19</v>
      </c>
      <c r="F273" s="67" t="s">
        <v>1643</v>
      </c>
      <c r="G273" s="71">
        <v>34700</v>
      </c>
      <c r="H273" s="119"/>
      <c r="I273" s="133">
        <v>846406.02</v>
      </c>
      <c r="J273" s="134">
        <v>121000.77</v>
      </c>
      <c r="K273" s="125"/>
      <c r="L273" s="74">
        <v>1.6199999999999999E-2</v>
      </c>
      <c r="M273" s="75">
        <v>11140</v>
      </c>
      <c r="N273" s="76">
        <v>14</v>
      </c>
      <c r="O273" s="76"/>
      <c r="P273" s="76"/>
      <c r="Q273" s="76"/>
      <c r="R273" s="67" t="s">
        <v>1599</v>
      </c>
      <c r="S273" s="68">
        <v>891580016</v>
      </c>
      <c r="T273" s="77"/>
      <c r="U273" s="78"/>
      <c r="V273" s="79">
        <v>250000</v>
      </c>
      <c r="W273" s="80">
        <v>1262998</v>
      </c>
    </row>
    <row r="274" spans="1:23" ht="15.6" x14ac:dyDescent="0.3">
      <c r="A274" s="158" t="s">
        <v>1278</v>
      </c>
      <c r="B274" s="69">
        <v>1426757</v>
      </c>
      <c r="C274" s="69" t="s">
        <v>1279</v>
      </c>
      <c r="D274" s="69">
        <v>0</v>
      </c>
      <c r="E274" s="70" t="s">
        <v>19</v>
      </c>
      <c r="F274" s="67" t="s">
        <v>1643</v>
      </c>
      <c r="G274" s="71">
        <v>36739</v>
      </c>
      <c r="H274" s="119"/>
      <c r="I274" s="133">
        <v>12186185.59</v>
      </c>
      <c r="J274" s="134">
        <v>1742116.38</v>
      </c>
      <c r="K274" s="125"/>
      <c r="L274" s="74">
        <v>0.12620000000000001</v>
      </c>
      <c r="M274" s="75">
        <v>146026</v>
      </c>
      <c r="N274" s="76">
        <v>14</v>
      </c>
      <c r="O274" s="76"/>
      <c r="P274" s="76"/>
      <c r="Q274" s="76"/>
      <c r="R274" s="67" t="s">
        <v>1599</v>
      </c>
      <c r="S274" s="68">
        <v>891580016</v>
      </c>
      <c r="T274" s="77"/>
      <c r="U274" s="78"/>
      <c r="V274" s="79">
        <v>250000</v>
      </c>
      <c r="W274" s="80">
        <v>2334250</v>
      </c>
    </row>
    <row r="275" spans="1:23" ht="15.6" x14ac:dyDescent="0.3">
      <c r="A275" s="158" t="s">
        <v>1282</v>
      </c>
      <c r="B275" s="69">
        <v>12953750</v>
      </c>
      <c r="C275" s="69" t="s">
        <v>1283</v>
      </c>
      <c r="D275" s="69">
        <v>0</v>
      </c>
      <c r="E275" s="70" t="s">
        <v>758</v>
      </c>
      <c r="F275" s="67" t="s">
        <v>1643</v>
      </c>
      <c r="G275" s="71">
        <v>38001</v>
      </c>
      <c r="H275" s="119"/>
      <c r="I275" s="133">
        <v>2512180.4</v>
      </c>
      <c r="J275" s="134">
        <v>359137.04</v>
      </c>
      <c r="K275" s="125"/>
      <c r="L275" s="74">
        <v>3.44E-2</v>
      </c>
      <c r="M275" s="75">
        <v>78982</v>
      </c>
      <c r="N275" s="76">
        <v>14</v>
      </c>
      <c r="O275" s="76"/>
      <c r="P275" s="76"/>
      <c r="Q275" s="76"/>
      <c r="R275" s="67" t="s">
        <v>1599</v>
      </c>
      <c r="S275" s="68">
        <v>891580016</v>
      </c>
      <c r="T275" s="77"/>
      <c r="U275" s="78"/>
      <c r="V275" s="79">
        <v>250000</v>
      </c>
      <c r="W275" s="80">
        <v>1765352</v>
      </c>
    </row>
    <row r="276" spans="1:23" ht="15.6" x14ac:dyDescent="0.3">
      <c r="A276" s="158" t="s">
        <v>1866</v>
      </c>
      <c r="B276" s="69">
        <v>10518416</v>
      </c>
      <c r="C276" s="69" t="s">
        <v>1285</v>
      </c>
      <c r="D276" s="69">
        <v>0</v>
      </c>
      <c r="E276" s="70" t="s">
        <v>472</v>
      </c>
      <c r="F276" s="67" t="s">
        <v>1643</v>
      </c>
      <c r="G276" s="71">
        <v>38976</v>
      </c>
      <c r="H276" s="119"/>
      <c r="I276" s="133">
        <v>4404261.95</v>
      </c>
      <c r="J276" s="134">
        <v>629625.80000000005</v>
      </c>
      <c r="K276" s="125"/>
      <c r="L276" s="74">
        <v>0.10730000000000001</v>
      </c>
      <c r="M276" s="75">
        <v>243598</v>
      </c>
      <c r="N276" s="76">
        <v>14</v>
      </c>
      <c r="O276" s="76"/>
      <c r="P276" s="76"/>
      <c r="Q276" s="76"/>
      <c r="R276" s="67" t="s">
        <v>1599</v>
      </c>
      <c r="S276" s="68">
        <v>891580016</v>
      </c>
      <c r="T276" s="77"/>
      <c r="U276" s="78"/>
      <c r="V276" s="79">
        <v>250000</v>
      </c>
      <c r="W276" s="80">
        <v>992230</v>
      </c>
    </row>
    <row r="277" spans="1:23" ht="15.6" x14ac:dyDescent="0.3">
      <c r="A277" s="158" t="s">
        <v>1867</v>
      </c>
      <c r="B277" s="69">
        <v>13875316</v>
      </c>
      <c r="C277" s="69" t="s">
        <v>1287</v>
      </c>
      <c r="D277" s="69">
        <v>0</v>
      </c>
      <c r="E277" s="70" t="s">
        <v>19</v>
      </c>
      <c r="F277" s="67" t="s">
        <v>1643</v>
      </c>
      <c r="G277" s="71">
        <v>40118</v>
      </c>
      <c r="H277" s="119"/>
      <c r="I277" s="133">
        <v>7865395.6399999997</v>
      </c>
      <c r="J277" s="134">
        <v>1124423.5900000001</v>
      </c>
      <c r="K277" s="125"/>
      <c r="L277" s="74">
        <v>0.1174</v>
      </c>
      <c r="M277" s="75">
        <v>249921</v>
      </c>
      <c r="N277" s="76">
        <v>13</v>
      </c>
      <c r="O277" s="76"/>
      <c r="P277" s="76"/>
      <c r="Q277" s="76"/>
      <c r="R277" s="67" t="s">
        <v>1599</v>
      </c>
      <c r="S277" s="68">
        <v>891580016</v>
      </c>
      <c r="T277" s="77"/>
      <c r="U277" s="78"/>
      <c r="V277" s="79">
        <v>250000</v>
      </c>
      <c r="W277" s="80">
        <v>1619539</v>
      </c>
    </row>
    <row r="278" spans="1:23" ht="15.6" x14ac:dyDescent="0.3">
      <c r="A278" s="158" t="s">
        <v>1868</v>
      </c>
      <c r="B278" s="69">
        <v>11785727</v>
      </c>
      <c r="C278" s="69" t="s">
        <v>1291</v>
      </c>
      <c r="D278" s="69">
        <v>0</v>
      </c>
      <c r="E278" s="70" t="s">
        <v>19</v>
      </c>
      <c r="F278" s="67" t="s">
        <v>1643</v>
      </c>
      <c r="G278" s="71">
        <v>38899</v>
      </c>
      <c r="H278" s="119"/>
      <c r="I278" s="133">
        <v>11810316.369999999</v>
      </c>
      <c r="J278" s="134">
        <v>1688382.75</v>
      </c>
      <c r="K278" s="125"/>
      <c r="L278" s="74">
        <v>7.6300000000000007E-2</v>
      </c>
      <c r="M278" s="75">
        <v>237636</v>
      </c>
      <c r="N278" s="76">
        <v>14</v>
      </c>
      <c r="O278" s="76"/>
      <c r="P278" s="76"/>
      <c r="Q278" s="76"/>
      <c r="R278" s="67" t="s">
        <v>1600</v>
      </c>
      <c r="S278" s="68">
        <v>891680010</v>
      </c>
      <c r="T278" s="77"/>
      <c r="U278" s="78"/>
      <c r="V278" s="79">
        <v>250000</v>
      </c>
      <c r="W278" s="80">
        <v>3741760</v>
      </c>
    </row>
    <row r="279" spans="1:23" ht="15.6" x14ac:dyDescent="0.3">
      <c r="A279" s="158" t="s">
        <v>1869</v>
      </c>
      <c r="B279" s="69">
        <v>6158870</v>
      </c>
      <c r="C279" s="69" t="s">
        <v>1293</v>
      </c>
      <c r="D279" s="69">
        <v>0</v>
      </c>
      <c r="E279" s="70" t="s">
        <v>19</v>
      </c>
      <c r="F279" s="67" t="s">
        <v>1643</v>
      </c>
      <c r="G279" s="71">
        <v>39052</v>
      </c>
      <c r="H279" s="119"/>
      <c r="I279" s="133">
        <v>5014602.8099999996</v>
      </c>
      <c r="J279" s="134">
        <v>716879.1</v>
      </c>
      <c r="K279" s="125"/>
      <c r="L279" s="74">
        <v>5.8299999999999998E-2</v>
      </c>
      <c r="M279" s="75">
        <v>151585</v>
      </c>
      <c r="N279" s="76">
        <v>14</v>
      </c>
      <c r="O279" s="76"/>
      <c r="P279" s="76"/>
      <c r="Q279" s="76"/>
      <c r="R279" s="67" t="s">
        <v>1600</v>
      </c>
      <c r="S279" s="68">
        <v>891680010</v>
      </c>
      <c r="T279" s="77"/>
      <c r="U279" s="78"/>
      <c r="V279" s="79">
        <v>250000</v>
      </c>
      <c r="W279" s="80">
        <v>2079251</v>
      </c>
    </row>
    <row r="280" spans="1:23" ht="16.2" thickBot="1" x14ac:dyDescent="0.35">
      <c r="A280" s="158" t="s">
        <v>1294</v>
      </c>
      <c r="B280" s="69">
        <v>11786211</v>
      </c>
      <c r="C280" s="69" t="s">
        <v>1295</v>
      </c>
      <c r="D280" s="69">
        <v>0</v>
      </c>
      <c r="E280" s="70" t="s">
        <v>19</v>
      </c>
      <c r="F280" s="67" t="s">
        <v>1643</v>
      </c>
      <c r="G280" s="71">
        <v>39569</v>
      </c>
      <c r="H280" s="119"/>
      <c r="I280" s="133">
        <v>4006107.51</v>
      </c>
      <c r="J280" s="134">
        <v>572706.31999999995</v>
      </c>
      <c r="K280" s="128"/>
      <c r="L280" s="74">
        <v>8.9499999999999996E-2</v>
      </c>
      <c r="M280" s="75">
        <v>157230</v>
      </c>
      <c r="N280" s="76">
        <v>13</v>
      </c>
      <c r="O280" s="76"/>
      <c r="P280" s="76"/>
      <c r="Q280" s="76"/>
      <c r="R280" s="67" t="s">
        <v>1600</v>
      </c>
      <c r="S280" s="68">
        <v>891680010</v>
      </c>
      <c r="T280" s="77"/>
      <c r="U280" s="78"/>
      <c r="V280" s="79">
        <v>250000</v>
      </c>
      <c r="W280" s="80">
        <v>1082028</v>
      </c>
    </row>
    <row r="281" spans="1:23" ht="15.6" x14ac:dyDescent="0.3">
      <c r="A281" s="158" t="s">
        <v>1294</v>
      </c>
      <c r="B281" s="69">
        <v>11786211</v>
      </c>
      <c r="C281" s="69" t="s">
        <v>1295</v>
      </c>
      <c r="D281" s="69">
        <v>0</v>
      </c>
      <c r="E281" s="70" t="s">
        <v>19</v>
      </c>
      <c r="F281" s="67" t="s">
        <v>1643</v>
      </c>
      <c r="G281" s="71">
        <v>39569</v>
      </c>
      <c r="H281" s="119"/>
      <c r="I281" s="133">
        <v>4006107.51</v>
      </c>
      <c r="J281" s="134">
        <v>572706.31999999995</v>
      </c>
      <c r="K281" s="125"/>
      <c r="L281" s="74">
        <v>8.9499999999999996E-2</v>
      </c>
      <c r="M281" s="75">
        <v>70087</v>
      </c>
      <c r="N281" s="76">
        <v>13</v>
      </c>
      <c r="O281" s="76"/>
      <c r="P281" s="76"/>
      <c r="Q281" s="76"/>
      <c r="R281" s="67" t="s">
        <v>1601</v>
      </c>
      <c r="S281" s="68">
        <v>891680011</v>
      </c>
      <c r="T281" s="77"/>
      <c r="U281" s="78"/>
      <c r="V281" s="79">
        <v>250000</v>
      </c>
      <c r="W281" s="80">
        <v>1082028</v>
      </c>
    </row>
    <row r="282" spans="1:23" ht="16.2" thickBot="1" x14ac:dyDescent="0.35">
      <c r="A282" s="158" t="s">
        <v>1305</v>
      </c>
      <c r="B282" s="69">
        <v>12529678</v>
      </c>
      <c r="C282" s="69" t="s">
        <v>1306</v>
      </c>
      <c r="D282" s="69">
        <v>0</v>
      </c>
      <c r="E282" s="70" t="s">
        <v>19</v>
      </c>
      <c r="F282" s="67" t="s">
        <v>1643</v>
      </c>
      <c r="G282" s="71">
        <v>39448</v>
      </c>
      <c r="H282" s="119"/>
      <c r="I282" s="133">
        <v>12939550.460000001</v>
      </c>
      <c r="J282" s="134">
        <v>1849816.14</v>
      </c>
      <c r="K282" s="128"/>
      <c r="L282" s="74">
        <v>0.22589999999999999</v>
      </c>
      <c r="M282" s="75">
        <v>401642</v>
      </c>
      <c r="N282" s="76">
        <v>13</v>
      </c>
      <c r="O282" s="76">
        <v>0</v>
      </c>
      <c r="P282" s="83">
        <v>619512</v>
      </c>
      <c r="Q282" s="83">
        <v>2134505</v>
      </c>
      <c r="R282" s="67" t="s">
        <v>1603</v>
      </c>
      <c r="S282" s="68">
        <v>891780009</v>
      </c>
      <c r="T282" s="77"/>
      <c r="U282" s="78"/>
      <c r="V282" s="79">
        <v>250000</v>
      </c>
      <c r="W282" s="80">
        <v>1384656</v>
      </c>
    </row>
    <row r="283" spans="1:23" ht="15.6" x14ac:dyDescent="0.3">
      <c r="A283" s="158" t="s">
        <v>1309</v>
      </c>
      <c r="B283" s="69">
        <v>1181516</v>
      </c>
      <c r="C283" s="69" t="s">
        <v>1310</v>
      </c>
      <c r="D283" s="69">
        <v>0</v>
      </c>
      <c r="E283" s="70" t="s">
        <v>1119</v>
      </c>
      <c r="F283" s="67" t="s">
        <v>1643</v>
      </c>
      <c r="G283" s="71">
        <v>30621</v>
      </c>
      <c r="H283" s="119">
        <v>39447</v>
      </c>
      <c r="I283" s="133">
        <v>1329597.26</v>
      </c>
      <c r="J283" s="134">
        <v>190076.96</v>
      </c>
      <c r="K283" s="125"/>
      <c r="L283" s="74">
        <v>5.5399999999999998E-2</v>
      </c>
      <c r="M283" s="75">
        <v>20386</v>
      </c>
      <c r="N283" s="76">
        <v>14</v>
      </c>
      <c r="O283" s="76">
        <v>0</v>
      </c>
      <c r="P283" s="83">
        <v>20386</v>
      </c>
      <c r="Q283" s="76">
        <v>0</v>
      </c>
      <c r="R283" s="67" t="s">
        <v>1605</v>
      </c>
      <c r="S283" s="68">
        <v>891800498</v>
      </c>
      <c r="T283" s="77">
        <v>41377517</v>
      </c>
      <c r="U283" s="78" t="s">
        <v>1759</v>
      </c>
      <c r="V283" s="79">
        <v>250000</v>
      </c>
      <c r="W283" s="80">
        <v>580162</v>
      </c>
    </row>
    <row r="284" spans="1:23" ht="15.6" x14ac:dyDescent="0.3">
      <c r="A284" s="158" t="s">
        <v>1311</v>
      </c>
      <c r="B284" s="69">
        <v>1103096</v>
      </c>
      <c r="C284" s="69" t="s">
        <v>1312</v>
      </c>
      <c r="D284" s="69">
        <v>0</v>
      </c>
      <c r="E284" s="70" t="s">
        <v>1100</v>
      </c>
      <c r="F284" s="67" t="s">
        <v>1643</v>
      </c>
      <c r="G284" s="71">
        <v>29619</v>
      </c>
      <c r="H284" s="119">
        <v>39447</v>
      </c>
      <c r="I284" s="133">
        <v>2032249.06</v>
      </c>
      <c r="J284" s="134">
        <v>290526.87</v>
      </c>
      <c r="K284" s="125"/>
      <c r="L284" s="74">
        <v>3.2599999999999997E-2</v>
      </c>
      <c r="M284" s="75">
        <v>15532</v>
      </c>
      <c r="N284" s="76">
        <v>14</v>
      </c>
      <c r="O284" s="76">
        <v>0</v>
      </c>
      <c r="P284" s="83">
        <v>26410</v>
      </c>
      <c r="Q284" s="83">
        <v>17862</v>
      </c>
      <c r="R284" s="67" t="s">
        <v>1605</v>
      </c>
      <c r="S284" s="68">
        <v>891800498</v>
      </c>
      <c r="T284" s="77">
        <v>41330091</v>
      </c>
      <c r="U284" s="78" t="s">
        <v>1760</v>
      </c>
      <c r="V284" s="79">
        <v>250000</v>
      </c>
      <c r="W284" s="80">
        <v>1506948</v>
      </c>
    </row>
    <row r="285" spans="1:23" ht="16.2" thickBot="1" x14ac:dyDescent="0.35">
      <c r="A285" s="158" t="s">
        <v>1313</v>
      </c>
      <c r="B285" s="147">
        <v>169670</v>
      </c>
      <c r="C285" s="69" t="s">
        <v>1314</v>
      </c>
      <c r="D285" s="69">
        <v>0</v>
      </c>
      <c r="E285" s="91" t="s">
        <v>1100</v>
      </c>
      <c r="F285" s="67" t="s">
        <v>1643</v>
      </c>
      <c r="G285" s="71">
        <v>34716</v>
      </c>
      <c r="H285" s="119">
        <v>39447</v>
      </c>
      <c r="I285" s="133">
        <v>67162717.269999996</v>
      </c>
      <c r="J285" s="134">
        <v>9601467.9100000001</v>
      </c>
      <c r="K285" s="125"/>
      <c r="L285" s="74">
        <v>0.73760000000000003</v>
      </c>
      <c r="M285" s="100">
        <v>594432</v>
      </c>
      <c r="N285" s="76">
        <v>14</v>
      </c>
      <c r="O285" s="76">
        <v>0</v>
      </c>
      <c r="P285" s="83">
        <v>554659</v>
      </c>
      <c r="Q285" s="76">
        <v>0</v>
      </c>
      <c r="R285" s="67" t="s">
        <v>1605</v>
      </c>
      <c r="S285" s="68">
        <v>891800498</v>
      </c>
      <c r="T285" s="77">
        <v>41552535</v>
      </c>
      <c r="U285" s="78" t="s">
        <v>1761</v>
      </c>
      <c r="V285" s="79">
        <v>250000</v>
      </c>
      <c r="W285" s="80">
        <v>2201133</v>
      </c>
    </row>
    <row r="286" spans="1:23" ht="15.6" x14ac:dyDescent="0.3">
      <c r="A286" s="158" t="s">
        <v>1870</v>
      </c>
      <c r="B286" s="148">
        <v>23853897</v>
      </c>
      <c r="C286" s="69" t="s">
        <v>1316</v>
      </c>
      <c r="D286" s="69">
        <v>0</v>
      </c>
      <c r="E286" s="95" t="s">
        <v>1128</v>
      </c>
      <c r="F286" s="67" t="s">
        <v>1643</v>
      </c>
      <c r="G286" s="71">
        <v>35431</v>
      </c>
      <c r="H286" s="121"/>
      <c r="I286" s="133">
        <v>6353570.3399999999</v>
      </c>
      <c r="J286" s="134">
        <v>908295.62</v>
      </c>
      <c r="K286" s="125"/>
      <c r="L286" s="74">
        <v>0.13830000000000001</v>
      </c>
      <c r="M286" s="96">
        <v>144224</v>
      </c>
      <c r="N286" s="76">
        <v>14</v>
      </c>
      <c r="O286" s="76">
        <v>0</v>
      </c>
      <c r="P286" s="83">
        <v>1042942</v>
      </c>
      <c r="Q286" s="76">
        <v>0</v>
      </c>
      <c r="R286" s="67" t="s">
        <v>1605</v>
      </c>
      <c r="S286" s="68">
        <v>891800498</v>
      </c>
      <c r="T286" s="77"/>
      <c r="U286" s="78"/>
      <c r="V286" s="79">
        <v>250000</v>
      </c>
      <c r="W286" s="80">
        <v>1110541</v>
      </c>
    </row>
    <row r="287" spans="1:23" ht="15.6" x14ac:dyDescent="0.3">
      <c r="A287" s="158" t="s">
        <v>1317</v>
      </c>
      <c r="B287" s="69">
        <v>6747639</v>
      </c>
      <c r="C287" s="69" t="s">
        <v>1318</v>
      </c>
      <c r="D287" s="69">
        <v>0</v>
      </c>
      <c r="E287" s="70" t="s">
        <v>1100</v>
      </c>
      <c r="F287" s="67" t="s">
        <v>1643</v>
      </c>
      <c r="G287" s="71">
        <v>37415</v>
      </c>
      <c r="H287" s="119">
        <v>39146</v>
      </c>
      <c r="I287" s="133">
        <v>8626614.6099999994</v>
      </c>
      <c r="J287" s="134">
        <v>1233246.1599999999</v>
      </c>
      <c r="K287" s="125"/>
      <c r="L287" s="74">
        <v>9.8000000000000004E-2</v>
      </c>
      <c r="M287" s="75">
        <v>298961</v>
      </c>
      <c r="N287" s="76">
        <v>14</v>
      </c>
      <c r="O287" s="76">
        <v>0</v>
      </c>
      <c r="P287" s="83">
        <v>2316766</v>
      </c>
      <c r="Q287" s="76">
        <v>0</v>
      </c>
      <c r="R287" s="67" t="s">
        <v>1605</v>
      </c>
      <c r="S287" s="68">
        <v>891800498</v>
      </c>
      <c r="T287" s="77"/>
      <c r="U287" s="78"/>
      <c r="V287" s="79">
        <v>250000</v>
      </c>
      <c r="W287" s="80">
        <v>2127910</v>
      </c>
    </row>
    <row r="288" spans="1:23" ht="15.6" x14ac:dyDescent="0.3">
      <c r="A288" s="158" t="s">
        <v>1319</v>
      </c>
      <c r="B288" s="69">
        <v>19055752</v>
      </c>
      <c r="C288" s="69" t="s">
        <v>1320</v>
      </c>
      <c r="D288" s="69">
        <v>0</v>
      </c>
      <c r="E288" s="70" t="s">
        <v>1119</v>
      </c>
      <c r="F288" s="67" t="s">
        <v>1643</v>
      </c>
      <c r="G288" s="71">
        <v>38808</v>
      </c>
      <c r="H288" s="119">
        <v>39447</v>
      </c>
      <c r="I288" s="133">
        <v>5857654.2199999997</v>
      </c>
      <c r="J288" s="134">
        <v>837400.29</v>
      </c>
      <c r="K288" s="125"/>
      <c r="L288" s="74">
        <v>0.13489999999999999</v>
      </c>
      <c r="M288" s="75">
        <v>343225</v>
      </c>
      <c r="N288" s="76">
        <v>14</v>
      </c>
      <c r="O288" s="76">
        <v>0</v>
      </c>
      <c r="P288" s="83">
        <v>2316766</v>
      </c>
      <c r="Q288" s="76">
        <v>0</v>
      </c>
      <c r="R288" s="67" t="s">
        <v>1605</v>
      </c>
      <c r="S288" s="68">
        <v>891800498</v>
      </c>
      <c r="T288" s="77"/>
      <c r="U288" s="78"/>
      <c r="V288" s="79">
        <v>250000</v>
      </c>
      <c r="W288" s="80">
        <v>1049665</v>
      </c>
    </row>
    <row r="289" spans="1:23" ht="15.6" x14ac:dyDescent="0.3">
      <c r="A289" s="158" t="s">
        <v>1321</v>
      </c>
      <c r="B289" s="69">
        <v>4095711</v>
      </c>
      <c r="C289" s="69" t="s">
        <v>1322</v>
      </c>
      <c r="D289" s="69">
        <v>0</v>
      </c>
      <c r="E289" s="70" t="s">
        <v>1128</v>
      </c>
      <c r="F289" s="67" t="s">
        <v>1643</v>
      </c>
      <c r="G289" s="71">
        <v>39022</v>
      </c>
      <c r="H289" s="119">
        <v>39447</v>
      </c>
      <c r="I289" s="133">
        <v>7164090.2800000003</v>
      </c>
      <c r="J289" s="134">
        <v>1024166.17</v>
      </c>
      <c r="K289" s="125"/>
      <c r="L289" s="74">
        <v>0.25040000000000001</v>
      </c>
      <c r="M289" s="75">
        <v>567720</v>
      </c>
      <c r="N289" s="76">
        <v>14</v>
      </c>
      <c r="O289" s="76"/>
      <c r="P289" s="83">
        <v>2217656</v>
      </c>
      <c r="Q289" s="76">
        <v>0</v>
      </c>
      <c r="R289" s="67" t="s">
        <v>1605</v>
      </c>
      <c r="S289" s="68">
        <v>891800498</v>
      </c>
      <c r="T289" s="77"/>
      <c r="U289" s="78"/>
      <c r="V289" s="79">
        <v>250000</v>
      </c>
      <c r="W289" s="80">
        <v>691617</v>
      </c>
    </row>
    <row r="290" spans="1:23" ht="15.6" x14ac:dyDescent="0.3">
      <c r="A290" s="158" t="s">
        <v>1325</v>
      </c>
      <c r="B290" s="69">
        <v>9512932</v>
      </c>
      <c r="C290" s="69" t="s">
        <v>1326</v>
      </c>
      <c r="D290" s="69">
        <v>0</v>
      </c>
      <c r="E290" s="70" t="s">
        <v>1128</v>
      </c>
      <c r="F290" s="67" t="s">
        <v>1643</v>
      </c>
      <c r="G290" s="71">
        <v>39415</v>
      </c>
      <c r="H290" s="119"/>
      <c r="I290" s="133">
        <v>2777090.8</v>
      </c>
      <c r="J290" s="134">
        <v>397008.18</v>
      </c>
      <c r="K290" s="125"/>
      <c r="L290" s="74">
        <v>0.11070000000000001</v>
      </c>
      <c r="M290" s="75">
        <v>190988</v>
      </c>
      <c r="N290" s="76">
        <v>14</v>
      </c>
      <c r="O290" s="76">
        <v>0</v>
      </c>
      <c r="P290" s="83">
        <v>1690159</v>
      </c>
      <c r="Q290" s="76">
        <v>0</v>
      </c>
      <c r="R290" s="67" t="s">
        <v>1605</v>
      </c>
      <c r="S290" s="68">
        <v>891800498</v>
      </c>
      <c r="T290" s="77"/>
      <c r="U290" s="78"/>
      <c r="V290" s="79">
        <v>250000</v>
      </c>
      <c r="W290" s="80">
        <v>606431</v>
      </c>
    </row>
    <row r="291" spans="1:23" ht="16.2" thickBot="1" x14ac:dyDescent="0.35">
      <c r="A291" s="158" t="s">
        <v>1327</v>
      </c>
      <c r="B291" s="69">
        <v>41562739</v>
      </c>
      <c r="C291" s="69" t="s">
        <v>1328</v>
      </c>
      <c r="D291" s="69">
        <v>0</v>
      </c>
      <c r="E291" s="70" t="s">
        <v>1128</v>
      </c>
      <c r="F291" s="67" t="s">
        <v>1643</v>
      </c>
      <c r="G291" s="71">
        <v>39554</v>
      </c>
      <c r="H291" s="119"/>
      <c r="I291" s="133">
        <v>1791858.78</v>
      </c>
      <c r="J291" s="134">
        <v>256161.09</v>
      </c>
      <c r="K291" s="128"/>
      <c r="L291" s="74">
        <v>6.13E-2</v>
      </c>
      <c r="M291" s="75">
        <v>103766</v>
      </c>
      <c r="N291" s="76">
        <v>13</v>
      </c>
      <c r="O291" s="76">
        <v>0</v>
      </c>
      <c r="P291" s="83">
        <v>2003360</v>
      </c>
      <c r="Q291" s="83">
        <v>2319507</v>
      </c>
      <c r="R291" s="67" t="s">
        <v>1605</v>
      </c>
      <c r="S291" s="68">
        <v>891800498</v>
      </c>
      <c r="T291" s="77"/>
      <c r="U291" s="78"/>
      <c r="V291" s="79">
        <v>250000</v>
      </c>
      <c r="W291" s="80">
        <v>706614</v>
      </c>
    </row>
    <row r="292" spans="1:23" ht="15.6" x14ac:dyDescent="0.3">
      <c r="A292" s="158" t="s">
        <v>1871</v>
      </c>
      <c r="B292" s="69">
        <v>20001841</v>
      </c>
      <c r="C292" s="69" t="s">
        <v>1334</v>
      </c>
      <c r="D292" s="69">
        <v>0</v>
      </c>
      <c r="E292" s="70" t="s">
        <v>722</v>
      </c>
      <c r="F292" s="67" t="s">
        <v>1643</v>
      </c>
      <c r="G292" s="71">
        <v>30437</v>
      </c>
      <c r="H292" s="119"/>
      <c r="I292" s="133">
        <v>25151554.25</v>
      </c>
      <c r="J292" s="134">
        <v>3595623.45</v>
      </c>
      <c r="K292" s="125"/>
      <c r="L292" s="74">
        <v>0.2954</v>
      </c>
      <c r="M292" s="85"/>
      <c r="N292" s="76">
        <v>14</v>
      </c>
      <c r="O292" s="76"/>
      <c r="P292" s="76"/>
      <c r="Q292" s="76"/>
      <c r="R292" s="67" t="s">
        <v>1606</v>
      </c>
      <c r="S292" s="68">
        <v>891800549</v>
      </c>
      <c r="T292" s="77"/>
      <c r="U292" s="78"/>
      <c r="V292" s="79">
        <v>250000</v>
      </c>
      <c r="W292" s="80">
        <v>2058227</v>
      </c>
    </row>
    <row r="293" spans="1:23" ht="15.6" x14ac:dyDescent="0.3">
      <c r="A293" s="158" t="s">
        <v>1325</v>
      </c>
      <c r="B293" s="148">
        <v>9512932</v>
      </c>
      <c r="C293" s="69" t="s">
        <v>1326</v>
      </c>
      <c r="D293" s="69">
        <v>0</v>
      </c>
      <c r="E293" s="95" t="s">
        <v>472</v>
      </c>
      <c r="F293" s="67" t="s">
        <v>1643</v>
      </c>
      <c r="G293" s="71">
        <v>39415</v>
      </c>
      <c r="H293" s="121">
        <v>45635</v>
      </c>
      <c r="I293" s="133">
        <v>2777090.8</v>
      </c>
      <c r="J293" s="134">
        <v>397008.18</v>
      </c>
      <c r="K293" s="125"/>
      <c r="L293" s="74">
        <v>0.11070000000000001</v>
      </c>
      <c r="M293" s="96">
        <v>62874</v>
      </c>
      <c r="N293" s="76">
        <v>14</v>
      </c>
      <c r="O293" s="76"/>
      <c r="P293" s="76"/>
      <c r="Q293" s="76"/>
      <c r="R293" s="67" t="s">
        <v>1608</v>
      </c>
      <c r="S293" s="68">
        <v>891855130</v>
      </c>
      <c r="T293" s="77"/>
      <c r="U293" s="78"/>
      <c r="V293" s="79">
        <v>250000</v>
      </c>
      <c r="W293" s="80">
        <v>606431</v>
      </c>
    </row>
    <row r="294" spans="1:23" ht="15.6" x14ac:dyDescent="0.3">
      <c r="A294" s="158" t="s">
        <v>1339</v>
      </c>
      <c r="B294" s="69">
        <v>29862865</v>
      </c>
      <c r="C294" s="69" t="s">
        <v>1340</v>
      </c>
      <c r="D294" s="69">
        <v>0</v>
      </c>
      <c r="E294" s="70" t="s">
        <v>472</v>
      </c>
      <c r="F294" s="67" t="s">
        <v>1643</v>
      </c>
      <c r="G294" s="71">
        <v>34516</v>
      </c>
      <c r="H294" s="119"/>
      <c r="I294" s="133">
        <v>6862762.0099999998</v>
      </c>
      <c r="J294" s="134">
        <v>981088.79</v>
      </c>
      <c r="K294" s="125"/>
      <c r="L294" s="74">
        <v>0.1116</v>
      </c>
      <c r="M294" s="75">
        <v>47471</v>
      </c>
      <c r="N294" s="76">
        <v>14</v>
      </c>
      <c r="O294" s="76"/>
      <c r="P294" s="76"/>
      <c r="Q294" s="76"/>
      <c r="R294" s="67" t="s">
        <v>1610</v>
      </c>
      <c r="S294" s="68">
        <v>891900272</v>
      </c>
      <c r="T294" s="77"/>
      <c r="U294" s="78"/>
      <c r="V294" s="79">
        <v>250000</v>
      </c>
      <c r="W294" s="80">
        <v>1486530</v>
      </c>
    </row>
    <row r="295" spans="1:23" ht="15.6" x14ac:dyDescent="0.3">
      <c r="A295" s="158" t="s">
        <v>1872</v>
      </c>
      <c r="B295" s="69">
        <v>6491022</v>
      </c>
      <c r="C295" s="69" t="s">
        <v>1343</v>
      </c>
      <c r="D295" s="69">
        <v>0</v>
      </c>
      <c r="E295" s="70" t="s">
        <v>472</v>
      </c>
      <c r="F295" s="67" t="s">
        <v>1643</v>
      </c>
      <c r="G295" s="71">
        <v>38534</v>
      </c>
      <c r="H295" s="119"/>
      <c r="I295" s="133">
        <v>10476191.93</v>
      </c>
      <c r="J295" s="134">
        <v>1497658.59</v>
      </c>
      <c r="K295" s="125"/>
      <c r="L295" s="74">
        <v>0.1071</v>
      </c>
      <c r="M295" s="75">
        <v>150483</v>
      </c>
      <c r="N295" s="76">
        <v>14</v>
      </c>
      <c r="O295" s="76"/>
      <c r="P295" s="76"/>
      <c r="Q295" s="76"/>
      <c r="R295" s="67" t="s">
        <v>1610</v>
      </c>
      <c r="S295" s="68">
        <v>891900272</v>
      </c>
      <c r="T295" s="77"/>
      <c r="U295" s="78"/>
      <c r="V295" s="79">
        <v>250000</v>
      </c>
      <c r="W295" s="80">
        <v>2364574</v>
      </c>
    </row>
    <row r="296" spans="1:23" ht="15.6" x14ac:dyDescent="0.3">
      <c r="A296" s="158" t="s">
        <v>1080</v>
      </c>
      <c r="B296" s="69">
        <v>24446657</v>
      </c>
      <c r="C296" s="69" t="s">
        <v>1081</v>
      </c>
      <c r="D296" s="69">
        <v>0</v>
      </c>
      <c r="E296" s="70" t="s">
        <v>19</v>
      </c>
      <c r="F296" s="67" t="s">
        <v>1643</v>
      </c>
      <c r="G296" s="71">
        <v>34351</v>
      </c>
      <c r="H296" s="119"/>
      <c r="I296" s="133">
        <v>3652479.41</v>
      </c>
      <c r="J296" s="134">
        <v>522152.25</v>
      </c>
      <c r="K296" s="125"/>
      <c r="L296" s="74">
        <v>0.1172</v>
      </c>
      <c r="M296" s="75">
        <v>17132</v>
      </c>
      <c r="N296" s="76">
        <v>14</v>
      </c>
      <c r="O296" s="76"/>
      <c r="P296" s="76"/>
      <c r="Q296" s="76"/>
      <c r="R296" s="67" t="s">
        <v>1612</v>
      </c>
      <c r="S296" s="68">
        <v>891900945</v>
      </c>
      <c r="T296" s="77"/>
      <c r="U296" s="78"/>
      <c r="V296" s="79">
        <v>250000</v>
      </c>
      <c r="W296" s="80">
        <v>753354</v>
      </c>
    </row>
    <row r="297" spans="1:23" ht="15.6" x14ac:dyDescent="0.3">
      <c r="A297" s="158" t="s">
        <v>1346</v>
      </c>
      <c r="B297" s="69">
        <v>492564</v>
      </c>
      <c r="C297" s="69" t="s">
        <v>1347</v>
      </c>
      <c r="D297" s="69">
        <v>0</v>
      </c>
      <c r="E297" s="70" t="s">
        <v>21</v>
      </c>
      <c r="F297" s="67" t="s">
        <v>1643</v>
      </c>
      <c r="G297" s="71">
        <v>31082</v>
      </c>
      <c r="H297" s="119"/>
      <c r="I297" s="133">
        <v>14187216.640000001</v>
      </c>
      <c r="J297" s="134">
        <v>2028180.38</v>
      </c>
      <c r="K297" s="125"/>
      <c r="L297" s="74">
        <v>9.01E-2</v>
      </c>
      <c r="M297" s="75">
        <v>6927</v>
      </c>
      <c r="N297" s="76">
        <v>14</v>
      </c>
      <c r="O297" s="76"/>
      <c r="P297" s="76"/>
      <c r="Q297" s="76"/>
      <c r="R297" s="67" t="s">
        <v>1614</v>
      </c>
      <c r="S297" s="68">
        <v>892000148</v>
      </c>
      <c r="T297" s="77">
        <v>21222714</v>
      </c>
      <c r="U297" s="78" t="s">
        <v>1762</v>
      </c>
      <c r="V297" s="79">
        <v>250000</v>
      </c>
      <c r="W297" s="80">
        <v>3806373</v>
      </c>
    </row>
    <row r="298" spans="1:23" ht="15.6" x14ac:dyDescent="0.3">
      <c r="A298" s="158" t="s">
        <v>1873</v>
      </c>
      <c r="B298" s="69">
        <v>21219656</v>
      </c>
      <c r="C298" s="69" t="s">
        <v>1349</v>
      </c>
      <c r="D298" s="69">
        <v>0</v>
      </c>
      <c r="E298" s="70" t="s">
        <v>21</v>
      </c>
      <c r="F298" s="67" t="s">
        <v>1643</v>
      </c>
      <c r="G298" s="71">
        <v>34700</v>
      </c>
      <c r="H298" s="119"/>
      <c r="I298" s="133">
        <v>6083120.1600000001</v>
      </c>
      <c r="J298" s="134">
        <v>869632.52</v>
      </c>
      <c r="K298" s="125"/>
      <c r="L298" s="74">
        <v>7.0099999999999996E-2</v>
      </c>
      <c r="M298" s="75">
        <v>134512</v>
      </c>
      <c r="N298" s="76">
        <v>14</v>
      </c>
      <c r="O298" s="76"/>
      <c r="P298" s="76"/>
      <c r="Q298" s="76"/>
      <c r="R298" s="67" t="s">
        <v>1614</v>
      </c>
      <c r="S298" s="68">
        <v>892000148</v>
      </c>
      <c r="T298" s="77"/>
      <c r="U298" s="78"/>
      <c r="V298" s="79">
        <v>250000</v>
      </c>
      <c r="W298" s="80">
        <v>2097719</v>
      </c>
    </row>
    <row r="299" spans="1:23" ht="15.6" x14ac:dyDescent="0.3">
      <c r="A299" s="158" t="s">
        <v>1350</v>
      </c>
      <c r="B299" s="69">
        <v>21219736</v>
      </c>
      <c r="C299" s="69" t="s">
        <v>1351</v>
      </c>
      <c r="D299" s="69">
        <v>0</v>
      </c>
      <c r="E299" s="70" t="s">
        <v>21</v>
      </c>
      <c r="F299" s="67" t="s">
        <v>1643</v>
      </c>
      <c r="G299" s="71">
        <v>34700</v>
      </c>
      <c r="H299" s="119"/>
      <c r="I299" s="133">
        <v>11404211.58</v>
      </c>
      <c r="J299" s="134">
        <v>1630326.7</v>
      </c>
      <c r="K299" s="125"/>
      <c r="L299" s="74">
        <v>7.6100000000000001E-2</v>
      </c>
      <c r="M299" s="75">
        <v>66885</v>
      </c>
      <c r="N299" s="76">
        <v>14</v>
      </c>
      <c r="O299" s="76"/>
      <c r="P299" s="76"/>
      <c r="Q299" s="76"/>
      <c r="R299" s="67" t="s">
        <v>1614</v>
      </c>
      <c r="S299" s="68">
        <v>892000148</v>
      </c>
      <c r="T299" s="77"/>
      <c r="U299" s="78"/>
      <c r="V299" s="79">
        <v>250000</v>
      </c>
      <c r="W299" s="80">
        <v>3622593</v>
      </c>
    </row>
    <row r="300" spans="1:23" ht="15.6" x14ac:dyDescent="0.3">
      <c r="A300" s="158" t="s">
        <v>1352</v>
      </c>
      <c r="B300" s="69">
        <v>41321695</v>
      </c>
      <c r="C300" s="69" t="s">
        <v>1353</v>
      </c>
      <c r="D300" s="69">
        <v>0</v>
      </c>
      <c r="E300" s="70" t="s">
        <v>21</v>
      </c>
      <c r="F300" s="67" t="s">
        <v>1643</v>
      </c>
      <c r="G300" s="71">
        <v>35063</v>
      </c>
      <c r="H300" s="119"/>
      <c r="I300" s="133">
        <v>4479882.07</v>
      </c>
      <c r="J300" s="134">
        <v>640436.32999999996</v>
      </c>
      <c r="K300" s="125"/>
      <c r="L300" s="74">
        <v>5.45E-2</v>
      </c>
      <c r="M300" s="75">
        <v>15424</v>
      </c>
      <c r="N300" s="76">
        <v>14</v>
      </c>
      <c r="O300" s="76"/>
      <c r="P300" s="76"/>
      <c r="Q300" s="76"/>
      <c r="R300" s="67" t="s">
        <v>1614</v>
      </c>
      <c r="S300" s="68">
        <v>892000148</v>
      </c>
      <c r="T300" s="77"/>
      <c r="U300" s="78"/>
      <c r="V300" s="79">
        <v>250000</v>
      </c>
      <c r="W300" s="80">
        <v>1987051</v>
      </c>
    </row>
    <row r="301" spans="1:23" ht="15.6" x14ac:dyDescent="0.3">
      <c r="A301" s="158" t="s">
        <v>1354</v>
      </c>
      <c r="B301" s="69">
        <v>3292067</v>
      </c>
      <c r="C301" s="69" t="s">
        <v>1355</v>
      </c>
      <c r="D301" s="69">
        <v>0</v>
      </c>
      <c r="E301" s="70" t="s">
        <v>21</v>
      </c>
      <c r="F301" s="67" t="s">
        <v>1643</v>
      </c>
      <c r="G301" s="71">
        <v>37104</v>
      </c>
      <c r="H301" s="119"/>
      <c r="I301" s="133">
        <v>15393075.869999999</v>
      </c>
      <c r="J301" s="134">
        <v>2200567.96</v>
      </c>
      <c r="K301" s="125"/>
      <c r="L301" s="74">
        <v>0.28210000000000002</v>
      </c>
      <c r="M301" s="75">
        <v>480088</v>
      </c>
      <c r="N301" s="76">
        <v>14</v>
      </c>
      <c r="O301" s="76"/>
      <c r="P301" s="76"/>
      <c r="Q301" s="76"/>
      <c r="R301" s="67" t="s">
        <v>1614</v>
      </c>
      <c r="S301" s="68">
        <v>892000148</v>
      </c>
      <c r="T301" s="77"/>
      <c r="U301" s="78"/>
      <c r="V301" s="79">
        <v>250000</v>
      </c>
      <c r="W301" s="80">
        <v>1319050</v>
      </c>
    </row>
    <row r="302" spans="1:23" ht="15.6" x14ac:dyDescent="0.3">
      <c r="A302" s="158" t="s">
        <v>1356</v>
      </c>
      <c r="B302" s="69">
        <v>17185988</v>
      </c>
      <c r="C302" s="69" t="s">
        <v>1357</v>
      </c>
      <c r="D302" s="69">
        <v>0</v>
      </c>
      <c r="E302" s="70" t="s">
        <v>472</v>
      </c>
      <c r="F302" s="67" t="s">
        <v>1643</v>
      </c>
      <c r="G302" s="71">
        <v>37347</v>
      </c>
      <c r="H302" s="119"/>
      <c r="I302" s="133">
        <v>965617.14</v>
      </c>
      <c r="J302" s="134">
        <v>138042.99</v>
      </c>
      <c r="K302" s="125"/>
      <c r="L302" s="74">
        <v>1.44E-2</v>
      </c>
      <c r="M302" s="75">
        <v>33776</v>
      </c>
      <c r="N302" s="76">
        <v>14</v>
      </c>
      <c r="O302" s="76"/>
      <c r="P302" s="76"/>
      <c r="Q302" s="76"/>
      <c r="R302" s="67" t="s">
        <v>1614</v>
      </c>
      <c r="S302" s="68">
        <v>892000148</v>
      </c>
      <c r="T302" s="77"/>
      <c r="U302" s="78"/>
      <c r="V302" s="79">
        <v>250000</v>
      </c>
      <c r="W302" s="80">
        <v>1620994</v>
      </c>
    </row>
    <row r="303" spans="1:23" ht="15.6" x14ac:dyDescent="0.3">
      <c r="A303" s="158" t="s">
        <v>1824</v>
      </c>
      <c r="B303" s="69">
        <v>3296533</v>
      </c>
      <c r="C303" s="69" t="s">
        <v>726</v>
      </c>
      <c r="D303" s="69">
        <v>0</v>
      </c>
      <c r="E303" s="70" t="s">
        <v>472</v>
      </c>
      <c r="F303" s="67" t="s">
        <v>1643</v>
      </c>
      <c r="G303" s="71">
        <v>38741</v>
      </c>
      <c r="H303" s="119"/>
      <c r="I303" s="133">
        <v>6665639.9100000001</v>
      </c>
      <c r="J303" s="134">
        <v>952908.55</v>
      </c>
      <c r="K303" s="125"/>
      <c r="L303" s="74">
        <v>0.1149</v>
      </c>
      <c r="M303" s="75">
        <v>237477</v>
      </c>
      <c r="N303" s="76">
        <v>14</v>
      </c>
      <c r="O303" s="76"/>
      <c r="P303" s="76"/>
      <c r="Q303" s="76"/>
      <c r="R303" s="67" t="s">
        <v>1614</v>
      </c>
      <c r="S303" s="68">
        <v>892000148</v>
      </c>
      <c r="T303" s="77"/>
      <c r="U303" s="78"/>
      <c r="V303" s="79">
        <v>250000</v>
      </c>
      <c r="W303" s="80">
        <v>1402364</v>
      </c>
    </row>
    <row r="304" spans="1:23" ht="15.6" x14ac:dyDescent="0.3">
      <c r="A304" s="158" t="s">
        <v>1874</v>
      </c>
      <c r="B304" s="69">
        <v>21227900</v>
      </c>
      <c r="C304" s="69" t="s">
        <v>1359</v>
      </c>
      <c r="D304" s="69">
        <v>0</v>
      </c>
      <c r="E304" s="70" t="s">
        <v>21</v>
      </c>
      <c r="F304" s="67" t="s">
        <v>1643</v>
      </c>
      <c r="G304" s="71">
        <v>38764</v>
      </c>
      <c r="H304" s="119"/>
      <c r="I304" s="133">
        <v>859979.73</v>
      </c>
      <c r="J304" s="134">
        <v>122941.24</v>
      </c>
      <c r="K304" s="125"/>
      <c r="L304" s="74">
        <v>7.1199999999999999E-2</v>
      </c>
      <c r="M304" s="75">
        <v>118298</v>
      </c>
      <c r="N304" s="76">
        <v>14</v>
      </c>
      <c r="O304" s="76"/>
      <c r="P304" s="76"/>
      <c r="Q304" s="76"/>
      <c r="R304" s="67" t="s">
        <v>1614</v>
      </c>
      <c r="S304" s="68">
        <v>892000148</v>
      </c>
      <c r="T304" s="77"/>
      <c r="U304" s="78"/>
      <c r="V304" s="79">
        <v>250000</v>
      </c>
      <c r="W304" s="80">
        <v>291976</v>
      </c>
    </row>
    <row r="305" spans="1:23" ht="15.6" x14ac:dyDescent="0.3">
      <c r="A305" s="158" t="s">
        <v>1362</v>
      </c>
      <c r="B305" s="69">
        <v>19128188</v>
      </c>
      <c r="C305" s="69" t="s">
        <v>1363</v>
      </c>
      <c r="D305" s="69">
        <v>0</v>
      </c>
      <c r="E305" s="70" t="s">
        <v>472</v>
      </c>
      <c r="F305" s="67" t="s">
        <v>1643</v>
      </c>
      <c r="G305" s="71">
        <v>39083</v>
      </c>
      <c r="H305" s="119"/>
      <c r="I305" s="133">
        <v>5219.97</v>
      </c>
      <c r="J305" s="134">
        <v>746.24</v>
      </c>
      <c r="K305" s="125"/>
      <c r="L305" s="74">
        <v>2.5899999999999999E-2</v>
      </c>
      <c r="M305" s="75">
        <v>40230</v>
      </c>
      <c r="N305" s="76">
        <v>13</v>
      </c>
      <c r="O305" s="76"/>
      <c r="P305" s="76"/>
      <c r="Q305" s="76"/>
      <c r="R305" s="67" t="s">
        <v>1614</v>
      </c>
      <c r="S305" s="68">
        <v>892000148</v>
      </c>
      <c r="T305" s="77"/>
      <c r="U305" s="78"/>
      <c r="V305" s="79">
        <v>250000</v>
      </c>
      <c r="W305" s="80">
        <v>4872</v>
      </c>
    </row>
    <row r="306" spans="1:23" ht="15.6" x14ac:dyDescent="0.3">
      <c r="A306" s="158" t="s">
        <v>1368</v>
      </c>
      <c r="B306" s="69">
        <v>21230182</v>
      </c>
      <c r="C306" s="69" t="s">
        <v>1369</v>
      </c>
      <c r="D306" s="69">
        <v>0</v>
      </c>
      <c r="E306" s="70" t="s">
        <v>19</v>
      </c>
      <c r="F306" s="67" t="s">
        <v>1643</v>
      </c>
      <c r="G306" s="71">
        <v>40134</v>
      </c>
      <c r="H306" s="119"/>
      <c r="I306" s="133">
        <v>213221.58</v>
      </c>
      <c r="J306" s="134">
        <v>30481.8</v>
      </c>
      <c r="K306" s="125"/>
      <c r="L306" s="74">
        <v>2.2800000000000001E-2</v>
      </c>
      <c r="M306" s="75">
        <v>31691</v>
      </c>
      <c r="N306" s="76">
        <v>13</v>
      </c>
      <c r="O306" s="76"/>
      <c r="P306" s="76"/>
      <c r="Q306" s="76"/>
      <c r="R306" s="67" t="s">
        <v>1614</v>
      </c>
      <c r="S306" s="68">
        <v>892000148</v>
      </c>
      <c r="T306" s="77"/>
      <c r="U306" s="78"/>
      <c r="V306" s="79">
        <v>250000</v>
      </c>
      <c r="W306" s="80">
        <v>226066</v>
      </c>
    </row>
    <row r="307" spans="1:23" ht="15.6" x14ac:dyDescent="0.3">
      <c r="A307" s="158" t="s">
        <v>1362</v>
      </c>
      <c r="B307" s="69">
        <v>19128188</v>
      </c>
      <c r="C307" s="69" t="s">
        <v>1363</v>
      </c>
      <c r="D307" s="69">
        <v>0</v>
      </c>
      <c r="E307" s="70" t="s">
        <v>472</v>
      </c>
      <c r="F307" s="67" t="s">
        <v>1643</v>
      </c>
      <c r="G307" s="71">
        <v>39083</v>
      </c>
      <c r="H307" s="119">
        <v>43606</v>
      </c>
      <c r="I307" s="133">
        <v>5219.97</v>
      </c>
      <c r="J307" s="134">
        <v>746.24</v>
      </c>
      <c r="K307" s="125"/>
      <c r="L307" s="74">
        <v>2.5899999999999999E-2</v>
      </c>
      <c r="M307" s="75">
        <v>63995</v>
      </c>
      <c r="N307" s="76">
        <v>13</v>
      </c>
      <c r="O307" s="76"/>
      <c r="P307" s="76"/>
      <c r="Q307" s="76"/>
      <c r="R307" s="67" t="s">
        <v>1615</v>
      </c>
      <c r="S307" s="68">
        <v>892000265</v>
      </c>
      <c r="T307" s="77"/>
      <c r="U307" s="78"/>
      <c r="V307" s="79">
        <v>250000</v>
      </c>
      <c r="W307" s="80">
        <v>4872</v>
      </c>
    </row>
    <row r="308" spans="1:23" ht="15.6" x14ac:dyDescent="0.3">
      <c r="A308" s="158" t="s">
        <v>1376</v>
      </c>
      <c r="B308" s="69">
        <v>1753208</v>
      </c>
      <c r="C308" s="69" t="s">
        <v>523</v>
      </c>
      <c r="D308" s="69">
        <v>0</v>
      </c>
      <c r="E308" s="70" t="s">
        <v>19</v>
      </c>
      <c r="F308" s="67" t="s">
        <v>1643</v>
      </c>
      <c r="G308" s="71">
        <v>27576</v>
      </c>
      <c r="H308" s="119"/>
      <c r="I308" s="133">
        <v>12201934.68</v>
      </c>
      <c r="J308" s="134">
        <v>1744367.84</v>
      </c>
      <c r="K308" s="125"/>
      <c r="L308" s="74">
        <v>0.24360000000000001</v>
      </c>
      <c r="M308" s="85">
        <v>825</v>
      </c>
      <c r="N308" s="76">
        <v>14</v>
      </c>
      <c r="O308" s="76"/>
      <c r="P308" s="76"/>
      <c r="Q308" s="76"/>
      <c r="R308" s="67" t="s">
        <v>1619</v>
      </c>
      <c r="S308" s="68">
        <v>892115007</v>
      </c>
      <c r="T308" s="77">
        <v>32674991</v>
      </c>
      <c r="U308" s="78" t="s">
        <v>1658</v>
      </c>
      <c r="V308" s="79">
        <v>250000</v>
      </c>
      <c r="W308" s="80">
        <v>1210850</v>
      </c>
    </row>
    <row r="309" spans="1:23" ht="15.6" x14ac:dyDescent="0.3">
      <c r="A309" s="158" t="s">
        <v>700</v>
      </c>
      <c r="B309" s="148">
        <v>26938972</v>
      </c>
      <c r="C309" s="69" t="s">
        <v>701</v>
      </c>
      <c r="D309" s="69">
        <v>0</v>
      </c>
      <c r="E309" s="95" t="s">
        <v>19</v>
      </c>
      <c r="F309" s="67" t="s">
        <v>1643</v>
      </c>
      <c r="G309" s="71">
        <v>34703</v>
      </c>
      <c r="H309" s="121">
        <v>42004</v>
      </c>
      <c r="I309" s="133">
        <v>5326545.1399999997</v>
      </c>
      <c r="J309" s="134">
        <v>761473.84</v>
      </c>
      <c r="K309" s="125"/>
      <c r="L309" s="74">
        <v>0.121</v>
      </c>
      <c r="M309" s="96">
        <v>16199</v>
      </c>
      <c r="N309" s="76">
        <v>14</v>
      </c>
      <c r="O309" s="76">
        <v>0</v>
      </c>
      <c r="P309" s="83">
        <v>389780</v>
      </c>
      <c r="Q309" s="83">
        <v>956608</v>
      </c>
      <c r="R309" s="67" t="s">
        <v>1620</v>
      </c>
      <c r="S309" s="68">
        <v>892115015</v>
      </c>
      <c r="T309" s="77"/>
      <c r="U309" s="78"/>
      <c r="V309" s="79">
        <v>250000</v>
      </c>
      <c r="W309" s="80">
        <v>1064141</v>
      </c>
    </row>
    <row r="310" spans="1:23" ht="15.6" x14ac:dyDescent="0.3">
      <c r="A310" s="158" t="s">
        <v>1875</v>
      </c>
      <c r="B310" s="69">
        <v>17800841</v>
      </c>
      <c r="C310" s="69" t="s">
        <v>1378</v>
      </c>
      <c r="D310" s="69">
        <v>0</v>
      </c>
      <c r="E310" s="70" t="s">
        <v>19</v>
      </c>
      <c r="F310" s="67" t="s">
        <v>1643</v>
      </c>
      <c r="G310" s="71">
        <v>37561</v>
      </c>
      <c r="H310" s="121">
        <v>42004</v>
      </c>
      <c r="I310" s="133">
        <v>20541899.609999999</v>
      </c>
      <c r="J310" s="134">
        <v>2936635.05</v>
      </c>
      <c r="K310" s="125"/>
      <c r="L310" s="74">
        <v>0.4047</v>
      </c>
      <c r="M310" s="75">
        <v>282663</v>
      </c>
      <c r="N310" s="76">
        <v>14</v>
      </c>
      <c r="O310" s="76">
        <v>0</v>
      </c>
      <c r="P310" s="83">
        <v>769034</v>
      </c>
      <c r="Q310" s="83">
        <v>1288888</v>
      </c>
      <c r="R310" s="67" t="s">
        <v>1620</v>
      </c>
      <c r="S310" s="68">
        <v>892115015</v>
      </c>
      <c r="T310" s="77">
        <v>20619118</v>
      </c>
      <c r="U310" s="78" t="s">
        <v>1764</v>
      </c>
      <c r="V310" s="79">
        <v>250000</v>
      </c>
      <c r="W310" s="80">
        <v>1227005</v>
      </c>
    </row>
    <row r="311" spans="1:23" ht="15.6" x14ac:dyDescent="0.3">
      <c r="A311" s="158" t="s">
        <v>912</v>
      </c>
      <c r="B311" s="69">
        <v>38972862</v>
      </c>
      <c r="C311" s="69" t="s">
        <v>913</v>
      </c>
      <c r="D311" s="69">
        <v>0</v>
      </c>
      <c r="E311" s="70" t="s">
        <v>19</v>
      </c>
      <c r="F311" s="67" t="s">
        <v>1643</v>
      </c>
      <c r="G311" s="71">
        <v>34700</v>
      </c>
      <c r="H311" s="119"/>
      <c r="I311" s="133">
        <v>2075178.26</v>
      </c>
      <c r="J311" s="134">
        <v>296663.96000000002</v>
      </c>
      <c r="K311" s="125"/>
      <c r="L311" s="74">
        <v>2.6100000000000002E-2</v>
      </c>
      <c r="M311" s="75">
        <v>3160</v>
      </c>
      <c r="N311" s="76">
        <v>14</v>
      </c>
      <c r="O311" s="76"/>
      <c r="P311" s="76"/>
      <c r="Q311" s="76"/>
      <c r="R311" s="67" t="s">
        <v>1621</v>
      </c>
      <c r="S311" s="68">
        <v>892280021</v>
      </c>
      <c r="T311" s="77"/>
      <c r="U311" s="78"/>
      <c r="V311" s="79">
        <v>250000</v>
      </c>
      <c r="W311" s="80">
        <v>1922002</v>
      </c>
    </row>
    <row r="312" spans="1:23" ht="15.6" x14ac:dyDescent="0.3">
      <c r="A312" s="158" t="s">
        <v>912</v>
      </c>
      <c r="B312" s="69">
        <v>38972862</v>
      </c>
      <c r="C312" s="69" t="s">
        <v>913</v>
      </c>
      <c r="D312" s="69">
        <v>0</v>
      </c>
      <c r="E312" s="70" t="s">
        <v>19</v>
      </c>
      <c r="F312" s="67" t="s">
        <v>1643</v>
      </c>
      <c r="G312" s="71">
        <v>34700</v>
      </c>
      <c r="H312" s="121">
        <v>41639</v>
      </c>
      <c r="I312" s="133">
        <v>2075178.26</v>
      </c>
      <c r="J312" s="134">
        <v>296663.96000000002</v>
      </c>
      <c r="K312" s="125"/>
      <c r="L312" s="74">
        <v>2.6100000000000002E-2</v>
      </c>
      <c r="M312" s="75">
        <v>28792</v>
      </c>
      <c r="N312" s="76">
        <v>14</v>
      </c>
      <c r="O312" s="76">
        <v>0</v>
      </c>
      <c r="P312" s="83">
        <v>404370</v>
      </c>
      <c r="Q312" s="76">
        <v>0</v>
      </c>
      <c r="R312" s="67" t="s">
        <v>1622</v>
      </c>
      <c r="S312" s="68">
        <v>892399999</v>
      </c>
      <c r="T312" s="77"/>
      <c r="U312" s="78"/>
      <c r="V312" s="79">
        <v>250000</v>
      </c>
      <c r="W312" s="80">
        <v>1922002</v>
      </c>
    </row>
    <row r="313" spans="1:23" ht="15.6" x14ac:dyDescent="0.3">
      <c r="A313" s="158" t="s">
        <v>912</v>
      </c>
      <c r="B313" s="69">
        <v>38972862</v>
      </c>
      <c r="C313" s="69" t="s">
        <v>913</v>
      </c>
      <c r="D313" s="69">
        <v>0</v>
      </c>
      <c r="E313" s="70" t="s">
        <v>19</v>
      </c>
      <c r="F313" s="67" t="s">
        <v>1643</v>
      </c>
      <c r="G313" s="71">
        <v>34700</v>
      </c>
      <c r="H313" s="119"/>
      <c r="I313" s="133">
        <v>2075178.26</v>
      </c>
      <c r="J313" s="134">
        <v>296663.96000000002</v>
      </c>
      <c r="K313" s="125"/>
      <c r="L313" s="74">
        <v>2.6100000000000002E-2</v>
      </c>
      <c r="M313" s="75">
        <v>16642</v>
      </c>
      <c r="N313" s="76">
        <v>14</v>
      </c>
      <c r="O313" s="76"/>
      <c r="P313" s="76"/>
      <c r="Q313" s="76"/>
      <c r="R313" s="67" t="s">
        <v>1624</v>
      </c>
      <c r="S313" s="68">
        <v>892399994</v>
      </c>
      <c r="T313" s="77"/>
      <c r="U313" s="78"/>
      <c r="V313" s="79">
        <v>250000</v>
      </c>
      <c r="W313" s="80">
        <v>1922002</v>
      </c>
    </row>
    <row r="314" spans="1:23" ht="15.6" x14ac:dyDescent="0.3">
      <c r="A314" s="158" t="s">
        <v>700</v>
      </c>
      <c r="B314" s="69">
        <v>26938972</v>
      </c>
      <c r="C314" s="69" t="s">
        <v>701</v>
      </c>
      <c r="D314" s="69">
        <v>0</v>
      </c>
      <c r="E314" s="70" t="s">
        <v>19</v>
      </c>
      <c r="F314" s="67" t="s">
        <v>1643</v>
      </c>
      <c r="G314" s="71">
        <v>34703</v>
      </c>
      <c r="H314" s="121">
        <v>40543</v>
      </c>
      <c r="I314" s="133">
        <v>5326545.1399999997</v>
      </c>
      <c r="J314" s="134">
        <v>761473.84</v>
      </c>
      <c r="K314" s="125"/>
      <c r="L314" s="74">
        <v>0.121</v>
      </c>
      <c r="M314" s="75">
        <v>44376</v>
      </c>
      <c r="N314" s="76">
        <v>14</v>
      </c>
      <c r="O314" s="76">
        <v>0</v>
      </c>
      <c r="P314" s="83">
        <v>449462</v>
      </c>
      <c r="Q314" s="76">
        <v>0</v>
      </c>
      <c r="R314" s="67" t="s">
        <v>1622</v>
      </c>
      <c r="S314" s="68">
        <v>892399999</v>
      </c>
      <c r="T314" s="77"/>
      <c r="U314" s="78"/>
      <c r="V314" s="79">
        <v>250000</v>
      </c>
      <c r="W314" s="80">
        <v>1064141</v>
      </c>
    </row>
    <row r="315" spans="1:23" ht="15.6" x14ac:dyDescent="0.3">
      <c r="A315" s="158" t="s">
        <v>1798</v>
      </c>
      <c r="B315" s="69">
        <v>9129659</v>
      </c>
      <c r="C315" s="69" t="s">
        <v>1384</v>
      </c>
      <c r="D315" s="69">
        <v>0</v>
      </c>
      <c r="E315" s="70" t="s">
        <v>592</v>
      </c>
      <c r="F315" s="67" t="s">
        <v>1643</v>
      </c>
      <c r="G315" s="71">
        <v>38796</v>
      </c>
      <c r="H315" s="121">
        <v>40543</v>
      </c>
      <c r="I315" s="133">
        <v>11287877.970000001</v>
      </c>
      <c r="J315" s="134">
        <v>1613695.85</v>
      </c>
      <c r="K315" s="125"/>
      <c r="L315" s="74">
        <v>0.28920000000000001</v>
      </c>
      <c r="M315" s="75">
        <v>427894</v>
      </c>
      <c r="N315" s="76">
        <v>14</v>
      </c>
      <c r="O315" s="76">
        <v>0</v>
      </c>
      <c r="P315" s="83">
        <v>1321886</v>
      </c>
      <c r="Q315" s="76"/>
      <c r="R315" s="67" t="s">
        <v>1622</v>
      </c>
      <c r="S315" s="68">
        <v>892399999</v>
      </c>
      <c r="T315" s="77">
        <v>36527388</v>
      </c>
      <c r="U315" s="78" t="s">
        <v>1766</v>
      </c>
      <c r="V315" s="79">
        <v>250000</v>
      </c>
      <c r="W315" s="80">
        <v>943524</v>
      </c>
    </row>
    <row r="316" spans="1:23" ht="15.6" x14ac:dyDescent="0.3">
      <c r="A316" s="158" t="s">
        <v>961</v>
      </c>
      <c r="B316" s="69">
        <v>2419662</v>
      </c>
      <c r="C316" s="69" t="s">
        <v>962</v>
      </c>
      <c r="D316" s="69">
        <v>0</v>
      </c>
      <c r="E316" s="70" t="s">
        <v>21</v>
      </c>
      <c r="F316" s="67" t="s">
        <v>1643</v>
      </c>
      <c r="G316" s="71">
        <v>26846</v>
      </c>
      <c r="H316" s="119">
        <v>44196</v>
      </c>
      <c r="I316" s="133">
        <v>28062460.460000001</v>
      </c>
      <c r="J316" s="134">
        <v>4011761.65</v>
      </c>
      <c r="K316" s="125"/>
      <c r="L316" s="74">
        <v>0.25140000000000001</v>
      </c>
      <c r="M316" s="75">
        <v>1270</v>
      </c>
      <c r="N316" s="76">
        <v>14</v>
      </c>
      <c r="O316" s="76">
        <v>0</v>
      </c>
      <c r="P316" s="83">
        <v>5052</v>
      </c>
      <c r="Q316" s="76">
        <v>0</v>
      </c>
      <c r="R316" s="67" t="s">
        <v>1626</v>
      </c>
      <c r="S316" s="68">
        <v>899999072</v>
      </c>
      <c r="T316" s="77">
        <v>29071625</v>
      </c>
      <c r="U316" s="78" t="s">
        <v>1712</v>
      </c>
      <c r="V316" s="79">
        <v>250000</v>
      </c>
      <c r="W316" s="80">
        <v>2698357</v>
      </c>
    </row>
    <row r="317" spans="1:23" ht="15.6" x14ac:dyDescent="0.3">
      <c r="A317" s="158" t="s">
        <v>1194</v>
      </c>
      <c r="B317" s="69">
        <v>21264648</v>
      </c>
      <c r="C317" s="69" t="s">
        <v>1195</v>
      </c>
      <c r="D317" s="69">
        <v>0</v>
      </c>
      <c r="E317" s="70" t="s">
        <v>19</v>
      </c>
      <c r="F317" s="67" t="s">
        <v>1643</v>
      </c>
      <c r="G317" s="71">
        <v>30864</v>
      </c>
      <c r="H317" s="119">
        <v>44561</v>
      </c>
      <c r="I317" s="133">
        <v>18281351.699999999</v>
      </c>
      <c r="J317" s="134">
        <v>2613470.9700000002</v>
      </c>
      <c r="K317" s="125"/>
      <c r="L317" s="74">
        <v>0.26540000000000002</v>
      </c>
      <c r="M317" s="75">
        <v>12513</v>
      </c>
      <c r="N317" s="76">
        <v>14</v>
      </c>
      <c r="O317" s="76">
        <v>0</v>
      </c>
      <c r="P317" s="83">
        <v>27640</v>
      </c>
      <c r="Q317" s="83">
        <v>19505</v>
      </c>
      <c r="R317" s="67" t="s">
        <v>1626</v>
      </c>
      <c r="S317" s="68">
        <v>899999072</v>
      </c>
      <c r="T317" s="77">
        <v>3335726</v>
      </c>
      <c r="U317" s="78" t="s">
        <v>1792</v>
      </c>
      <c r="V317" s="79">
        <v>250000</v>
      </c>
      <c r="W317" s="80">
        <v>1665123</v>
      </c>
    </row>
    <row r="318" spans="1:23" ht="15.6" x14ac:dyDescent="0.3">
      <c r="A318" s="158" t="s">
        <v>1799</v>
      </c>
      <c r="B318" s="69">
        <v>20333921</v>
      </c>
      <c r="C318" s="69" t="s">
        <v>1390</v>
      </c>
      <c r="D318" s="69">
        <v>0</v>
      </c>
      <c r="E318" s="70" t="s">
        <v>21</v>
      </c>
      <c r="F318" s="67" t="s">
        <v>1643</v>
      </c>
      <c r="G318" s="71">
        <v>34335</v>
      </c>
      <c r="H318" s="119">
        <v>44561</v>
      </c>
      <c r="I318" s="135">
        <v>2409818.5499999998</v>
      </c>
      <c r="J318" s="134">
        <v>344503.57</v>
      </c>
      <c r="K318" s="125"/>
      <c r="L318" s="74">
        <v>5.4600000000000003E-2</v>
      </c>
      <c r="M318" s="75">
        <v>30201</v>
      </c>
      <c r="N318" s="76">
        <v>14</v>
      </c>
      <c r="O318" s="76">
        <v>0</v>
      </c>
      <c r="P318" s="83">
        <v>160582</v>
      </c>
      <c r="Q318" s="83">
        <v>819529</v>
      </c>
      <c r="R318" s="67" t="s">
        <v>1626</v>
      </c>
      <c r="S318" s="68">
        <v>899999072</v>
      </c>
      <c r="T318" s="77"/>
      <c r="U318" s="78"/>
      <c r="V318" s="79">
        <v>250000</v>
      </c>
      <c r="W318" s="80">
        <v>1066917</v>
      </c>
    </row>
    <row r="319" spans="1:23" ht="15.6" x14ac:dyDescent="0.3">
      <c r="A319" s="158" t="s">
        <v>1391</v>
      </c>
      <c r="B319" s="69">
        <v>41400678</v>
      </c>
      <c r="C319" s="69" t="s">
        <v>1392</v>
      </c>
      <c r="D319" s="69">
        <v>0</v>
      </c>
      <c r="E319" s="70" t="s">
        <v>21</v>
      </c>
      <c r="F319" s="67" t="s">
        <v>1643</v>
      </c>
      <c r="G319" s="71">
        <v>34700</v>
      </c>
      <c r="H319" s="119">
        <v>44561</v>
      </c>
      <c r="I319" s="133">
        <v>1204254.1000000001</v>
      </c>
      <c r="J319" s="134">
        <v>172158.12</v>
      </c>
      <c r="K319" s="125"/>
      <c r="L319" s="74">
        <v>7.7899999999999997E-2</v>
      </c>
      <c r="M319" s="75">
        <v>31981</v>
      </c>
      <c r="N319" s="76">
        <v>14</v>
      </c>
      <c r="O319" s="76">
        <v>0</v>
      </c>
      <c r="P319" s="83">
        <v>93950</v>
      </c>
      <c r="Q319" s="83">
        <v>910768</v>
      </c>
      <c r="R319" s="67" t="s">
        <v>1626</v>
      </c>
      <c r="S319" s="68">
        <v>899999072</v>
      </c>
      <c r="T319" s="77"/>
      <c r="U319" s="78"/>
      <c r="V319" s="79">
        <v>250000</v>
      </c>
      <c r="W319" s="80">
        <v>373697</v>
      </c>
    </row>
    <row r="320" spans="1:23" ht="15.6" x14ac:dyDescent="0.3">
      <c r="A320" s="158" t="s">
        <v>1800</v>
      </c>
      <c r="B320" s="69">
        <v>467493</v>
      </c>
      <c r="C320" s="69" t="s">
        <v>1398</v>
      </c>
      <c r="D320" s="69">
        <v>0</v>
      </c>
      <c r="E320" s="70" t="s">
        <v>21</v>
      </c>
      <c r="F320" s="67" t="s">
        <v>1643</v>
      </c>
      <c r="G320" s="71">
        <v>27883</v>
      </c>
      <c r="H320" s="119">
        <v>44196</v>
      </c>
      <c r="I320" s="133">
        <v>126620414.26000001</v>
      </c>
      <c r="J320" s="134">
        <v>18101439.210000001</v>
      </c>
      <c r="K320" s="125"/>
      <c r="L320" s="74">
        <v>0.53349999999999997</v>
      </c>
      <c r="M320" s="75">
        <v>12544</v>
      </c>
      <c r="N320" s="76">
        <v>14</v>
      </c>
      <c r="O320" s="76">
        <v>0</v>
      </c>
      <c r="P320" s="83">
        <v>48698</v>
      </c>
      <c r="Q320" s="83">
        <v>37653</v>
      </c>
      <c r="R320" s="67" t="s">
        <v>1628</v>
      </c>
      <c r="S320" s="68">
        <v>899999114</v>
      </c>
      <c r="T320" s="77">
        <v>20150950</v>
      </c>
      <c r="U320" s="78" t="s">
        <v>1768</v>
      </c>
      <c r="V320" s="79">
        <v>250000</v>
      </c>
      <c r="W320" s="80">
        <v>5737309</v>
      </c>
    </row>
    <row r="321" spans="1:23" ht="15.6" x14ac:dyDescent="0.3">
      <c r="A321" s="158" t="s">
        <v>674</v>
      </c>
      <c r="B321" s="69">
        <v>48463</v>
      </c>
      <c r="C321" s="69" t="s">
        <v>675</v>
      </c>
      <c r="D321" s="69">
        <v>0</v>
      </c>
      <c r="E321" s="70" t="s">
        <v>21</v>
      </c>
      <c r="F321" s="67" t="s">
        <v>1643</v>
      </c>
      <c r="G321" s="71">
        <v>28682</v>
      </c>
      <c r="H321" s="119">
        <v>44196</v>
      </c>
      <c r="I321" s="133">
        <v>6527079.5199999996</v>
      </c>
      <c r="J321" s="134">
        <v>933100.19</v>
      </c>
      <c r="K321" s="125"/>
      <c r="L321" s="74">
        <v>0.1135</v>
      </c>
      <c r="M321" s="75">
        <v>1153</v>
      </c>
      <c r="N321" s="76">
        <v>14</v>
      </c>
      <c r="O321" s="76">
        <v>0</v>
      </c>
      <c r="P321" s="83">
        <v>50047</v>
      </c>
      <c r="Q321" s="83">
        <v>51720</v>
      </c>
      <c r="R321" s="67" t="s">
        <v>1628</v>
      </c>
      <c r="S321" s="68">
        <v>899999114</v>
      </c>
      <c r="T321" s="77">
        <v>41353549</v>
      </c>
      <c r="U321" s="78" t="s">
        <v>1676</v>
      </c>
      <c r="V321" s="79">
        <v>250000</v>
      </c>
      <c r="W321" s="80">
        <v>1390151</v>
      </c>
    </row>
    <row r="322" spans="1:23" ht="15.6" x14ac:dyDescent="0.3">
      <c r="A322" s="158" t="s">
        <v>1801</v>
      </c>
      <c r="B322" s="148">
        <v>28505549</v>
      </c>
      <c r="C322" s="69" t="s">
        <v>614</v>
      </c>
      <c r="D322" s="69">
        <v>0</v>
      </c>
      <c r="E322" s="95" t="s">
        <v>21</v>
      </c>
      <c r="F322" s="67" t="s">
        <v>1643</v>
      </c>
      <c r="G322" s="71">
        <v>28897</v>
      </c>
      <c r="H322" s="119">
        <v>41274</v>
      </c>
      <c r="I322" s="133">
        <v>34938077.350000001</v>
      </c>
      <c r="J322" s="134">
        <v>4994688.16</v>
      </c>
      <c r="K322" s="125"/>
      <c r="L322" s="74">
        <v>0.35099999999999998</v>
      </c>
      <c r="M322" s="96">
        <v>6692</v>
      </c>
      <c r="N322" s="76">
        <v>14</v>
      </c>
      <c r="O322" s="76">
        <v>0</v>
      </c>
      <c r="P322" s="83">
        <v>30507</v>
      </c>
      <c r="Q322" s="83">
        <v>11298</v>
      </c>
      <c r="R322" s="67" t="s">
        <v>1628</v>
      </c>
      <c r="S322" s="68">
        <v>899999114</v>
      </c>
      <c r="T322" s="77">
        <v>1796134</v>
      </c>
      <c r="U322" s="78" t="s">
        <v>1671</v>
      </c>
      <c r="V322" s="79">
        <v>250000</v>
      </c>
      <c r="W322" s="80">
        <v>2406195</v>
      </c>
    </row>
    <row r="323" spans="1:23" ht="15.6" x14ac:dyDescent="0.3">
      <c r="A323" s="158" t="s">
        <v>1796</v>
      </c>
      <c r="B323" s="69">
        <v>48483</v>
      </c>
      <c r="C323" s="69" t="s">
        <v>1404</v>
      </c>
      <c r="D323" s="69">
        <v>0</v>
      </c>
      <c r="E323" s="70" t="s">
        <v>472</v>
      </c>
      <c r="F323" s="67" t="s">
        <v>1643</v>
      </c>
      <c r="G323" s="71">
        <v>30317</v>
      </c>
      <c r="H323" s="119">
        <v>44196</v>
      </c>
      <c r="I323" s="133">
        <v>6640975.2300000004</v>
      </c>
      <c r="J323" s="134">
        <v>949382.53</v>
      </c>
      <c r="K323" s="125"/>
      <c r="L323" s="74">
        <v>0.1479</v>
      </c>
      <c r="M323" s="75">
        <v>3497</v>
      </c>
      <c r="N323" s="76">
        <v>14</v>
      </c>
      <c r="O323" s="76">
        <v>0</v>
      </c>
      <c r="P323" s="83">
        <v>82637</v>
      </c>
      <c r="Q323" s="83">
        <v>81510</v>
      </c>
      <c r="R323" s="67" t="s">
        <v>1628</v>
      </c>
      <c r="S323" s="68">
        <v>899999114</v>
      </c>
      <c r="T323" s="77">
        <v>20119888</v>
      </c>
      <c r="U323" s="78" t="s">
        <v>1771</v>
      </c>
      <c r="V323" s="79">
        <v>250000</v>
      </c>
      <c r="W323" s="80">
        <v>1085432</v>
      </c>
    </row>
    <row r="324" spans="1:23" ht="15.6" x14ac:dyDescent="0.3">
      <c r="A324" s="158" t="s">
        <v>1411</v>
      </c>
      <c r="B324" s="69">
        <v>29022287</v>
      </c>
      <c r="C324" s="69" t="s">
        <v>1412</v>
      </c>
      <c r="D324" s="69">
        <v>0</v>
      </c>
      <c r="E324" s="70" t="s">
        <v>21</v>
      </c>
      <c r="F324" s="67" t="s">
        <v>1643</v>
      </c>
      <c r="G324" s="71">
        <v>32143</v>
      </c>
      <c r="H324" s="119">
        <v>44196</v>
      </c>
      <c r="I324" s="133">
        <v>34768304.289999999</v>
      </c>
      <c r="J324" s="134">
        <v>4970417.6900000004</v>
      </c>
      <c r="K324" s="125"/>
      <c r="L324" s="74">
        <v>0.2606</v>
      </c>
      <c r="M324" s="75">
        <v>26065</v>
      </c>
      <c r="N324" s="76">
        <v>14</v>
      </c>
      <c r="O324" s="76">
        <v>0</v>
      </c>
      <c r="P324" s="83">
        <v>331467</v>
      </c>
      <c r="Q324" s="83">
        <v>98700</v>
      </c>
      <c r="R324" s="67" t="s">
        <v>1628</v>
      </c>
      <c r="S324" s="68">
        <v>899999114</v>
      </c>
      <c r="T324" s="77"/>
      <c r="U324" s="78"/>
      <c r="V324" s="79">
        <v>250000</v>
      </c>
      <c r="W324" s="80">
        <v>3225136</v>
      </c>
    </row>
    <row r="325" spans="1:23" ht="15.6" x14ac:dyDescent="0.3">
      <c r="A325" s="158" t="s">
        <v>1413</v>
      </c>
      <c r="B325" s="69">
        <v>23251569</v>
      </c>
      <c r="C325" s="69" t="s">
        <v>1414</v>
      </c>
      <c r="D325" s="69">
        <v>0</v>
      </c>
      <c r="E325" s="70" t="s">
        <v>21</v>
      </c>
      <c r="F325" s="67" t="s">
        <v>1643</v>
      </c>
      <c r="G325" s="71">
        <v>32509</v>
      </c>
      <c r="H325" s="119">
        <v>44196</v>
      </c>
      <c r="I325" s="133">
        <v>2993750.91</v>
      </c>
      <c r="J325" s="134">
        <v>427981.54</v>
      </c>
      <c r="K325" s="125"/>
      <c r="L325" s="74">
        <v>3.7499999999999999E-2</v>
      </c>
      <c r="M325" s="75">
        <v>3526</v>
      </c>
      <c r="N325" s="76">
        <v>14</v>
      </c>
      <c r="O325" s="76">
        <v>0</v>
      </c>
      <c r="P325" s="83">
        <v>51528</v>
      </c>
      <c r="Q325" s="83">
        <v>59179</v>
      </c>
      <c r="R325" s="67" t="s">
        <v>1628</v>
      </c>
      <c r="S325" s="68">
        <v>899999114</v>
      </c>
      <c r="T325" s="77"/>
      <c r="U325" s="78"/>
      <c r="V325" s="79">
        <v>250000</v>
      </c>
      <c r="W325" s="80">
        <v>1929849</v>
      </c>
    </row>
    <row r="326" spans="1:23" ht="15.6" x14ac:dyDescent="0.3">
      <c r="A326" s="158" t="s">
        <v>1415</v>
      </c>
      <c r="B326" s="69">
        <v>20288423</v>
      </c>
      <c r="C326" s="69" t="s">
        <v>1416</v>
      </c>
      <c r="D326" s="69">
        <v>0</v>
      </c>
      <c r="E326" s="70" t="s">
        <v>818</v>
      </c>
      <c r="F326" s="67" t="s">
        <v>1643</v>
      </c>
      <c r="G326" s="71">
        <v>33207</v>
      </c>
      <c r="H326" s="119"/>
      <c r="I326" s="133">
        <v>12989523</v>
      </c>
      <c r="J326" s="134">
        <v>1856960.13</v>
      </c>
      <c r="K326" s="125"/>
      <c r="L326" s="74">
        <v>0.12529999999999999</v>
      </c>
      <c r="M326" s="75">
        <v>19600</v>
      </c>
      <c r="N326" s="76">
        <v>14</v>
      </c>
      <c r="O326" s="76"/>
      <c r="P326" s="76"/>
      <c r="Q326" s="76"/>
      <c r="R326" s="67" t="s">
        <v>1628</v>
      </c>
      <c r="S326" s="68">
        <v>899999114</v>
      </c>
      <c r="T326" s="77"/>
      <c r="U326" s="78"/>
      <c r="V326" s="79">
        <v>250000</v>
      </c>
      <c r="W326" s="80">
        <v>2506000</v>
      </c>
    </row>
    <row r="327" spans="1:23" ht="15.6" x14ac:dyDescent="0.3">
      <c r="A327" s="158" t="s">
        <v>1802</v>
      </c>
      <c r="B327" s="69">
        <v>21286792</v>
      </c>
      <c r="C327" s="69" t="s">
        <v>1418</v>
      </c>
      <c r="D327" s="69">
        <v>0</v>
      </c>
      <c r="E327" s="70" t="s">
        <v>19</v>
      </c>
      <c r="F327" s="67" t="s">
        <v>1643</v>
      </c>
      <c r="G327" s="71">
        <v>33207</v>
      </c>
      <c r="H327" s="119"/>
      <c r="I327" s="133">
        <v>4756322.25</v>
      </c>
      <c r="J327" s="134">
        <v>679955.74</v>
      </c>
      <c r="K327" s="125"/>
      <c r="L327" s="74">
        <v>2.7799999999999998E-2</v>
      </c>
      <c r="M327" s="75">
        <v>50167</v>
      </c>
      <c r="N327" s="76">
        <v>14</v>
      </c>
      <c r="O327" s="76"/>
      <c r="P327" s="76"/>
      <c r="Q327" s="76"/>
      <c r="R327" s="67" t="s">
        <v>1628</v>
      </c>
      <c r="S327" s="68">
        <v>899999114</v>
      </c>
      <c r="T327" s="77"/>
      <c r="U327" s="78"/>
      <c r="V327" s="79">
        <v>250000</v>
      </c>
      <c r="W327" s="80">
        <v>4135856</v>
      </c>
    </row>
    <row r="328" spans="1:23" ht="15.6" x14ac:dyDescent="0.3">
      <c r="A328" s="158" t="s">
        <v>1803</v>
      </c>
      <c r="B328" s="69">
        <v>20334626</v>
      </c>
      <c r="C328" s="69" t="s">
        <v>1420</v>
      </c>
      <c r="D328" s="69">
        <v>0</v>
      </c>
      <c r="E328" s="70" t="s">
        <v>21</v>
      </c>
      <c r="F328" s="67" t="s">
        <v>1643</v>
      </c>
      <c r="G328" s="71">
        <v>76308</v>
      </c>
      <c r="H328" s="119"/>
      <c r="I328" s="133">
        <v>8111381.0899999999</v>
      </c>
      <c r="J328" s="134">
        <v>1159589.26</v>
      </c>
      <c r="K328" s="125"/>
      <c r="L328" s="74">
        <v>0.1103</v>
      </c>
      <c r="M328" s="75">
        <v>35083</v>
      </c>
      <c r="N328" s="76">
        <v>14</v>
      </c>
      <c r="O328" s="76">
        <v>0</v>
      </c>
      <c r="P328" s="76">
        <v>0</v>
      </c>
      <c r="Q328" s="76">
        <v>0</v>
      </c>
      <c r="R328" s="67" t="s">
        <v>1628</v>
      </c>
      <c r="S328" s="68">
        <v>899999114</v>
      </c>
      <c r="T328" s="77"/>
      <c r="U328" s="78"/>
      <c r="V328" s="79">
        <v>250000</v>
      </c>
      <c r="W328" s="80">
        <v>1777699</v>
      </c>
    </row>
    <row r="329" spans="1:23" ht="15.6" x14ac:dyDescent="0.3">
      <c r="A329" s="158" t="s">
        <v>1421</v>
      </c>
      <c r="B329" s="69">
        <v>13213283</v>
      </c>
      <c r="C329" s="69" t="s">
        <v>1422</v>
      </c>
      <c r="D329" s="69">
        <v>0</v>
      </c>
      <c r="E329" s="70" t="s">
        <v>472</v>
      </c>
      <c r="F329" s="67" t="s">
        <v>1643</v>
      </c>
      <c r="G329" s="71">
        <v>34700</v>
      </c>
      <c r="H329" s="119">
        <v>44196</v>
      </c>
      <c r="I329" s="133">
        <v>6870471.3499999996</v>
      </c>
      <c r="J329" s="134">
        <v>982190.9</v>
      </c>
      <c r="K329" s="125"/>
      <c r="L329" s="74">
        <v>0.2273</v>
      </c>
      <c r="M329" s="75">
        <v>66436</v>
      </c>
      <c r="N329" s="76">
        <v>14</v>
      </c>
      <c r="O329" s="76">
        <v>0</v>
      </c>
      <c r="P329" s="83">
        <v>218212</v>
      </c>
      <c r="Q329" s="83">
        <v>744283</v>
      </c>
      <c r="R329" s="67" t="s">
        <v>1628</v>
      </c>
      <c r="S329" s="68">
        <v>899999114</v>
      </c>
      <c r="T329" s="77"/>
      <c r="U329" s="78"/>
      <c r="V329" s="79">
        <v>250000</v>
      </c>
      <c r="W329" s="80">
        <v>730678</v>
      </c>
    </row>
    <row r="330" spans="1:23" ht="15.6" x14ac:dyDescent="0.3">
      <c r="A330" s="158" t="s">
        <v>1804</v>
      </c>
      <c r="B330" s="69">
        <v>3011821</v>
      </c>
      <c r="C330" s="69" t="s">
        <v>1424</v>
      </c>
      <c r="D330" s="69">
        <v>0</v>
      </c>
      <c r="E330" s="70" t="s">
        <v>472</v>
      </c>
      <c r="F330" s="67" t="s">
        <v>1643</v>
      </c>
      <c r="G330" s="71">
        <v>35431</v>
      </c>
      <c r="H330" s="119">
        <v>44196</v>
      </c>
      <c r="I330" s="133">
        <v>8836829.5099999998</v>
      </c>
      <c r="J330" s="134">
        <v>1263298.1299999999</v>
      </c>
      <c r="K330" s="131"/>
      <c r="L330" s="74">
        <v>0.2331</v>
      </c>
      <c r="M330" s="75">
        <v>290590</v>
      </c>
      <c r="N330" s="76">
        <v>14</v>
      </c>
      <c r="O330" s="76">
        <v>0</v>
      </c>
      <c r="P330" s="83">
        <v>294619</v>
      </c>
      <c r="Q330" s="83">
        <v>952014</v>
      </c>
      <c r="R330" s="67" t="s">
        <v>1628</v>
      </c>
      <c r="S330" s="68">
        <v>899999114</v>
      </c>
      <c r="T330" s="77"/>
      <c r="U330" s="78"/>
      <c r="V330" s="79">
        <v>250000</v>
      </c>
      <c r="W330" s="80">
        <v>916417</v>
      </c>
    </row>
    <row r="331" spans="1:23" ht="15.6" x14ac:dyDescent="0.3">
      <c r="A331" s="158" t="s">
        <v>985</v>
      </c>
      <c r="B331" s="69">
        <v>20161316</v>
      </c>
      <c r="C331" s="69" t="s">
        <v>986</v>
      </c>
      <c r="D331" s="69">
        <v>0</v>
      </c>
      <c r="E331" s="70" t="s">
        <v>472</v>
      </c>
      <c r="F331" s="67" t="s">
        <v>1643</v>
      </c>
      <c r="G331" s="71">
        <v>73815</v>
      </c>
      <c r="H331" s="119">
        <v>44196</v>
      </c>
      <c r="I331" s="133">
        <v>5297342.04</v>
      </c>
      <c r="J331" s="134">
        <v>757299.01</v>
      </c>
      <c r="K331" s="125"/>
      <c r="L331" s="74">
        <v>0.1244</v>
      </c>
      <c r="M331" s="75">
        <v>65140</v>
      </c>
      <c r="N331" s="76">
        <v>14</v>
      </c>
      <c r="O331" s="76">
        <v>0</v>
      </c>
      <c r="P331" s="83">
        <v>188445</v>
      </c>
      <c r="Q331" s="83">
        <v>1169054</v>
      </c>
      <c r="R331" s="67" t="s">
        <v>1628</v>
      </c>
      <c r="S331" s="68">
        <v>899999114</v>
      </c>
      <c r="T331" s="77"/>
      <c r="U331" s="78"/>
      <c r="V331" s="79">
        <v>250000</v>
      </c>
      <c r="W331" s="80">
        <v>1029382</v>
      </c>
    </row>
    <row r="332" spans="1:23" ht="15.6" x14ac:dyDescent="0.3">
      <c r="A332" s="158" t="s">
        <v>1425</v>
      </c>
      <c r="B332" s="69">
        <v>17008660</v>
      </c>
      <c r="C332" s="69" t="s">
        <v>1426</v>
      </c>
      <c r="D332" s="69">
        <v>0</v>
      </c>
      <c r="E332" s="70" t="s">
        <v>21</v>
      </c>
      <c r="F332" s="67" t="s">
        <v>1643</v>
      </c>
      <c r="G332" s="71">
        <v>35796</v>
      </c>
      <c r="H332" s="119">
        <v>44196</v>
      </c>
      <c r="I332" s="133">
        <v>5551051.75</v>
      </c>
      <c r="J332" s="134">
        <v>793568.92</v>
      </c>
      <c r="K332" s="125"/>
      <c r="L332" s="74">
        <v>0.2024</v>
      </c>
      <c r="M332" s="75">
        <v>151722</v>
      </c>
      <c r="N332" s="76">
        <v>14</v>
      </c>
      <c r="O332" s="76">
        <v>0</v>
      </c>
      <c r="P332" s="83">
        <v>166682</v>
      </c>
      <c r="Q332" s="83">
        <v>862807</v>
      </c>
      <c r="R332" s="67" t="s">
        <v>1628</v>
      </c>
      <c r="S332" s="68">
        <v>899999114</v>
      </c>
      <c r="T332" s="77">
        <v>32401935</v>
      </c>
      <c r="U332" s="78" t="s">
        <v>1630</v>
      </c>
      <c r="V332" s="79">
        <v>250000</v>
      </c>
      <c r="W332" s="80">
        <v>662985</v>
      </c>
    </row>
    <row r="333" spans="1:23" ht="15.6" x14ac:dyDescent="0.3">
      <c r="A333" s="158" t="s">
        <v>716</v>
      </c>
      <c r="B333" s="69">
        <v>41314945</v>
      </c>
      <c r="C333" s="69" t="s">
        <v>717</v>
      </c>
      <c r="D333" s="69">
        <v>0</v>
      </c>
      <c r="E333" s="70" t="s">
        <v>19</v>
      </c>
      <c r="F333" s="67" t="s">
        <v>1643</v>
      </c>
      <c r="G333" s="71">
        <v>36586</v>
      </c>
      <c r="H333" s="119">
        <v>44196</v>
      </c>
      <c r="I333" s="133">
        <v>9288515.5600000005</v>
      </c>
      <c r="J333" s="134">
        <v>1327870.3999999999</v>
      </c>
      <c r="K333" s="125"/>
      <c r="L333" s="74">
        <v>6.0900000000000003E-2</v>
      </c>
      <c r="M333" s="75">
        <v>132354</v>
      </c>
      <c r="N333" s="76">
        <v>14</v>
      </c>
      <c r="O333" s="76">
        <v>0</v>
      </c>
      <c r="P333" s="83">
        <v>1012501</v>
      </c>
      <c r="Q333" s="83">
        <v>1161879</v>
      </c>
      <c r="R333" s="67" t="s">
        <v>1628</v>
      </c>
      <c r="S333" s="68">
        <v>899999114</v>
      </c>
      <c r="T333" s="77"/>
      <c r="U333" s="78"/>
      <c r="V333" s="79">
        <v>250000</v>
      </c>
      <c r="W333" s="80">
        <v>3686956</v>
      </c>
    </row>
    <row r="334" spans="1:23" ht="15.6" x14ac:dyDescent="0.3">
      <c r="A334" s="158" t="s">
        <v>1805</v>
      </c>
      <c r="B334" s="69">
        <v>17135950</v>
      </c>
      <c r="C334" s="69" t="s">
        <v>1430</v>
      </c>
      <c r="D334" s="69">
        <v>0</v>
      </c>
      <c r="E334" s="70" t="s">
        <v>21</v>
      </c>
      <c r="F334" s="67" t="s">
        <v>1643</v>
      </c>
      <c r="G334" s="71">
        <v>36831</v>
      </c>
      <c r="H334" s="119">
        <v>44196</v>
      </c>
      <c r="I334" s="133">
        <v>2514112.94</v>
      </c>
      <c r="J334" s="134">
        <v>359413.31</v>
      </c>
      <c r="K334" s="125"/>
      <c r="L334" s="74">
        <v>0.23749999999999999</v>
      </c>
      <c r="M334" s="75">
        <v>176543</v>
      </c>
      <c r="N334" s="76">
        <v>14</v>
      </c>
      <c r="O334" s="76">
        <v>0</v>
      </c>
      <c r="P334" s="83">
        <v>347637</v>
      </c>
      <c r="Q334" s="83">
        <v>848299</v>
      </c>
      <c r="R334" s="67" t="s">
        <v>1628</v>
      </c>
      <c r="S334" s="68">
        <v>899999114</v>
      </c>
      <c r="T334" s="77">
        <v>41386340</v>
      </c>
      <c r="U334" s="78" t="s">
        <v>1774</v>
      </c>
      <c r="V334" s="79">
        <v>250000</v>
      </c>
      <c r="W334" s="80">
        <v>255894</v>
      </c>
    </row>
    <row r="335" spans="1:23" ht="15.6" x14ac:dyDescent="0.3">
      <c r="A335" s="158" t="s">
        <v>1806</v>
      </c>
      <c r="B335" s="69">
        <v>41339522</v>
      </c>
      <c r="C335" s="69" t="s">
        <v>1432</v>
      </c>
      <c r="D335" s="69">
        <v>0</v>
      </c>
      <c r="E335" s="70" t="s">
        <v>592</v>
      </c>
      <c r="F335" s="67" t="s">
        <v>1643</v>
      </c>
      <c r="G335" s="71">
        <v>37041</v>
      </c>
      <c r="H335" s="119">
        <v>44196</v>
      </c>
      <c r="I335" s="133">
        <v>18407524.739999998</v>
      </c>
      <c r="J335" s="134">
        <v>2631508.4500000002</v>
      </c>
      <c r="K335" s="125"/>
      <c r="L335" s="74">
        <v>0.30280000000000001</v>
      </c>
      <c r="M335" s="75">
        <v>572074</v>
      </c>
      <c r="N335" s="76">
        <v>14</v>
      </c>
      <c r="O335" s="76">
        <v>0</v>
      </c>
      <c r="P335" s="83">
        <v>1889281</v>
      </c>
      <c r="Q335" s="76">
        <v>0</v>
      </c>
      <c r="R335" s="67" t="s">
        <v>1628</v>
      </c>
      <c r="S335" s="68">
        <v>899999114</v>
      </c>
      <c r="T335" s="77"/>
      <c r="U335" s="78"/>
      <c r="V335" s="79">
        <v>250000</v>
      </c>
      <c r="W335" s="80">
        <v>1469530</v>
      </c>
    </row>
    <row r="336" spans="1:23" ht="15.6" x14ac:dyDescent="0.3">
      <c r="A336" s="158" t="s">
        <v>1433</v>
      </c>
      <c r="B336" s="69">
        <v>17178348</v>
      </c>
      <c r="C336" s="69" t="s">
        <v>1434</v>
      </c>
      <c r="D336" s="69">
        <v>0</v>
      </c>
      <c r="E336" s="70" t="s">
        <v>472</v>
      </c>
      <c r="F336" s="67" t="s">
        <v>1643</v>
      </c>
      <c r="G336" s="71">
        <v>37100</v>
      </c>
      <c r="H336" s="119">
        <v>44196</v>
      </c>
      <c r="I336" s="133">
        <v>22147862.780000001</v>
      </c>
      <c r="J336" s="134">
        <v>3166220.82</v>
      </c>
      <c r="K336" s="125"/>
      <c r="L336" s="74">
        <v>0.31019999999999998</v>
      </c>
      <c r="M336" s="75">
        <v>613418</v>
      </c>
      <c r="N336" s="76">
        <v>14</v>
      </c>
      <c r="O336" s="76">
        <v>0</v>
      </c>
      <c r="P336" s="83">
        <v>831445</v>
      </c>
      <c r="Q336" s="83">
        <v>1955365</v>
      </c>
      <c r="R336" s="67" t="s">
        <v>1628</v>
      </c>
      <c r="S336" s="68">
        <v>899999114</v>
      </c>
      <c r="T336" s="77"/>
      <c r="U336" s="78"/>
      <c r="V336" s="79">
        <v>250000</v>
      </c>
      <c r="W336" s="80">
        <v>1725953</v>
      </c>
    </row>
    <row r="337" spans="1:23" ht="15.6" x14ac:dyDescent="0.3">
      <c r="A337" s="158" t="s">
        <v>1807</v>
      </c>
      <c r="B337" s="69">
        <v>41448731</v>
      </c>
      <c r="C337" s="69" t="s">
        <v>1436</v>
      </c>
      <c r="D337" s="69">
        <v>0</v>
      </c>
      <c r="E337" s="70" t="s">
        <v>21</v>
      </c>
      <c r="F337" s="67" t="s">
        <v>1643</v>
      </c>
      <c r="G337" s="71">
        <v>38534</v>
      </c>
      <c r="H337" s="119">
        <v>44196</v>
      </c>
      <c r="I337" s="133">
        <v>2430656.12</v>
      </c>
      <c r="J337" s="134">
        <v>347482.47</v>
      </c>
      <c r="K337" s="125"/>
      <c r="L337" s="74">
        <v>0.1118</v>
      </c>
      <c r="M337" s="75">
        <v>185376</v>
      </c>
      <c r="N337" s="76">
        <v>14</v>
      </c>
      <c r="O337" s="76">
        <v>0</v>
      </c>
      <c r="P337" s="83">
        <v>194367</v>
      </c>
      <c r="Q337" s="83">
        <v>1562706</v>
      </c>
      <c r="R337" s="67" t="s">
        <v>1628</v>
      </c>
      <c r="S337" s="68">
        <v>899999114</v>
      </c>
      <c r="T337" s="77"/>
      <c r="U337" s="78"/>
      <c r="V337" s="79">
        <v>250000</v>
      </c>
      <c r="W337" s="80">
        <v>525558</v>
      </c>
    </row>
    <row r="338" spans="1:23" ht="15.6" x14ac:dyDescent="0.3">
      <c r="A338" s="158" t="s">
        <v>1437</v>
      </c>
      <c r="B338" s="69">
        <v>41491714</v>
      </c>
      <c r="C338" s="69" t="s">
        <v>1438</v>
      </c>
      <c r="D338" s="69">
        <v>0</v>
      </c>
      <c r="E338" s="70" t="s">
        <v>722</v>
      </c>
      <c r="F338" s="67" t="s">
        <v>1643</v>
      </c>
      <c r="G338" s="71">
        <v>38749</v>
      </c>
      <c r="H338" s="119">
        <v>44196</v>
      </c>
      <c r="I338" s="133">
        <v>3368713.75</v>
      </c>
      <c r="J338" s="134">
        <v>481585.59</v>
      </c>
      <c r="K338" s="125"/>
      <c r="L338" s="74">
        <v>0.14419999999999999</v>
      </c>
      <c r="M338" s="75">
        <v>245759</v>
      </c>
      <c r="N338" s="76">
        <v>14</v>
      </c>
      <c r="O338" s="76">
        <v>0</v>
      </c>
      <c r="P338" s="83">
        <v>318092</v>
      </c>
      <c r="Q338" s="83">
        <v>1923171</v>
      </c>
      <c r="R338" s="67" t="s">
        <v>1628</v>
      </c>
      <c r="S338" s="68">
        <v>899999114</v>
      </c>
      <c r="T338" s="77"/>
      <c r="U338" s="78"/>
      <c r="V338" s="79">
        <v>250000</v>
      </c>
      <c r="W338" s="80">
        <v>564726</v>
      </c>
    </row>
    <row r="339" spans="1:23" ht="15.6" x14ac:dyDescent="0.3">
      <c r="A339" s="158" t="s">
        <v>1439</v>
      </c>
      <c r="B339" s="69">
        <v>17182518</v>
      </c>
      <c r="C339" s="69" t="s">
        <v>1440</v>
      </c>
      <c r="D339" s="69">
        <v>0</v>
      </c>
      <c r="E339" s="70" t="s">
        <v>21</v>
      </c>
      <c r="F339" s="67" t="s">
        <v>1643</v>
      </c>
      <c r="G339" s="71">
        <v>38800</v>
      </c>
      <c r="H339" s="119">
        <v>44196</v>
      </c>
      <c r="I339" s="133">
        <v>15514934.07</v>
      </c>
      <c r="J339" s="134">
        <v>2217988.6</v>
      </c>
      <c r="K339" s="125"/>
      <c r="L339" s="74">
        <v>9.5000000000000001E-2</v>
      </c>
      <c r="M339" s="75">
        <v>359298</v>
      </c>
      <c r="N339" s="76">
        <v>14</v>
      </c>
      <c r="O339" s="76">
        <v>0</v>
      </c>
      <c r="P339" s="83">
        <v>1671254</v>
      </c>
      <c r="Q339" s="83">
        <v>2110827</v>
      </c>
      <c r="R339" s="67" t="s">
        <v>1628</v>
      </c>
      <c r="S339" s="68">
        <v>899999114</v>
      </c>
      <c r="T339" s="77"/>
      <c r="U339" s="78"/>
      <c r="V339" s="79">
        <v>250000</v>
      </c>
      <c r="W339" s="80">
        <v>3947892</v>
      </c>
    </row>
    <row r="340" spans="1:23" ht="15.6" x14ac:dyDescent="0.3">
      <c r="A340" s="158" t="s">
        <v>1441</v>
      </c>
      <c r="B340" s="69">
        <v>11292350</v>
      </c>
      <c r="C340" s="69" t="s">
        <v>1442</v>
      </c>
      <c r="D340" s="69">
        <v>0</v>
      </c>
      <c r="E340" s="70" t="s">
        <v>472</v>
      </c>
      <c r="F340" s="67" t="s">
        <v>1643</v>
      </c>
      <c r="G340" s="71">
        <v>38838</v>
      </c>
      <c r="H340" s="119">
        <v>44196</v>
      </c>
      <c r="I340" s="133">
        <v>4787228.5599999996</v>
      </c>
      <c r="J340" s="134">
        <v>684374.06</v>
      </c>
      <c r="K340" s="125"/>
      <c r="L340" s="74">
        <v>7.6600000000000001E-2</v>
      </c>
      <c r="M340" s="75">
        <v>201121</v>
      </c>
      <c r="N340" s="76">
        <v>14</v>
      </c>
      <c r="O340" s="76">
        <v>0</v>
      </c>
      <c r="P340" s="83">
        <v>727776</v>
      </c>
      <c r="Q340" s="83">
        <v>2445962</v>
      </c>
      <c r="R340" s="67" t="s">
        <v>1628</v>
      </c>
      <c r="S340" s="68">
        <v>899999114</v>
      </c>
      <c r="T340" s="77"/>
      <c r="U340" s="78"/>
      <c r="V340" s="79">
        <v>250000</v>
      </c>
      <c r="W340" s="80">
        <v>1510756</v>
      </c>
    </row>
    <row r="341" spans="1:23" ht="15.6" x14ac:dyDescent="0.3">
      <c r="A341" s="158" t="s">
        <v>1808</v>
      </c>
      <c r="B341" s="69">
        <v>41443975</v>
      </c>
      <c r="C341" s="69" t="s">
        <v>1444</v>
      </c>
      <c r="D341" s="69">
        <v>0</v>
      </c>
      <c r="E341" s="70" t="s">
        <v>21</v>
      </c>
      <c r="F341" s="67" t="s">
        <v>1643</v>
      </c>
      <c r="G341" s="71">
        <v>38867</v>
      </c>
      <c r="H341" s="119">
        <v>44196</v>
      </c>
      <c r="I341" s="133">
        <v>7583166.2400000002</v>
      </c>
      <c r="J341" s="134">
        <v>1084076.56</v>
      </c>
      <c r="K341" s="125"/>
      <c r="L341" s="74">
        <v>0.2364</v>
      </c>
      <c r="M341" s="75">
        <v>417407</v>
      </c>
      <c r="N341" s="76">
        <v>14</v>
      </c>
      <c r="O341" s="76">
        <v>0</v>
      </c>
      <c r="P341" s="83">
        <v>417707</v>
      </c>
      <c r="Q341" s="83">
        <v>2000638</v>
      </c>
      <c r="R341" s="67" t="s">
        <v>1628</v>
      </c>
      <c r="S341" s="68">
        <v>899999114</v>
      </c>
      <c r="T341" s="77"/>
      <c r="U341" s="78"/>
      <c r="V341" s="79">
        <v>250000</v>
      </c>
      <c r="W341" s="80">
        <v>775429</v>
      </c>
    </row>
    <row r="342" spans="1:23" ht="15.6" x14ac:dyDescent="0.3">
      <c r="A342" s="158" t="s">
        <v>1445</v>
      </c>
      <c r="B342" s="69">
        <v>41485099</v>
      </c>
      <c r="C342" s="69" t="s">
        <v>1446</v>
      </c>
      <c r="D342" s="69">
        <v>0</v>
      </c>
      <c r="E342" s="70" t="s">
        <v>19</v>
      </c>
      <c r="F342" s="67" t="s">
        <v>1643</v>
      </c>
      <c r="G342" s="71">
        <v>39037</v>
      </c>
      <c r="H342" s="119"/>
      <c r="I342" s="133">
        <v>13224879.060000001</v>
      </c>
      <c r="J342" s="134">
        <v>1890606.23</v>
      </c>
      <c r="K342" s="125"/>
      <c r="L342" s="74">
        <v>0.25059999999999999</v>
      </c>
      <c r="M342" s="75">
        <v>523218</v>
      </c>
      <c r="N342" s="76">
        <v>13</v>
      </c>
      <c r="O342" s="76"/>
      <c r="P342" s="76"/>
      <c r="Q342" s="76"/>
      <c r="R342" s="67" t="s">
        <v>1628</v>
      </c>
      <c r="S342" s="68">
        <v>899999114</v>
      </c>
      <c r="T342" s="77"/>
      <c r="U342" s="78"/>
      <c r="V342" s="79">
        <v>250000</v>
      </c>
      <c r="W342" s="80">
        <v>1275703</v>
      </c>
    </row>
    <row r="343" spans="1:23" ht="15.6" x14ac:dyDescent="0.3">
      <c r="A343" s="158" t="s">
        <v>1809</v>
      </c>
      <c r="B343" s="69">
        <v>17174648</v>
      </c>
      <c r="C343" s="69" t="s">
        <v>746</v>
      </c>
      <c r="D343" s="69">
        <v>0</v>
      </c>
      <c r="E343" s="70" t="s">
        <v>21</v>
      </c>
      <c r="F343" s="67" t="s">
        <v>1643</v>
      </c>
      <c r="G343" s="71">
        <v>39052</v>
      </c>
      <c r="H343" s="119">
        <v>44196</v>
      </c>
      <c r="I343" s="133">
        <v>1090062.28</v>
      </c>
      <c r="J343" s="134">
        <v>155833.45000000001</v>
      </c>
      <c r="K343" s="125"/>
      <c r="L343" s="74">
        <v>2.4E-2</v>
      </c>
      <c r="M343" s="75">
        <v>50624</v>
      </c>
      <c r="N343" s="76">
        <v>14</v>
      </c>
      <c r="O343" s="76">
        <v>0</v>
      </c>
      <c r="P343" s="83">
        <v>464786</v>
      </c>
      <c r="Q343" s="83">
        <v>4178696</v>
      </c>
      <c r="R343" s="67" t="s">
        <v>1628</v>
      </c>
      <c r="S343" s="68">
        <v>899999114</v>
      </c>
      <c r="T343" s="77"/>
      <c r="U343" s="78"/>
      <c r="V343" s="79">
        <v>250000</v>
      </c>
      <c r="W343" s="80">
        <v>1097941</v>
      </c>
    </row>
    <row r="344" spans="1:23" ht="15.6" x14ac:dyDescent="0.3">
      <c r="A344" s="158" t="s">
        <v>1449</v>
      </c>
      <c r="B344" s="69">
        <v>3013490</v>
      </c>
      <c r="C344" s="69" t="s">
        <v>1450</v>
      </c>
      <c r="D344" s="69">
        <v>0</v>
      </c>
      <c r="E344" s="70" t="s">
        <v>19</v>
      </c>
      <c r="F344" s="67" t="s">
        <v>1643</v>
      </c>
      <c r="G344" s="71">
        <v>39059</v>
      </c>
      <c r="H344" s="119">
        <v>44196</v>
      </c>
      <c r="I344" s="133">
        <v>13952710.529999999</v>
      </c>
      <c r="J344" s="134">
        <v>1994655.78</v>
      </c>
      <c r="K344" s="125"/>
      <c r="L344" s="74">
        <v>0.17979999999999999</v>
      </c>
      <c r="M344" s="75">
        <v>387336</v>
      </c>
      <c r="N344" s="76">
        <v>14</v>
      </c>
      <c r="O344" s="76">
        <v>0</v>
      </c>
      <c r="P344" s="83">
        <v>903674</v>
      </c>
      <c r="Q344" s="83">
        <v>1657623</v>
      </c>
      <c r="R344" s="67" t="s">
        <v>1628</v>
      </c>
      <c r="S344" s="68">
        <v>899999114</v>
      </c>
      <c r="T344" s="77"/>
      <c r="U344" s="78"/>
      <c r="V344" s="79">
        <v>250000</v>
      </c>
      <c r="W344" s="80">
        <v>1875892</v>
      </c>
    </row>
    <row r="345" spans="1:23" ht="15.6" x14ac:dyDescent="0.3">
      <c r="A345" s="158" t="s">
        <v>1451</v>
      </c>
      <c r="B345" s="69">
        <v>41549095</v>
      </c>
      <c r="C345" s="69" t="s">
        <v>1452</v>
      </c>
      <c r="D345" s="69">
        <v>0</v>
      </c>
      <c r="E345" s="70" t="s">
        <v>472</v>
      </c>
      <c r="F345" s="67" t="s">
        <v>1643</v>
      </c>
      <c r="G345" s="71">
        <v>39173</v>
      </c>
      <c r="H345" s="119">
        <v>44196</v>
      </c>
      <c r="I345" s="133">
        <v>1681106.18</v>
      </c>
      <c r="J345" s="134">
        <v>240328.08</v>
      </c>
      <c r="K345" s="125"/>
      <c r="L345" s="74">
        <v>5.8000000000000003E-2</v>
      </c>
      <c r="M345" s="75">
        <v>92331</v>
      </c>
      <c r="N345" s="76">
        <v>13</v>
      </c>
      <c r="O345" s="76">
        <v>0</v>
      </c>
      <c r="P345" s="83">
        <v>162943</v>
      </c>
      <c r="Q345" s="83">
        <v>1699821</v>
      </c>
      <c r="R345" s="67" t="s">
        <v>1628</v>
      </c>
      <c r="S345" s="68">
        <v>899999114</v>
      </c>
      <c r="T345" s="77"/>
      <c r="U345" s="78"/>
      <c r="V345" s="79">
        <v>250000</v>
      </c>
      <c r="W345" s="80">
        <v>700658</v>
      </c>
    </row>
    <row r="346" spans="1:23" ht="15.6" x14ac:dyDescent="0.3">
      <c r="A346" s="158" t="s">
        <v>771</v>
      </c>
      <c r="B346" s="69">
        <v>17196930</v>
      </c>
      <c r="C346" s="69" t="s">
        <v>772</v>
      </c>
      <c r="D346" s="69">
        <v>0</v>
      </c>
      <c r="E346" s="70" t="s">
        <v>472</v>
      </c>
      <c r="F346" s="67" t="s">
        <v>1643</v>
      </c>
      <c r="G346" s="71">
        <v>39753</v>
      </c>
      <c r="H346" s="119"/>
      <c r="I346" s="133">
        <v>6040920.0199999996</v>
      </c>
      <c r="J346" s="134">
        <v>863599.66</v>
      </c>
      <c r="K346" s="125"/>
      <c r="L346" s="74">
        <v>0.1381</v>
      </c>
      <c r="M346" s="75">
        <v>248632</v>
      </c>
      <c r="N346" s="76">
        <v>14</v>
      </c>
      <c r="O346" s="76">
        <v>0</v>
      </c>
      <c r="P346" s="83">
        <v>473106</v>
      </c>
      <c r="Q346" s="83">
        <v>1570233</v>
      </c>
      <c r="R346" s="67" t="s">
        <v>1628</v>
      </c>
      <c r="S346" s="68">
        <v>899999114</v>
      </c>
      <c r="T346" s="77">
        <v>41500005</v>
      </c>
      <c r="U346" s="78" t="s">
        <v>1788</v>
      </c>
      <c r="V346" s="79">
        <v>250000</v>
      </c>
      <c r="W346" s="80">
        <v>1057422</v>
      </c>
    </row>
    <row r="347" spans="1:23" ht="15.6" x14ac:dyDescent="0.3">
      <c r="A347" s="158" t="s">
        <v>1455</v>
      </c>
      <c r="B347" s="69">
        <v>41621038</v>
      </c>
      <c r="C347" s="69" t="s">
        <v>1456</v>
      </c>
      <c r="D347" s="69">
        <v>0</v>
      </c>
      <c r="E347" s="70" t="s">
        <v>472</v>
      </c>
      <c r="F347" s="67" t="s">
        <v>1643</v>
      </c>
      <c r="G347" s="71">
        <v>40120</v>
      </c>
      <c r="H347" s="119"/>
      <c r="I347" s="133">
        <v>3732272.86</v>
      </c>
      <c r="J347" s="134">
        <v>533559.38</v>
      </c>
      <c r="K347" s="125"/>
      <c r="L347" s="74">
        <v>0.1137</v>
      </c>
      <c r="M347" s="75">
        <v>225638</v>
      </c>
      <c r="N347" s="76">
        <v>13</v>
      </c>
      <c r="O347" s="76">
        <v>0</v>
      </c>
      <c r="P347" s="83">
        <v>399663</v>
      </c>
      <c r="Q347" s="83">
        <v>2139229</v>
      </c>
      <c r="R347" s="67" t="s">
        <v>1628</v>
      </c>
      <c r="S347" s="68">
        <v>899999114</v>
      </c>
      <c r="T347" s="77"/>
      <c r="U347" s="78"/>
      <c r="V347" s="79">
        <v>250000</v>
      </c>
      <c r="W347" s="80">
        <v>793509</v>
      </c>
    </row>
    <row r="348" spans="1:23" ht="15.6" x14ac:dyDescent="0.3">
      <c r="A348" s="158" t="s">
        <v>1457</v>
      </c>
      <c r="B348" s="69">
        <v>3226873</v>
      </c>
      <c r="C348" s="69" t="s">
        <v>1458</v>
      </c>
      <c r="D348" s="69">
        <v>0</v>
      </c>
      <c r="E348" s="70" t="s">
        <v>21</v>
      </c>
      <c r="F348" s="67" t="s">
        <v>1643</v>
      </c>
      <c r="G348" s="71">
        <v>40147</v>
      </c>
      <c r="H348" s="119"/>
      <c r="I348" s="133">
        <v>722852.68</v>
      </c>
      <c r="J348" s="134">
        <v>103337.79</v>
      </c>
      <c r="K348" s="125"/>
      <c r="L348" s="74">
        <v>1.7500000000000002E-2</v>
      </c>
      <c r="M348" s="75">
        <v>60559</v>
      </c>
      <c r="N348" s="76">
        <v>13</v>
      </c>
      <c r="O348" s="76">
        <v>0</v>
      </c>
      <c r="P348" s="83">
        <v>537877</v>
      </c>
      <c r="Q348" s="83">
        <v>3331747</v>
      </c>
      <c r="R348" s="67" t="s">
        <v>1628</v>
      </c>
      <c r="S348" s="68">
        <v>899999114</v>
      </c>
      <c r="T348" s="77"/>
      <c r="U348" s="78"/>
      <c r="V348" s="79">
        <v>250000</v>
      </c>
      <c r="W348" s="80">
        <v>998506</v>
      </c>
    </row>
    <row r="349" spans="1:23" ht="15.6" x14ac:dyDescent="0.3">
      <c r="A349" s="158" t="s">
        <v>1460</v>
      </c>
      <c r="B349" s="69">
        <v>17110172</v>
      </c>
      <c r="C349" s="69" t="s">
        <v>1461</v>
      </c>
      <c r="D349" s="69">
        <v>0</v>
      </c>
      <c r="E349" s="70" t="s">
        <v>722</v>
      </c>
      <c r="F349" s="67" t="s">
        <v>1643</v>
      </c>
      <c r="G349" s="71">
        <v>40210</v>
      </c>
      <c r="H349" s="119"/>
      <c r="I349" s="133">
        <v>257890.07</v>
      </c>
      <c r="J349" s="134">
        <v>36867.53</v>
      </c>
      <c r="K349" s="125"/>
      <c r="L349" s="74">
        <v>2.53E-2</v>
      </c>
      <c r="M349" s="75">
        <v>44442</v>
      </c>
      <c r="N349" s="76">
        <v>14</v>
      </c>
      <c r="O349" s="76">
        <v>0</v>
      </c>
      <c r="P349" s="83">
        <v>121072</v>
      </c>
      <c r="Q349" s="83">
        <v>1609133</v>
      </c>
      <c r="R349" s="67" t="s">
        <v>1628</v>
      </c>
      <c r="S349" s="68">
        <v>899999114</v>
      </c>
      <c r="T349" s="77"/>
      <c r="U349" s="78"/>
      <c r="V349" s="79">
        <v>250000</v>
      </c>
      <c r="W349" s="80">
        <v>246407</v>
      </c>
    </row>
    <row r="350" spans="1:23" ht="15.6" x14ac:dyDescent="0.3">
      <c r="A350" s="158" t="s">
        <v>1796</v>
      </c>
      <c r="B350" s="69">
        <v>48483</v>
      </c>
      <c r="C350" s="69" t="s">
        <v>1404</v>
      </c>
      <c r="D350" s="69">
        <v>0</v>
      </c>
      <c r="E350" s="70" t="s">
        <v>472</v>
      </c>
      <c r="F350" s="67" t="s">
        <v>1643</v>
      </c>
      <c r="G350" s="71">
        <v>30317</v>
      </c>
      <c r="H350" s="119"/>
      <c r="I350" s="133">
        <v>6640975.2300000004</v>
      </c>
      <c r="J350" s="134">
        <v>949382.53</v>
      </c>
      <c r="K350" s="125"/>
      <c r="L350" s="74">
        <v>0.1479</v>
      </c>
      <c r="M350" s="85"/>
      <c r="N350" s="76">
        <v>14</v>
      </c>
      <c r="O350" s="76"/>
      <c r="P350" s="76"/>
      <c r="Q350" s="76"/>
      <c r="R350" s="67" t="s">
        <v>1631</v>
      </c>
      <c r="S350" s="68">
        <v>899999115</v>
      </c>
      <c r="T350" s="77">
        <v>20119888</v>
      </c>
      <c r="U350" s="78" t="s">
        <v>1771</v>
      </c>
      <c r="V350" s="79">
        <v>250000</v>
      </c>
      <c r="W350" s="80">
        <v>1085432</v>
      </c>
    </row>
    <row r="351" spans="1:23" ht="15.6" x14ac:dyDescent="0.3">
      <c r="A351" s="158" t="s">
        <v>1462</v>
      </c>
      <c r="B351" s="69">
        <v>17161853</v>
      </c>
      <c r="C351" s="69" t="s">
        <v>1463</v>
      </c>
      <c r="D351" s="69">
        <v>0</v>
      </c>
      <c r="E351" s="70" t="s">
        <v>19</v>
      </c>
      <c r="F351" s="67" t="s">
        <v>1643</v>
      </c>
      <c r="G351" s="71">
        <v>37225</v>
      </c>
      <c r="H351" s="119"/>
      <c r="I351" s="135">
        <v>10313155.92</v>
      </c>
      <c r="J351" s="134">
        <v>1474351.24</v>
      </c>
      <c r="K351" s="125"/>
      <c r="L351" s="74">
        <v>0.24429999999999999</v>
      </c>
      <c r="M351" s="75">
        <v>309265</v>
      </c>
      <c r="N351" s="76">
        <v>14</v>
      </c>
      <c r="O351" s="76"/>
      <c r="P351" s="76"/>
      <c r="Q351" s="76"/>
      <c r="R351" s="67" t="s">
        <v>1631</v>
      </c>
      <c r="S351" s="68">
        <v>899999115</v>
      </c>
      <c r="T351" s="77"/>
      <c r="U351" s="78"/>
      <c r="V351" s="79">
        <v>250000</v>
      </c>
      <c r="W351" s="80">
        <v>1020486</v>
      </c>
    </row>
    <row r="352" spans="1:23" ht="15.6" x14ac:dyDescent="0.3">
      <c r="A352" s="158" t="s">
        <v>1464</v>
      </c>
      <c r="B352" s="69">
        <v>19091072</v>
      </c>
      <c r="C352" s="69" t="s">
        <v>1465</v>
      </c>
      <c r="D352" s="69">
        <v>0</v>
      </c>
      <c r="E352" s="70" t="s">
        <v>592</v>
      </c>
      <c r="F352" s="67" t="s">
        <v>1643</v>
      </c>
      <c r="G352" s="71">
        <v>39028</v>
      </c>
      <c r="H352" s="119"/>
      <c r="I352" s="135">
        <v>6108094.3300000001</v>
      </c>
      <c r="J352" s="134">
        <v>873202.78</v>
      </c>
      <c r="K352" s="125"/>
      <c r="L352" s="74">
        <v>0.16039999999999999</v>
      </c>
      <c r="M352" s="75">
        <v>382044</v>
      </c>
      <c r="N352" s="76">
        <v>14</v>
      </c>
      <c r="O352" s="76"/>
      <c r="P352" s="76"/>
      <c r="Q352" s="76"/>
      <c r="R352" s="67" t="s">
        <v>1631</v>
      </c>
      <c r="S352" s="68">
        <v>899999115</v>
      </c>
      <c r="T352" s="77"/>
      <c r="U352" s="78"/>
      <c r="V352" s="79">
        <v>250000</v>
      </c>
      <c r="W352" s="80">
        <v>920535</v>
      </c>
    </row>
    <row r="353" spans="1:23" ht="15.6" x14ac:dyDescent="0.3">
      <c r="A353" s="158" t="s">
        <v>1797</v>
      </c>
      <c r="B353" s="69">
        <v>2904614</v>
      </c>
      <c r="C353" s="69" t="s">
        <v>1467</v>
      </c>
      <c r="D353" s="69">
        <v>0</v>
      </c>
      <c r="E353" s="70" t="s">
        <v>472</v>
      </c>
      <c r="F353" s="67" t="s">
        <v>1643</v>
      </c>
      <c r="G353" s="71">
        <v>33572</v>
      </c>
      <c r="H353" s="119">
        <v>44944</v>
      </c>
      <c r="I353" s="133">
        <v>7086094.8200000003</v>
      </c>
      <c r="J353" s="133">
        <v>1013016.07</v>
      </c>
      <c r="K353" s="73"/>
      <c r="L353" s="74">
        <v>0.18090000000000001</v>
      </c>
      <c r="M353" s="75">
        <v>44291</v>
      </c>
      <c r="N353" s="76">
        <v>14</v>
      </c>
      <c r="O353" s="76"/>
      <c r="P353" s="76"/>
      <c r="Q353" s="76"/>
      <c r="R353" s="67" t="s">
        <v>1632</v>
      </c>
      <c r="S353" s="68">
        <v>899999230</v>
      </c>
      <c r="T353" s="77">
        <v>20321820</v>
      </c>
      <c r="U353" s="78" t="s">
        <v>1775</v>
      </c>
      <c r="V353" s="79">
        <v>250000</v>
      </c>
      <c r="W353" s="80">
        <v>946907</v>
      </c>
    </row>
    <row r="354" spans="1:23" ht="15.6" x14ac:dyDescent="0.3">
      <c r="A354" s="158" t="s">
        <v>1796</v>
      </c>
      <c r="B354" s="69">
        <v>48483</v>
      </c>
      <c r="C354" s="69" t="s">
        <v>1404</v>
      </c>
      <c r="D354" s="69">
        <v>0</v>
      </c>
      <c r="E354" s="70" t="s">
        <v>19</v>
      </c>
      <c r="F354" s="67" t="s">
        <v>1643</v>
      </c>
      <c r="G354" s="71">
        <v>30317</v>
      </c>
      <c r="H354" s="119">
        <v>43621</v>
      </c>
      <c r="I354" s="133">
        <v>6640975.2300000004</v>
      </c>
      <c r="J354" s="134">
        <v>949382.53</v>
      </c>
      <c r="K354" s="73"/>
      <c r="L354" s="74">
        <v>0.1479</v>
      </c>
      <c r="M354" s="85"/>
      <c r="N354" s="76">
        <v>14</v>
      </c>
      <c r="O354" s="76"/>
      <c r="P354" s="76"/>
      <c r="Q354" s="76"/>
      <c r="R354" s="67" t="s">
        <v>1633</v>
      </c>
      <c r="S354" s="68">
        <v>899999318</v>
      </c>
      <c r="T354" s="77">
        <v>20119888</v>
      </c>
      <c r="U354" s="78" t="s">
        <v>1771</v>
      </c>
      <c r="V354" s="79">
        <v>250000</v>
      </c>
      <c r="W354" s="80">
        <v>1085432</v>
      </c>
    </row>
    <row r="355" spans="1:23" ht="15.6" x14ac:dyDescent="0.3">
      <c r="A355" s="158" t="s">
        <v>1468</v>
      </c>
      <c r="B355" s="69">
        <v>41454822</v>
      </c>
      <c r="C355" s="69" t="s">
        <v>1469</v>
      </c>
      <c r="D355" s="69">
        <v>0</v>
      </c>
      <c r="E355" s="70" t="s">
        <v>472</v>
      </c>
      <c r="F355" s="67" t="s">
        <v>1643</v>
      </c>
      <c r="G355" s="71">
        <v>38899</v>
      </c>
      <c r="H355" s="119"/>
      <c r="I355" s="133">
        <v>1815765.62</v>
      </c>
      <c r="J355" s="133">
        <v>259578.77</v>
      </c>
      <c r="K355" s="73"/>
      <c r="L355" s="74">
        <v>0.1023</v>
      </c>
      <c r="M355" s="75">
        <v>170795</v>
      </c>
      <c r="N355" s="76">
        <v>14</v>
      </c>
      <c r="O355" s="76"/>
      <c r="P355" s="76"/>
      <c r="Q355" s="76"/>
      <c r="R355" s="67" t="s">
        <v>1634</v>
      </c>
      <c r="S355" s="68">
        <v>899999450</v>
      </c>
      <c r="T355" s="77"/>
      <c r="U355" s="78"/>
      <c r="V355" s="79">
        <v>250000</v>
      </c>
      <c r="W355" s="80">
        <v>429065</v>
      </c>
    </row>
    <row r="357" spans="1:23" x14ac:dyDescent="0.3">
      <c r="H357" s="141"/>
      <c r="I357" s="142" t="s">
        <v>1784</v>
      </c>
      <c r="J357" s="142" t="s">
        <v>1785</v>
      </c>
    </row>
    <row r="358" spans="1:23" x14ac:dyDescent="0.3">
      <c r="H358" s="141" t="s">
        <v>1783</v>
      </c>
      <c r="I358" s="143">
        <f>SUM(I2:I355)</f>
        <v>4214428423.6399994</v>
      </c>
      <c r="J358" s="143">
        <f>SUM(J2:J355)</f>
        <v>602487524.46999991</v>
      </c>
    </row>
  </sheetData>
  <autoFilter ref="A1:W355" xr:uid="{A99EC306-B581-4C55-A794-F0E565D5D033}"/>
  <conditionalFormatting sqref="D1">
    <cfRule type="containsText" dxfId="7" priority="2" operator="containsText" text="SILENCIO">
      <formula>NOT(ISERROR(SEARCH("SILENCIO",D1)))</formula>
    </cfRule>
    <cfRule type="containsText" dxfId="6" priority="3" operator="containsText" text="objeta">
      <formula>NOT(ISERROR(SEARCH("objeta",D1)))</formula>
    </cfRule>
  </conditionalFormatting>
  <conditionalFormatting sqref="E1">
    <cfRule type="containsText" dxfId="5" priority="1" operator="containsText" text="INACTIVA">
      <formula>NOT(ISERROR(SEARCH("INACTIVA",E1)))</formula>
    </cfRule>
  </conditionalFormatting>
  <conditionalFormatting sqref="B1">
    <cfRule type="duplicateValues" dxfId="4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4C8C8-080B-4D03-ACB1-C27C81E34C36}">
  <sheetPr codeName="Hoja3"/>
  <dimension ref="A1:W559"/>
  <sheetViews>
    <sheetView topLeftCell="A436" zoomScale="55" zoomScaleNormal="55" workbookViewId="0">
      <selection activeCell="H458" sqref="H458:J458"/>
    </sheetView>
  </sheetViews>
  <sheetFormatPr baseColWidth="10" defaultRowHeight="14.4" x14ac:dyDescent="0.3"/>
  <cols>
    <col min="1" max="1" width="40.33203125" bestFit="1" customWidth="1"/>
    <col min="2" max="2" width="22.33203125" bestFit="1" customWidth="1"/>
    <col min="3" max="3" width="15.77734375" bestFit="1" customWidth="1"/>
    <col min="7" max="7" width="12.109375" bestFit="1" customWidth="1"/>
    <col min="8" max="8" width="17.44140625" bestFit="1" customWidth="1"/>
    <col min="9" max="9" width="19.109375" bestFit="1" customWidth="1"/>
    <col min="10" max="10" width="18" customWidth="1"/>
    <col min="11" max="11" width="18.5546875" bestFit="1" customWidth="1"/>
    <col min="18" max="18" width="66.6640625" customWidth="1"/>
    <col min="19" max="19" width="21.6640625" customWidth="1"/>
    <col min="20" max="20" width="13.21875" bestFit="1" customWidth="1"/>
    <col min="21" max="21" width="53.33203125" bestFit="1" customWidth="1"/>
    <col min="23" max="23" width="12.109375" bestFit="1" customWidth="1"/>
  </cols>
  <sheetData>
    <row r="1" spans="1:23" ht="48" x14ac:dyDescent="0.3">
      <c r="A1" s="15" t="s">
        <v>0</v>
      </c>
      <c r="B1" s="13" t="s">
        <v>1</v>
      </c>
      <c r="C1" s="13" t="s">
        <v>2</v>
      </c>
      <c r="D1" s="25" t="s">
        <v>48</v>
      </c>
      <c r="E1" s="16" t="s">
        <v>3</v>
      </c>
      <c r="F1" s="9" t="s">
        <v>4</v>
      </c>
      <c r="G1" s="61" t="s">
        <v>5</v>
      </c>
      <c r="H1" s="20" t="s">
        <v>6</v>
      </c>
      <c r="I1" s="29" t="s">
        <v>33</v>
      </c>
      <c r="J1" s="4" t="s">
        <v>34</v>
      </c>
      <c r="K1" s="12" t="s">
        <v>7</v>
      </c>
      <c r="L1" s="19" t="s">
        <v>8</v>
      </c>
      <c r="M1" s="18" t="s">
        <v>9</v>
      </c>
      <c r="N1" s="10" t="s">
        <v>10</v>
      </c>
      <c r="O1" s="17" t="s">
        <v>11</v>
      </c>
      <c r="P1" s="21" t="s">
        <v>12</v>
      </c>
      <c r="Q1" s="21" t="s">
        <v>13</v>
      </c>
      <c r="R1" s="24" t="s">
        <v>49</v>
      </c>
      <c r="S1" s="11" t="s">
        <v>14</v>
      </c>
      <c r="T1" s="11" t="s">
        <v>15</v>
      </c>
      <c r="U1" s="11" t="s">
        <v>16</v>
      </c>
      <c r="V1" s="11" t="s">
        <v>51</v>
      </c>
      <c r="W1" s="41" t="s">
        <v>53</v>
      </c>
    </row>
    <row r="2" spans="1:23" ht="15.6" x14ac:dyDescent="0.3">
      <c r="A2" s="67" t="s">
        <v>467</v>
      </c>
      <c r="B2" s="69">
        <v>12953626</v>
      </c>
      <c r="C2" s="69" t="s">
        <v>470</v>
      </c>
      <c r="D2" s="69">
        <v>0</v>
      </c>
      <c r="E2" s="70" t="s">
        <v>19</v>
      </c>
      <c r="F2" s="67" t="s">
        <v>1643</v>
      </c>
      <c r="G2" s="71">
        <v>38961</v>
      </c>
      <c r="H2" s="72"/>
      <c r="I2" s="133">
        <v>5230185.72</v>
      </c>
      <c r="J2" s="134">
        <v>787476.6</v>
      </c>
      <c r="K2" s="123" t="s">
        <v>1470</v>
      </c>
      <c r="L2" s="74">
        <v>0.1779</v>
      </c>
      <c r="M2" s="75">
        <v>288635</v>
      </c>
      <c r="N2" s="76">
        <v>14</v>
      </c>
      <c r="O2" s="76"/>
      <c r="P2" s="76"/>
      <c r="Q2" s="76"/>
      <c r="R2" s="67" t="s">
        <v>1493</v>
      </c>
      <c r="S2" s="68">
        <v>800094164</v>
      </c>
      <c r="T2" s="77"/>
      <c r="U2" s="78"/>
      <c r="V2" s="79">
        <v>0</v>
      </c>
      <c r="W2" s="80">
        <v>711240</v>
      </c>
    </row>
    <row r="3" spans="1:23" ht="15.6" x14ac:dyDescent="0.3">
      <c r="A3" s="67" t="s">
        <v>468</v>
      </c>
      <c r="B3" s="69">
        <v>391274</v>
      </c>
      <c r="C3" s="69" t="s">
        <v>471</v>
      </c>
      <c r="D3" s="69">
        <v>0</v>
      </c>
      <c r="E3" s="70" t="s">
        <v>472</v>
      </c>
      <c r="F3" s="67" t="s">
        <v>1643</v>
      </c>
      <c r="G3" s="71">
        <v>34698</v>
      </c>
      <c r="H3" s="72">
        <v>43584</v>
      </c>
      <c r="I3" s="133">
        <v>8023272.2800000003</v>
      </c>
      <c r="J3" s="134">
        <v>1208014.31</v>
      </c>
      <c r="K3" s="123" t="s">
        <v>1471</v>
      </c>
      <c r="L3" s="74">
        <v>0.20630000000000001</v>
      </c>
      <c r="M3" s="75">
        <v>96721</v>
      </c>
      <c r="N3" s="76">
        <v>14</v>
      </c>
      <c r="O3" s="76"/>
      <c r="P3" s="76"/>
      <c r="Q3" s="76"/>
      <c r="R3" s="67" t="s">
        <v>1494</v>
      </c>
      <c r="S3" s="68">
        <v>800094755</v>
      </c>
      <c r="T3" s="77"/>
      <c r="U3" s="78"/>
      <c r="V3" s="79">
        <v>0</v>
      </c>
      <c r="W3" s="80">
        <v>940865</v>
      </c>
    </row>
    <row r="4" spans="1:23" ht="15.6" x14ac:dyDescent="0.3">
      <c r="A4" s="67" t="s">
        <v>478</v>
      </c>
      <c r="B4" s="69">
        <v>7486105</v>
      </c>
      <c r="C4" s="69" t="s">
        <v>479</v>
      </c>
      <c r="D4" s="69">
        <v>0</v>
      </c>
      <c r="E4" s="70" t="s">
        <v>19</v>
      </c>
      <c r="F4" s="67" t="s">
        <v>1643</v>
      </c>
      <c r="G4" s="71">
        <v>35247</v>
      </c>
      <c r="H4" s="72"/>
      <c r="I4" s="133">
        <v>6603225.3600000003</v>
      </c>
      <c r="J4" s="134">
        <v>994206.66</v>
      </c>
      <c r="K4" s="123" t="s">
        <v>1474</v>
      </c>
      <c r="L4" s="74">
        <v>0.18820000000000001</v>
      </c>
      <c r="M4" s="75">
        <v>64379</v>
      </c>
      <c r="N4" s="76">
        <v>14</v>
      </c>
      <c r="O4" s="76"/>
      <c r="P4" s="76"/>
      <c r="Q4" s="76"/>
      <c r="R4" s="67" t="s">
        <v>1498</v>
      </c>
      <c r="S4" s="68">
        <v>800096761</v>
      </c>
      <c r="T4" s="77">
        <v>35005093</v>
      </c>
      <c r="U4" s="78" t="s">
        <v>1650</v>
      </c>
      <c r="V4" s="81"/>
      <c r="W4" s="80">
        <v>848812</v>
      </c>
    </row>
    <row r="5" spans="1:23" ht="15.6" x14ac:dyDescent="0.3">
      <c r="A5" s="67" t="s">
        <v>486</v>
      </c>
      <c r="B5" s="69">
        <v>2244039</v>
      </c>
      <c r="C5" s="69" t="s">
        <v>487</v>
      </c>
      <c r="D5" s="69">
        <v>0</v>
      </c>
      <c r="E5" s="70" t="s">
        <v>19</v>
      </c>
      <c r="F5" s="67" t="s">
        <v>1643</v>
      </c>
      <c r="G5" s="71">
        <v>25797</v>
      </c>
      <c r="H5" s="72">
        <v>42369</v>
      </c>
      <c r="I5" s="133">
        <v>8022865.5099999998</v>
      </c>
      <c r="J5" s="134">
        <v>1207953.06</v>
      </c>
      <c r="K5" s="123" t="s">
        <v>1477</v>
      </c>
      <c r="L5" s="74">
        <v>7.9200000000000007E-2</v>
      </c>
      <c r="M5" s="75">
        <v>3535</v>
      </c>
      <c r="N5" s="76">
        <v>14</v>
      </c>
      <c r="O5" s="76"/>
      <c r="P5" s="76"/>
      <c r="Q5" s="76"/>
      <c r="R5" s="67" t="s">
        <v>1501</v>
      </c>
      <c r="S5" s="68">
        <v>800100048</v>
      </c>
      <c r="T5" s="77">
        <v>28971602</v>
      </c>
      <c r="U5" s="78" t="s">
        <v>1654</v>
      </c>
      <c r="V5" s="81"/>
      <c r="W5" s="80">
        <v>2450639</v>
      </c>
    </row>
    <row r="6" spans="1:23" ht="15.6" x14ac:dyDescent="0.3">
      <c r="A6" s="67" t="s">
        <v>488</v>
      </c>
      <c r="B6" s="69">
        <v>2344430</v>
      </c>
      <c r="C6" s="69" t="s">
        <v>489</v>
      </c>
      <c r="D6" s="69">
        <v>0</v>
      </c>
      <c r="E6" s="70" t="s">
        <v>19</v>
      </c>
      <c r="F6" s="67" t="s">
        <v>1643</v>
      </c>
      <c r="G6" s="71">
        <v>30317</v>
      </c>
      <c r="H6" s="72">
        <v>43510</v>
      </c>
      <c r="I6" s="133">
        <v>41642943.32</v>
      </c>
      <c r="J6" s="134">
        <v>6269919.5199999996</v>
      </c>
      <c r="K6" s="123" t="s">
        <v>1477</v>
      </c>
      <c r="L6" s="74">
        <v>0.58540000000000003</v>
      </c>
      <c r="M6" s="75">
        <v>3225</v>
      </c>
      <c r="N6" s="76">
        <v>14</v>
      </c>
      <c r="O6" s="76"/>
      <c r="P6" s="76"/>
      <c r="Q6" s="76"/>
      <c r="R6" s="67" t="s">
        <v>1502</v>
      </c>
      <c r="S6" s="68">
        <v>800100050</v>
      </c>
      <c r="T6" s="77">
        <v>28708753</v>
      </c>
      <c r="U6" s="78" t="s">
        <v>1655</v>
      </c>
      <c r="V6" s="81"/>
      <c r="W6" s="80">
        <v>1720932</v>
      </c>
    </row>
    <row r="7" spans="1:23" ht="15.6" x14ac:dyDescent="0.3">
      <c r="A7" s="67" t="s">
        <v>486</v>
      </c>
      <c r="B7" s="69">
        <v>2244039</v>
      </c>
      <c r="C7" s="69" t="s">
        <v>487</v>
      </c>
      <c r="D7" s="69">
        <v>0</v>
      </c>
      <c r="E7" s="70" t="s">
        <v>19</v>
      </c>
      <c r="F7" s="67" t="s">
        <v>1643</v>
      </c>
      <c r="G7" s="71">
        <v>25797</v>
      </c>
      <c r="H7" s="72"/>
      <c r="I7" s="133">
        <v>8022865.5099999998</v>
      </c>
      <c r="J7" s="134">
        <v>1207953.06</v>
      </c>
      <c r="K7" s="123" t="s">
        <v>1477</v>
      </c>
      <c r="L7" s="74">
        <v>7.9200000000000007E-2</v>
      </c>
      <c r="M7" s="75">
        <v>1830</v>
      </c>
      <c r="N7" s="76">
        <v>14</v>
      </c>
      <c r="O7" s="76"/>
      <c r="P7" s="76"/>
      <c r="Q7" s="76"/>
      <c r="R7" s="67" t="s">
        <v>1504</v>
      </c>
      <c r="S7" s="68">
        <v>800100136</v>
      </c>
      <c r="T7" s="77">
        <v>28971602</v>
      </c>
      <c r="U7" s="78" t="s">
        <v>1654</v>
      </c>
      <c r="V7" s="81"/>
      <c r="W7" s="80">
        <v>2450639</v>
      </c>
    </row>
    <row r="8" spans="1:23" ht="15.6" x14ac:dyDescent="0.3">
      <c r="A8" s="67" t="s">
        <v>492</v>
      </c>
      <c r="B8" s="69">
        <v>6091190</v>
      </c>
      <c r="C8" s="69" t="s">
        <v>493</v>
      </c>
      <c r="D8" s="69">
        <v>0</v>
      </c>
      <c r="E8" s="70" t="s">
        <v>21</v>
      </c>
      <c r="F8" s="67" t="s">
        <v>1643</v>
      </c>
      <c r="G8" s="71">
        <v>35431</v>
      </c>
      <c r="H8" s="72"/>
      <c r="I8" s="133">
        <v>605730.63</v>
      </c>
      <c r="J8" s="134">
        <v>91201.1</v>
      </c>
      <c r="K8" s="123" t="s">
        <v>1478</v>
      </c>
      <c r="L8" s="74">
        <v>1.6299999999999999E-2</v>
      </c>
      <c r="M8" s="75">
        <v>11520</v>
      </c>
      <c r="N8" s="76">
        <v>14</v>
      </c>
      <c r="O8" s="76"/>
      <c r="P8" s="76"/>
      <c r="Q8" s="76"/>
      <c r="R8" s="67" t="s">
        <v>1505</v>
      </c>
      <c r="S8" s="68">
        <v>800100521</v>
      </c>
      <c r="T8" s="77">
        <v>31211012</v>
      </c>
      <c r="U8" s="78" t="s">
        <v>1656</v>
      </c>
      <c r="V8" s="82"/>
      <c r="W8" s="80">
        <v>899015</v>
      </c>
    </row>
    <row r="9" spans="1:23" ht="15.6" x14ac:dyDescent="0.3">
      <c r="A9" s="67" t="s">
        <v>494</v>
      </c>
      <c r="B9" s="69">
        <v>1918635</v>
      </c>
      <c r="C9" s="69" t="s">
        <v>495</v>
      </c>
      <c r="D9" s="69">
        <v>0</v>
      </c>
      <c r="E9" s="70" t="s">
        <v>472</v>
      </c>
      <c r="F9" s="67" t="s">
        <v>1643</v>
      </c>
      <c r="G9" s="71">
        <v>34060</v>
      </c>
      <c r="H9" s="72"/>
      <c r="I9" s="133">
        <v>1019822.17</v>
      </c>
      <c r="J9" s="134">
        <v>153548.29</v>
      </c>
      <c r="K9" s="123" t="s">
        <v>1479</v>
      </c>
      <c r="L9" s="74">
        <v>3.6700000000000003E-2</v>
      </c>
      <c r="M9" s="75">
        <v>15492</v>
      </c>
      <c r="N9" s="76">
        <v>14</v>
      </c>
      <c r="O9" s="76">
        <v>0</v>
      </c>
      <c r="P9" s="83">
        <v>246135</v>
      </c>
      <c r="Q9" s="83">
        <v>284894</v>
      </c>
      <c r="R9" s="67" t="s">
        <v>1506</v>
      </c>
      <c r="S9" s="68">
        <v>800102838</v>
      </c>
      <c r="T9" s="77">
        <v>27576342</v>
      </c>
      <c r="U9" s="78" t="s">
        <v>1657</v>
      </c>
      <c r="V9" s="81"/>
      <c r="W9" s="80">
        <v>672254</v>
      </c>
    </row>
    <row r="10" spans="1:23" ht="15.6" x14ac:dyDescent="0.3">
      <c r="A10" s="84" t="s">
        <v>496</v>
      </c>
      <c r="B10" s="69">
        <v>13348376</v>
      </c>
      <c r="C10" s="69" t="s">
        <v>497</v>
      </c>
      <c r="D10" s="69">
        <v>0</v>
      </c>
      <c r="E10" s="70" t="s">
        <v>19</v>
      </c>
      <c r="F10" s="67" t="s">
        <v>1643</v>
      </c>
      <c r="G10" s="71">
        <v>39782</v>
      </c>
      <c r="H10" s="72"/>
      <c r="I10" s="133">
        <v>773328.15</v>
      </c>
      <c r="J10" s="134">
        <v>116435.22</v>
      </c>
      <c r="K10" s="123" t="s">
        <v>1479</v>
      </c>
      <c r="L10" s="74">
        <v>6.9800000000000001E-2</v>
      </c>
      <c r="M10" s="75">
        <v>101224</v>
      </c>
      <c r="N10" s="76">
        <v>14</v>
      </c>
      <c r="O10" s="76">
        <v>0</v>
      </c>
      <c r="P10" s="83">
        <v>131699</v>
      </c>
      <c r="Q10" s="83">
        <v>1647552</v>
      </c>
      <c r="R10" s="67" t="s">
        <v>1506</v>
      </c>
      <c r="S10" s="68">
        <v>800102838</v>
      </c>
      <c r="T10" s="77"/>
      <c r="U10" s="78"/>
      <c r="V10" s="81"/>
      <c r="W10" s="80">
        <v>268030</v>
      </c>
    </row>
    <row r="11" spans="1:23" ht="15.6" x14ac:dyDescent="0.3">
      <c r="A11" s="67" t="s">
        <v>498</v>
      </c>
      <c r="B11" s="69">
        <v>15240013</v>
      </c>
      <c r="C11" s="69" t="s">
        <v>499</v>
      </c>
      <c r="D11" s="69">
        <v>0</v>
      </c>
      <c r="E11" s="70" t="s">
        <v>472</v>
      </c>
      <c r="F11" s="67" t="s">
        <v>1643</v>
      </c>
      <c r="G11" s="71">
        <v>39569</v>
      </c>
      <c r="H11" s="72"/>
      <c r="I11" s="133">
        <v>13767618.460000001</v>
      </c>
      <c r="J11" s="134">
        <v>2072904.86</v>
      </c>
      <c r="K11" s="123" t="s">
        <v>1480</v>
      </c>
      <c r="L11" s="74">
        <v>0.36099999999999999</v>
      </c>
      <c r="M11" s="75">
        <v>480445</v>
      </c>
      <c r="N11" s="76">
        <v>14</v>
      </c>
      <c r="O11" s="76">
        <v>0</v>
      </c>
      <c r="P11" s="83">
        <v>1330873</v>
      </c>
      <c r="Q11" s="76"/>
      <c r="R11" s="67" t="s">
        <v>1507</v>
      </c>
      <c r="S11" s="68">
        <v>800103021</v>
      </c>
      <c r="T11" s="77"/>
      <c r="U11" s="78"/>
      <c r="V11" s="81"/>
      <c r="W11" s="80">
        <v>922628</v>
      </c>
    </row>
    <row r="12" spans="1:23" ht="15.6" x14ac:dyDescent="0.3">
      <c r="A12" s="67" t="s">
        <v>500</v>
      </c>
      <c r="B12" s="69">
        <v>26417008</v>
      </c>
      <c r="C12" s="69" t="s">
        <v>501</v>
      </c>
      <c r="D12" s="69">
        <v>0</v>
      </c>
      <c r="E12" s="70" t="s">
        <v>472</v>
      </c>
      <c r="F12" s="67" t="s">
        <v>1643</v>
      </c>
      <c r="G12" s="71">
        <v>34668</v>
      </c>
      <c r="H12" s="72"/>
      <c r="I12" s="133">
        <v>2900097.51</v>
      </c>
      <c r="J12" s="134">
        <v>436649.68</v>
      </c>
      <c r="K12" s="123" t="s">
        <v>1471</v>
      </c>
      <c r="L12" s="74">
        <v>0.20030000000000001</v>
      </c>
      <c r="M12" s="75">
        <v>87866</v>
      </c>
      <c r="N12" s="76">
        <v>14</v>
      </c>
      <c r="O12" s="76"/>
      <c r="P12" s="76"/>
      <c r="Q12" s="76"/>
      <c r="R12" s="67" t="s">
        <v>1508</v>
      </c>
      <c r="S12" s="68">
        <v>800103913</v>
      </c>
      <c r="T12" s="77"/>
      <c r="U12" s="78"/>
      <c r="V12" s="81"/>
      <c r="W12" s="80">
        <v>350273</v>
      </c>
    </row>
    <row r="13" spans="1:23" ht="15.6" x14ac:dyDescent="0.3">
      <c r="A13" s="67" t="s">
        <v>502</v>
      </c>
      <c r="B13" s="69">
        <v>26489799</v>
      </c>
      <c r="C13" s="69" t="s">
        <v>503</v>
      </c>
      <c r="D13" s="69">
        <v>0</v>
      </c>
      <c r="E13" s="70" t="s">
        <v>21</v>
      </c>
      <c r="F13" s="67" t="s">
        <v>1643</v>
      </c>
      <c r="G13" s="71">
        <v>42795</v>
      </c>
      <c r="H13" s="72"/>
      <c r="I13" s="133">
        <v>20537952.760000002</v>
      </c>
      <c r="J13" s="134">
        <v>3092272.08</v>
      </c>
      <c r="K13" s="123" t="s">
        <v>1471</v>
      </c>
      <c r="L13" s="74">
        <v>0.128</v>
      </c>
      <c r="M13" s="75">
        <v>83854</v>
      </c>
      <c r="N13" s="76">
        <v>14</v>
      </c>
      <c r="O13" s="76"/>
      <c r="P13" s="76"/>
      <c r="Q13" s="76"/>
      <c r="R13" s="67" t="s">
        <v>1508</v>
      </c>
      <c r="S13" s="68">
        <v>800103913</v>
      </c>
      <c r="T13" s="77"/>
      <c r="U13" s="78"/>
      <c r="V13" s="81"/>
      <c r="W13" s="80">
        <v>3881702</v>
      </c>
    </row>
    <row r="14" spans="1:23" ht="15.6" x14ac:dyDescent="0.3">
      <c r="A14" s="67" t="s">
        <v>504</v>
      </c>
      <c r="B14" s="69">
        <v>36147055</v>
      </c>
      <c r="C14" s="69" t="s">
        <v>505</v>
      </c>
      <c r="D14" s="69">
        <v>0</v>
      </c>
      <c r="E14" s="70" t="s">
        <v>19</v>
      </c>
      <c r="F14" s="67" t="s">
        <v>1643</v>
      </c>
      <c r="G14" s="71">
        <v>37225</v>
      </c>
      <c r="H14" s="72"/>
      <c r="I14" s="133">
        <v>846798.9</v>
      </c>
      <c r="J14" s="134">
        <v>127497.25</v>
      </c>
      <c r="K14" s="123" t="s">
        <v>1471</v>
      </c>
      <c r="L14" s="74">
        <v>6.93E-2</v>
      </c>
      <c r="M14" s="75">
        <v>88280</v>
      </c>
      <c r="N14" s="76">
        <v>14</v>
      </c>
      <c r="O14" s="76"/>
      <c r="P14" s="76"/>
      <c r="Q14" s="76"/>
      <c r="R14" s="67" t="s">
        <v>1508</v>
      </c>
      <c r="S14" s="68">
        <v>800103913</v>
      </c>
      <c r="T14" s="77"/>
      <c r="U14" s="78"/>
      <c r="V14" s="81"/>
      <c r="W14" s="80">
        <v>295612</v>
      </c>
    </row>
    <row r="15" spans="1:23" ht="15.6" x14ac:dyDescent="0.3">
      <c r="A15" s="67" t="s">
        <v>506</v>
      </c>
      <c r="B15" s="69">
        <v>6187313</v>
      </c>
      <c r="C15" s="69" t="s">
        <v>507</v>
      </c>
      <c r="D15" s="69">
        <v>0</v>
      </c>
      <c r="E15" s="70" t="s">
        <v>19</v>
      </c>
      <c r="F15" s="67" t="s">
        <v>1643</v>
      </c>
      <c r="G15" s="71">
        <v>38369</v>
      </c>
      <c r="H15" s="72"/>
      <c r="I15" s="133">
        <v>1145386.74</v>
      </c>
      <c r="J15" s="134">
        <v>172453.77</v>
      </c>
      <c r="K15" s="123" t="s">
        <v>1481</v>
      </c>
      <c r="L15" s="74">
        <v>5.4899999999999997E-2</v>
      </c>
      <c r="M15" s="75">
        <v>99272</v>
      </c>
      <c r="N15" s="76">
        <v>14</v>
      </c>
      <c r="O15" s="76"/>
      <c r="P15" s="76"/>
      <c r="Q15" s="76"/>
      <c r="R15" s="67" t="s">
        <v>1508</v>
      </c>
      <c r="S15" s="68">
        <v>800103913</v>
      </c>
      <c r="T15" s="77"/>
      <c r="U15" s="78"/>
      <c r="V15" s="81"/>
      <c r="W15" s="80">
        <v>504725</v>
      </c>
    </row>
    <row r="16" spans="1:23" ht="15.6" x14ac:dyDescent="0.3">
      <c r="A16" s="67" t="s">
        <v>508</v>
      </c>
      <c r="B16" s="69">
        <v>37805436</v>
      </c>
      <c r="C16" s="69" t="s">
        <v>509</v>
      </c>
      <c r="D16" s="69">
        <v>0</v>
      </c>
      <c r="E16" s="70" t="s">
        <v>472</v>
      </c>
      <c r="F16" s="67" t="s">
        <v>1643</v>
      </c>
      <c r="G16" s="71">
        <v>38643</v>
      </c>
      <c r="H16" s="72"/>
      <c r="I16" s="133">
        <v>2018896.11</v>
      </c>
      <c r="J16" s="134">
        <v>303972.65999999997</v>
      </c>
      <c r="K16" s="123" t="s">
        <v>20</v>
      </c>
      <c r="L16" s="74">
        <v>3.4200000000000001E-2</v>
      </c>
      <c r="M16" s="75">
        <v>189784</v>
      </c>
      <c r="N16" s="76">
        <v>14</v>
      </c>
      <c r="O16" s="76"/>
      <c r="P16" s="76"/>
      <c r="Q16" s="76"/>
      <c r="R16" s="67" t="s">
        <v>1508</v>
      </c>
      <c r="S16" s="68">
        <v>800103913</v>
      </c>
      <c r="T16" s="77"/>
      <c r="U16" s="78"/>
      <c r="V16" s="81"/>
      <c r="W16" s="80">
        <v>1428114</v>
      </c>
    </row>
    <row r="17" spans="1:23" ht="15.6" x14ac:dyDescent="0.3">
      <c r="A17" s="67" t="s">
        <v>510</v>
      </c>
      <c r="B17" s="69">
        <v>12100630</v>
      </c>
      <c r="C17" s="69" t="s">
        <v>511</v>
      </c>
      <c r="D17" s="69">
        <v>0</v>
      </c>
      <c r="E17" s="70" t="s">
        <v>19</v>
      </c>
      <c r="F17" s="67" t="s">
        <v>1643</v>
      </c>
      <c r="G17" s="71">
        <v>38729</v>
      </c>
      <c r="H17" s="72"/>
      <c r="I17" s="133">
        <v>455691.49</v>
      </c>
      <c r="J17" s="134">
        <v>68610.64</v>
      </c>
      <c r="K17" s="123" t="s">
        <v>1482</v>
      </c>
      <c r="L17" s="74">
        <v>4.1099999999999998E-2</v>
      </c>
      <c r="M17" s="75">
        <v>103650</v>
      </c>
      <c r="N17" s="76">
        <v>14</v>
      </c>
      <c r="O17" s="76"/>
      <c r="P17" s="76"/>
      <c r="Q17" s="76"/>
      <c r="R17" s="67" t="s">
        <v>1508</v>
      </c>
      <c r="S17" s="68">
        <v>800103913</v>
      </c>
      <c r="T17" s="77"/>
      <c r="U17" s="78"/>
      <c r="V17" s="81"/>
      <c r="W17" s="80">
        <v>268228</v>
      </c>
    </row>
    <row r="18" spans="1:23" ht="15.6" x14ac:dyDescent="0.3">
      <c r="A18" s="67" t="s">
        <v>512</v>
      </c>
      <c r="B18" s="69">
        <v>3560978</v>
      </c>
      <c r="C18" s="69" t="s">
        <v>513</v>
      </c>
      <c r="D18" s="69">
        <v>0</v>
      </c>
      <c r="E18" s="70" t="s">
        <v>19</v>
      </c>
      <c r="F18" s="67" t="s">
        <v>1643</v>
      </c>
      <c r="G18" s="71">
        <v>39051</v>
      </c>
      <c r="H18" s="72"/>
      <c r="I18" s="133">
        <v>2599470.38</v>
      </c>
      <c r="J18" s="134">
        <v>391386.12</v>
      </c>
      <c r="K18" s="123" t="s">
        <v>1471</v>
      </c>
      <c r="L18" s="74">
        <v>4.5699999999999998E-2</v>
      </c>
      <c r="M18" s="75">
        <v>69657</v>
      </c>
      <c r="N18" s="76">
        <v>14</v>
      </c>
      <c r="O18" s="76"/>
      <c r="P18" s="76"/>
      <c r="Q18" s="76"/>
      <c r="R18" s="67" t="s">
        <v>1508</v>
      </c>
      <c r="S18" s="68">
        <v>800103913</v>
      </c>
      <c r="T18" s="77"/>
      <c r="U18" s="78"/>
      <c r="V18" s="81"/>
      <c r="W18" s="80">
        <v>1376080</v>
      </c>
    </row>
    <row r="19" spans="1:23" ht="15.6" x14ac:dyDescent="0.3">
      <c r="A19" s="67" t="s">
        <v>514</v>
      </c>
      <c r="B19" s="69">
        <v>12101948</v>
      </c>
      <c r="C19" s="69" t="s">
        <v>515</v>
      </c>
      <c r="D19" s="69">
        <v>0</v>
      </c>
      <c r="E19" s="70" t="s">
        <v>19</v>
      </c>
      <c r="F19" s="67" t="s">
        <v>1643</v>
      </c>
      <c r="G19" s="71">
        <v>39066</v>
      </c>
      <c r="H19" s="72"/>
      <c r="I19" s="133">
        <v>4195563.97</v>
      </c>
      <c r="J19" s="134">
        <v>631700.03</v>
      </c>
      <c r="K19" s="123" t="s">
        <v>1483</v>
      </c>
      <c r="L19" s="74">
        <v>0.09</v>
      </c>
      <c r="M19" s="75">
        <v>142400</v>
      </c>
      <c r="N19" s="76">
        <v>14</v>
      </c>
      <c r="O19" s="76"/>
      <c r="P19" s="76"/>
      <c r="Q19" s="76"/>
      <c r="R19" s="67" t="s">
        <v>1508</v>
      </c>
      <c r="S19" s="68">
        <v>800103913</v>
      </c>
      <c r="T19" s="77"/>
      <c r="U19" s="78"/>
      <c r="V19" s="81"/>
      <c r="W19" s="80">
        <v>1127776</v>
      </c>
    </row>
    <row r="20" spans="1:23" ht="15.6" x14ac:dyDescent="0.3">
      <c r="A20" s="67" t="s">
        <v>516</v>
      </c>
      <c r="B20" s="69">
        <v>13233332</v>
      </c>
      <c r="C20" s="69" t="s">
        <v>517</v>
      </c>
      <c r="D20" s="69">
        <v>0</v>
      </c>
      <c r="E20" s="70" t="s">
        <v>19</v>
      </c>
      <c r="F20" s="67" t="s">
        <v>1643</v>
      </c>
      <c r="G20" s="71">
        <v>39066</v>
      </c>
      <c r="H20" s="72"/>
      <c r="I20" s="133">
        <v>41542.89</v>
      </c>
      <c r="J20" s="134">
        <v>6254.85</v>
      </c>
      <c r="K20" s="123" t="s">
        <v>1481</v>
      </c>
      <c r="L20" s="74">
        <v>1.29E-2</v>
      </c>
      <c r="M20" s="75">
        <v>32459</v>
      </c>
      <c r="N20" s="76">
        <v>13</v>
      </c>
      <c r="O20" s="76"/>
      <c r="P20" s="76"/>
      <c r="Q20" s="76"/>
      <c r="R20" s="67" t="s">
        <v>1508</v>
      </c>
      <c r="S20" s="68">
        <v>800103913</v>
      </c>
      <c r="T20" s="77"/>
      <c r="U20" s="78"/>
      <c r="V20" s="81"/>
      <c r="W20" s="80">
        <v>77908</v>
      </c>
    </row>
    <row r="21" spans="1:23" ht="15.6" x14ac:dyDescent="0.3">
      <c r="A21" s="67" t="s">
        <v>518</v>
      </c>
      <c r="B21" s="69">
        <v>19325679</v>
      </c>
      <c r="C21" s="69" t="s">
        <v>519</v>
      </c>
      <c r="D21" s="69">
        <v>0</v>
      </c>
      <c r="E21" s="70" t="s">
        <v>472</v>
      </c>
      <c r="F21" s="67" t="s">
        <v>1643</v>
      </c>
      <c r="G21" s="71">
        <v>39326</v>
      </c>
      <c r="H21" s="72"/>
      <c r="I21" s="133">
        <v>3997267.37</v>
      </c>
      <c r="J21" s="134">
        <v>601843.74</v>
      </c>
      <c r="K21" s="123" t="s">
        <v>1484</v>
      </c>
      <c r="L21" s="74">
        <v>6.8099999999999994E-2</v>
      </c>
      <c r="M21" s="75">
        <v>120299</v>
      </c>
      <c r="N21" s="76">
        <v>13</v>
      </c>
      <c r="O21" s="76"/>
      <c r="P21" s="76"/>
      <c r="Q21" s="76"/>
      <c r="R21" s="67" t="s">
        <v>1508</v>
      </c>
      <c r="S21" s="68">
        <v>800103913</v>
      </c>
      <c r="T21" s="77"/>
      <c r="U21" s="78"/>
      <c r="V21" s="81"/>
      <c r="W21" s="80">
        <v>1420009</v>
      </c>
    </row>
    <row r="22" spans="1:23" ht="15.6" x14ac:dyDescent="0.3">
      <c r="A22" s="67" t="s">
        <v>520</v>
      </c>
      <c r="B22" s="69">
        <v>12185676</v>
      </c>
      <c r="C22" s="69" t="s">
        <v>521</v>
      </c>
      <c r="D22" s="69">
        <v>0</v>
      </c>
      <c r="E22" s="70" t="s">
        <v>472</v>
      </c>
      <c r="F22" s="67" t="s">
        <v>1643</v>
      </c>
      <c r="G22" s="71">
        <v>39569</v>
      </c>
      <c r="H22" s="72">
        <v>42004</v>
      </c>
      <c r="I22" s="133">
        <v>1071540.3400000001</v>
      </c>
      <c r="J22" s="134">
        <v>161335.18</v>
      </c>
      <c r="K22" s="123" t="s">
        <v>1481</v>
      </c>
      <c r="L22" s="74">
        <v>2.47E-2</v>
      </c>
      <c r="M22" s="75">
        <v>48531</v>
      </c>
      <c r="N22" s="76">
        <v>13</v>
      </c>
      <c r="O22" s="76"/>
      <c r="P22" s="76"/>
      <c r="Q22" s="76"/>
      <c r="R22" s="67" t="s">
        <v>1508</v>
      </c>
      <c r="S22" s="68">
        <v>800103913</v>
      </c>
      <c r="T22" s="77"/>
      <c r="U22" s="78"/>
      <c r="V22" s="81"/>
      <c r="W22" s="80">
        <v>1049510</v>
      </c>
    </row>
    <row r="23" spans="1:23" ht="15.6" x14ac:dyDescent="0.3">
      <c r="A23" s="67" t="s">
        <v>522</v>
      </c>
      <c r="B23" s="69">
        <v>1753208</v>
      </c>
      <c r="C23" s="69" t="s">
        <v>523</v>
      </c>
      <c r="D23" s="69">
        <v>0</v>
      </c>
      <c r="E23" s="70" t="s">
        <v>472</v>
      </c>
      <c r="F23" s="67" t="s">
        <v>1643</v>
      </c>
      <c r="G23" s="71">
        <v>27576</v>
      </c>
      <c r="H23" s="72">
        <v>42004</v>
      </c>
      <c r="I23" s="133">
        <v>12192495.939999999</v>
      </c>
      <c r="J23" s="134">
        <v>1835748.44</v>
      </c>
      <c r="K23" s="123" t="s">
        <v>1475</v>
      </c>
      <c r="L23" s="74">
        <v>0.24360000000000001</v>
      </c>
      <c r="M23" s="85"/>
      <c r="N23" s="76">
        <v>14</v>
      </c>
      <c r="O23" s="76"/>
      <c r="P23" s="76"/>
      <c r="Q23" s="76"/>
      <c r="R23" s="67" t="s">
        <v>1509</v>
      </c>
      <c r="S23" s="68">
        <v>800103920</v>
      </c>
      <c r="T23" s="77">
        <v>32674991</v>
      </c>
      <c r="U23" s="78" t="s">
        <v>1658</v>
      </c>
      <c r="V23" s="81"/>
      <c r="W23" s="80">
        <v>1210850</v>
      </c>
    </row>
    <row r="24" spans="1:23" ht="15.6" x14ac:dyDescent="0.3">
      <c r="A24" s="67" t="s">
        <v>524</v>
      </c>
      <c r="B24" s="69">
        <v>2767630</v>
      </c>
      <c r="C24" s="69" t="s">
        <v>525</v>
      </c>
      <c r="D24" s="69">
        <v>0</v>
      </c>
      <c r="E24" s="70" t="s">
        <v>19</v>
      </c>
      <c r="F24" s="67" t="s">
        <v>1643</v>
      </c>
      <c r="G24" s="71">
        <v>31821</v>
      </c>
      <c r="H24" s="72">
        <v>42004</v>
      </c>
      <c r="I24" s="133">
        <v>57081971.649999999</v>
      </c>
      <c r="J24" s="134">
        <v>8594478.1899999995</v>
      </c>
      <c r="K24" s="123" t="s">
        <v>1475</v>
      </c>
      <c r="L24" s="74">
        <v>0.97009999999999996</v>
      </c>
      <c r="M24" s="85">
        <v>930</v>
      </c>
      <c r="N24" s="76">
        <v>14</v>
      </c>
      <c r="O24" s="76"/>
      <c r="P24" s="76"/>
      <c r="Q24" s="76"/>
      <c r="R24" s="67" t="s">
        <v>1509</v>
      </c>
      <c r="S24" s="68">
        <v>800103920</v>
      </c>
      <c r="T24" s="77">
        <v>26663419</v>
      </c>
      <c r="U24" s="78" t="s">
        <v>1659</v>
      </c>
      <c r="V24" s="81"/>
      <c r="W24" s="80">
        <v>1423500</v>
      </c>
    </row>
    <row r="25" spans="1:23" ht="15.6" x14ac:dyDescent="0.3">
      <c r="A25" s="67" t="s">
        <v>530</v>
      </c>
      <c r="B25" s="69">
        <v>4975251</v>
      </c>
      <c r="C25" s="69" t="s">
        <v>531</v>
      </c>
      <c r="D25" s="69">
        <v>0</v>
      </c>
      <c r="E25" s="70" t="s">
        <v>19</v>
      </c>
      <c r="F25" s="67" t="s">
        <v>1643</v>
      </c>
      <c r="G25" s="71">
        <v>25951</v>
      </c>
      <c r="H25" s="72"/>
      <c r="I25" s="133">
        <v>11893009.76</v>
      </c>
      <c r="J25" s="134">
        <v>1790656.66</v>
      </c>
      <c r="K25" s="123" t="s">
        <v>1475</v>
      </c>
      <c r="L25" s="74">
        <v>0.1132</v>
      </c>
      <c r="M25" s="75">
        <v>9751</v>
      </c>
      <c r="N25" s="76">
        <v>14</v>
      </c>
      <c r="O25" s="76"/>
      <c r="P25" s="76"/>
      <c r="Q25" s="76"/>
      <c r="R25" s="67" t="s">
        <v>1509</v>
      </c>
      <c r="S25" s="68">
        <v>800103920</v>
      </c>
      <c r="T25" s="77">
        <v>26662639</v>
      </c>
      <c r="U25" s="78" t="s">
        <v>1662</v>
      </c>
      <c r="V25" s="63"/>
      <c r="W25" s="80">
        <v>2541677</v>
      </c>
    </row>
    <row r="26" spans="1:23" ht="15.6" x14ac:dyDescent="0.3">
      <c r="A26" s="67" t="s">
        <v>536</v>
      </c>
      <c r="B26" s="69">
        <v>36526401</v>
      </c>
      <c r="C26" s="69" t="s">
        <v>537</v>
      </c>
      <c r="D26" s="69">
        <v>0</v>
      </c>
      <c r="E26" s="70" t="s">
        <v>19</v>
      </c>
      <c r="F26" s="67" t="s">
        <v>1643</v>
      </c>
      <c r="G26" s="71">
        <v>38749</v>
      </c>
      <c r="H26" s="72"/>
      <c r="I26" s="133">
        <v>4415174.7</v>
      </c>
      <c r="J26" s="134">
        <v>664765.44999999995</v>
      </c>
      <c r="K26" s="123" t="s">
        <v>1475</v>
      </c>
      <c r="L26" s="74">
        <v>0.15590000000000001</v>
      </c>
      <c r="M26" s="75">
        <v>245543</v>
      </c>
      <c r="N26" s="76">
        <v>14</v>
      </c>
      <c r="O26" s="76"/>
      <c r="P26" s="76"/>
      <c r="Q26" s="76"/>
      <c r="R26" s="67" t="s">
        <v>1509</v>
      </c>
      <c r="S26" s="68">
        <v>800103920</v>
      </c>
      <c r="T26" s="77"/>
      <c r="U26" s="78"/>
      <c r="V26" s="81"/>
      <c r="W26" s="80">
        <v>685136</v>
      </c>
    </row>
    <row r="27" spans="1:23" ht="15.6" x14ac:dyDescent="0.3">
      <c r="A27" s="67" t="s">
        <v>538</v>
      </c>
      <c r="B27" s="69">
        <v>9063135</v>
      </c>
      <c r="C27" s="69" t="s">
        <v>539</v>
      </c>
      <c r="D27" s="69">
        <v>0</v>
      </c>
      <c r="E27" s="70" t="s">
        <v>19</v>
      </c>
      <c r="F27" s="67" t="s">
        <v>1643</v>
      </c>
      <c r="G27" s="71">
        <v>39052</v>
      </c>
      <c r="H27" s="72"/>
      <c r="I27" s="133">
        <v>4945455.93</v>
      </c>
      <c r="J27" s="134">
        <v>744606.61</v>
      </c>
      <c r="K27" s="123" t="s">
        <v>1485</v>
      </c>
      <c r="L27" s="74">
        <v>0.11360000000000001</v>
      </c>
      <c r="M27" s="75">
        <v>95096</v>
      </c>
      <c r="N27" s="76">
        <v>14</v>
      </c>
      <c r="O27" s="76"/>
      <c r="P27" s="76"/>
      <c r="Q27" s="76"/>
      <c r="R27" s="67" t="s">
        <v>1509</v>
      </c>
      <c r="S27" s="68">
        <v>800103920</v>
      </c>
      <c r="T27" s="77"/>
      <c r="U27" s="78"/>
      <c r="V27" s="81"/>
      <c r="W27" s="80">
        <v>1053181</v>
      </c>
    </row>
    <row r="28" spans="1:23" ht="15.6" x14ac:dyDescent="0.3">
      <c r="A28" s="67" t="s">
        <v>540</v>
      </c>
      <c r="B28" s="69">
        <v>17005550</v>
      </c>
      <c r="C28" s="69" t="s">
        <v>541</v>
      </c>
      <c r="D28" s="69">
        <v>0</v>
      </c>
      <c r="E28" s="70" t="s">
        <v>19</v>
      </c>
      <c r="F28" s="67" t="s">
        <v>1643</v>
      </c>
      <c r="G28" s="71">
        <v>34668</v>
      </c>
      <c r="H28" s="72"/>
      <c r="I28" s="133">
        <v>707624.36</v>
      </c>
      <c r="J28" s="134">
        <v>106542.61</v>
      </c>
      <c r="K28" s="123" t="s">
        <v>1470</v>
      </c>
      <c r="L28" s="74">
        <v>3.2000000000000001E-2</v>
      </c>
      <c r="M28" s="75">
        <v>10309</v>
      </c>
      <c r="N28" s="76">
        <v>14</v>
      </c>
      <c r="O28" s="76">
        <v>0</v>
      </c>
      <c r="P28" s="83">
        <v>80519</v>
      </c>
      <c r="Q28" s="83">
        <v>390561</v>
      </c>
      <c r="R28" s="67" t="s">
        <v>1510</v>
      </c>
      <c r="S28" s="68">
        <v>800103923</v>
      </c>
      <c r="T28" s="77">
        <v>27068628</v>
      </c>
      <c r="U28" s="78" t="s">
        <v>1664</v>
      </c>
      <c r="V28" s="81"/>
      <c r="W28" s="80">
        <v>534968</v>
      </c>
    </row>
    <row r="29" spans="1:23" ht="15.6" x14ac:dyDescent="0.3">
      <c r="A29" s="67" t="s">
        <v>544</v>
      </c>
      <c r="B29" s="69">
        <v>27073358</v>
      </c>
      <c r="C29" s="69" t="s">
        <v>545</v>
      </c>
      <c r="D29" s="69">
        <v>0</v>
      </c>
      <c r="E29" s="70" t="s">
        <v>19</v>
      </c>
      <c r="F29" s="67" t="s">
        <v>1643</v>
      </c>
      <c r="G29" s="71">
        <v>35431</v>
      </c>
      <c r="H29" s="72"/>
      <c r="I29" s="133">
        <v>7583553.5800000001</v>
      </c>
      <c r="J29" s="134">
        <v>1141808.5900000001</v>
      </c>
      <c r="K29" s="123" t="s">
        <v>1470</v>
      </c>
      <c r="L29" s="74">
        <v>9.4200000000000006E-2</v>
      </c>
      <c r="M29" s="75">
        <v>118253</v>
      </c>
      <c r="N29" s="76">
        <v>14</v>
      </c>
      <c r="O29" s="76">
        <v>0</v>
      </c>
      <c r="P29" s="83">
        <v>1052923</v>
      </c>
      <c r="Q29" s="83">
        <v>2640962</v>
      </c>
      <c r="R29" s="67" t="s">
        <v>1510</v>
      </c>
      <c r="S29" s="68">
        <v>800103923</v>
      </c>
      <c r="T29" s="77"/>
      <c r="U29" s="78"/>
      <c r="V29" s="81"/>
      <c r="W29" s="80">
        <v>1947587</v>
      </c>
    </row>
    <row r="30" spans="1:23" ht="15.6" x14ac:dyDescent="0.3">
      <c r="A30" s="67" t="s">
        <v>546</v>
      </c>
      <c r="B30" s="69">
        <v>5202772</v>
      </c>
      <c r="C30" s="69" t="s">
        <v>547</v>
      </c>
      <c r="D30" s="69">
        <v>0</v>
      </c>
      <c r="E30" s="70" t="s">
        <v>19</v>
      </c>
      <c r="F30" s="67" t="s">
        <v>1643</v>
      </c>
      <c r="G30" s="71">
        <v>38867</v>
      </c>
      <c r="H30" s="72"/>
      <c r="I30" s="133">
        <v>489062.91</v>
      </c>
      <c r="J30" s="134">
        <v>73635.17</v>
      </c>
      <c r="K30" s="123" t="s">
        <v>1470</v>
      </c>
      <c r="L30" s="74">
        <v>1.4E-2</v>
      </c>
      <c r="M30" s="75">
        <v>28635</v>
      </c>
      <c r="N30" s="76">
        <v>14</v>
      </c>
      <c r="O30" s="76">
        <v>0</v>
      </c>
      <c r="P30" s="83">
        <v>342414</v>
      </c>
      <c r="Q30" s="83">
        <v>2034106</v>
      </c>
      <c r="R30" s="67" t="s">
        <v>1510</v>
      </c>
      <c r="S30" s="68">
        <v>800103923</v>
      </c>
      <c r="T30" s="77"/>
      <c r="U30" s="78"/>
      <c r="V30" s="81"/>
      <c r="W30" s="80">
        <v>845107</v>
      </c>
    </row>
    <row r="31" spans="1:23" ht="15.6" x14ac:dyDescent="0.3">
      <c r="A31" s="67" t="s">
        <v>550</v>
      </c>
      <c r="B31" s="69">
        <v>1910575</v>
      </c>
      <c r="C31" s="69" t="s">
        <v>551</v>
      </c>
      <c r="D31" s="69">
        <v>0</v>
      </c>
      <c r="E31" s="70" t="s">
        <v>472</v>
      </c>
      <c r="F31" s="67" t="s">
        <v>1643</v>
      </c>
      <c r="G31" s="71">
        <v>31878</v>
      </c>
      <c r="H31" s="72">
        <v>38717</v>
      </c>
      <c r="I31" s="133">
        <v>20941015.809999999</v>
      </c>
      <c r="J31" s="134">
        <v>3152958.78</v>
      </c>
      <c r="K31" s="123" t="s">
        <v>1486</v>
      </c>
      <c r="L31" s="74">
        <v>0.73709999999999998</v>
      </c>
      <c r="M31" s="75">
        <v>29026</v>
      </c>
      <c r="N31" s="76">
        <v>14</v>
      </c>
      <c r="O31" s="76"/>
      <c r="P31" s="76"/>
      <c r="Q31" s="76"/>
      <c r="R31" s="67" t="s">
        <v>1511</v>
      </c>
      <c r="S31" s="68">
        <v>800103927</v>
      </c>
      <c r="T31" s="77">
        <v>27555358</v>
      </c>
      <c r="U31" s="78" t="s">
        <v>1667</v>
      </c>
      <c r="V31" s="63"/>
      <c r="W31" s="80">
        <v>687300</v>
      </c>
    </row>
    <row r="32" spans="1:23" ht="15.6" x14ac:dyDescent="0.3">
      <c r="A32" s="67" t="s">
        <v>552</v>
      </c>
      <c r="B32" s="69">
        <v>1984868</v>
      </c>
      <c r="C32" s="69" t="s">
        <v>553</v>
      </c>
      <c r="D32" s="69">
        <v>0</v>
      </c>
      <c r="E32" s="70" t="s">
        <v>472</v>
      </c>
      <c r="F32" s="67" t="s">
        <v>1643</v>
      </c>
      <c r="G32" s="71">
        <v>33801</v>
      </c>
      <c r="H32" s="72">
        <v>38717</v>
      </c>
      <c r="I32" s="133">
        <v>15916875.34</v>
      </c>
      <c r="J32" s="134">
        <v>2396505.13</v>
      </c>
      <c r="K32" s="123" t="s">
        <v>1486</v>
      </c>
      <c r="L32" s="74">
        <v>0.22059999999999999</v>
      </c>
      <c r="M32" s="75">
        <v>120980</v>
      </c>
      <c r="N32" s="76">
        <v>14</v>
      </c>
      <c r="O32" s="76"/>
      <c r="P32" s="76"/>
      <c r="Q32" s="76"/>
      <c r="R32" s="67" t="s">
        <v>1511</v>
      </c>
      <c r="S32" s="68">
        <v>800103927</v>
      </c>
      <c r="T32" s="77">
        <v>27780950</v>
      </c>
      <c r="U32" s="78" t="s">
        <v>1668</v>
      </c>
      <c r="V32" s="81"/>
      <c r="W32" s="80">
        <v>1745530</v>
      </c>
    </row>
    <row r="33" spans="1:23" ht="15.6" x14ac:dyDescent="0.3">
      <c r="A33" s="67" t="s">
        <v>556</v>
      </c>
      <c r="B33" s="69">
        <v>37212226</v>
      </c>
      <c r="C33" s="69" t="s">
        <v>557</v>
      </c>
      <c r="D33" s="69">
        <v>0</v>
      </c>
      <c r="E33" s="70" t="s">
        <v>472</v>
      </c>
      <c r="F33" s="67" t="s">
        <v>1643</v>
      </c>
      <c r="G33" s="71">
        <v>34700</v>
      </c>
      <c r="H33" s="72"/>
      <c r="I33" s="133">
        <v>679545.06</v>
      </c>
      <c r="J33" s="134">
        <v>102314.88</v>
      </c>
      <c r="K33" s="123" t="s">
        <v>1483</v>
      </c>
      <c r="L33" s="74">
        <v>2.98E-2</v>
      </c>
      <c r="M33" s="75">
        <v>14627</v>
      </c>
      <c r="N33" s="76">
        <v>14</v>
      </c>
      <c r="O33" s="76"/>
      <c r="P33" s="76"/>
      <c r="Q33" s="76"/>
      <c r="R33" s="67" t="s">
        <v>1511</v>
      </c>
      <c r="S33" s="68">
        <v>800103927</v>
      </c>
      <c r="T33" s="77"/>
      <c r="U33" s="78"/>
      <c r="V33" s="81"/>
      <c r="W33" s="80">
        <v>551667</v>
      </c>
    </row>
    <row r="34" spans="1:23" ht="15.6" x14ac:dyDescent="0.3">
      <c r="A34" s="67" t="s">
        <v>558</v>
      </c>
      <c r="B34" s="69">
        <v>37217267</v>
      </c>
      <c r="C34" s="69" t="s">
        <v>559</v>
      </c>
      <c r="D34" s="69">
        <v>0</v>
      </c>
      <c r="E34" s="70" t="s">
        <v>19</v>
      </c>
      <c r="F34" s="67" t="s">
        <v>1643</v>
      </c>
      <c r="G34" s="71">
        <v>44593</v>
      </c>
      <c r="H34" s="72"/>
      <c r="I34" s="133">
        <v>17661717.18</v>
      </c>
      <c r="J34" s="134">
        <v>2659215.14</v>
      </c>
      <c r="K34" s="123" t="s">
        <v>1471</v>
      </c>
      <c r="L34" s="74">
        <v>0.22459999999999999</v>
      </c>
      <c r="M34" s="75">
        <v>197913</v>
      </c>
      <c r="N34" s="76">
        <v>14</v>
      </c>
      <c r="O34" s="76"/>
      <c r="P34" s="76"/>
      <c r="Q34" s="76"/>
      <c r="R34" s="67" t="s">
        <v>1511</v>
      </c>
      <c r="S34" s="68">
        <v>800103927</v>
      </c>
      <c r="T34" s="77"/>
      <c r="U34" s="78"/>
      <c r="V34" s="81"/>
      <c r="W34" s="80">
        <v>1902384</v>
      </c>
    </row>
    <row r="35" spans="1:23" ht="15.6" x14ac:dyDescent="0.3">
      <c r="A35" s="67" t="s">
        <v>562</v>
      </c>
      <c r="B35" s="69">
        <v>37219129</v>
      </c>
      <c r="C35" s="69" t="s">
        <v>563</v>
      </c>
      <c r="D35" s="69">
        <v>0</v>
      </c>
      <c r="E35" s="70" t="s">
        <v>472</v>
      </c>
      <c r="F35" s="67" t="s">
        <v>1643</v>
      </c>
      <c r="G35" s="71">
        <v>36284</v>
      </c>
      <c r="H35" s="72"/>
      <c r="I35" s="133">
        <v>19163914.120000001</v>
      </c>
      <c r="J35" s="134">
        <v>2885391.61</v>
      </c>
      <c r="K35" s="123" t="s">
        <v>1473</v>
      </c>
      <c r="L35" s="74">
        <v>0.26579999999999998</v>
      </c>
      <c r="M35" s="75">
        <v>476771</v>
      </c>
      <c r="N35" s="76">
        <v>14</v>
      </c>
      <c r="O35" s="76"/>
      <c r="P35" s="76"/>
      <c r="Q35" s="76"/>
      <c r="R35" s="67" t="s">
        <v>1511</v>
      </c>
      <c r="S35" s="68">
        <v>800103927</v>
      </c>
      <c r="T35" s="77"/>
      <c r="U35" s="78"/>
      <c r="V35" s="81"/>
      <c r="W35" s="80">
        <v>1744232</v>
      </c>
    </row>
    <row r="36" spans="1:23" ht="15.6" x14ac:dyDescent="0.3">
      <c r="A36" s="67" t="s">
        <v>566</v>
      </c>
      <c r="B36" s="69">
        <v>13236110</v>
      </c>
      <c r="C36" s="69" t="s">
        <v>567</v>
      </c>
      <c r="D36" s="69">
        <v>0</v>
      </c>
      <c r="E36" s="70" t="s">
        <v>472</v>
      </c>
      <c r="F36" s="67" t="s">
        <v>1643</v>
      </c>
      <c r="G36" s="71">
        <v>38808</v>
      </c>
      <c r="H36" s="72"/>
      <c r="I36" s="133">
        <v>2861381.28</v>
      </c>
      <c r="J36" s="134">
        <v>430820.42</v>
      </c>
      <c r="K36" s="123" t="s">
        <v>1486</v>
      </c>
      <c r="L36" s="74">
        <v>0.12670000000000001</v>
      </c>
      <c r="M36" s="75">
        <v>233196</v>
      </c>
      <c r="N36" s="76">
        <v>14</v>
      </c>
      <c r="O36" s="76"/>
      <c r="P36" s="76"/>
      <c r="Q36" s="76"/>
      <c r="R36" s="67" t="s">
        <v>1511</v>
      </c>
      <c r="S36" s="68">
        <v>800103927</v>
      </c>
      <c r="T36" s="77"/>
      <c r="U36" s="78"/>
      <c r="V36" s="81"/>
      <c r="W36" s="80">
        <v>546354</v>
      </c>
    </row>
    <row r="37" spans="1:23" ht="15.6" x14ac:dyDescent="0.3">
      <c r="A37" s="67" t="s">
        <v>568</v>
      </c>
      <c r="B37" s="69">
        <v>13347957</v>
      </c>
      <c r="C37" s="69" t="s">
        <v>569</v>
      </c>
      <c r="D37" s="69">
        <v>0</v>
      </c>
      <c r="E37" s="70" t="s">
        <v>19</v>
      </c>
      <c r="F37" s="67" t="s">
        <v>1643</v>
      </c>
      <c r="G37" s="71">
        <v>38808</v>
      </c>
      <c r="H37" s="72"/>
      <c r="I37" s="133">
        <v>51833.31</v>
      </c>
      <c r="J37" s="134">
        <v>7804.22</v>
      </c>
      <c r="K37" s="123" t="s">
        <v>1486</v>
      </c>
      <c r="L37" s="74">
        <v>1.3899999999999999E-2</v>
      </c>
      <c r="M37" s="75">
        <v>22627</v>
      </c>
      <c r="N37" s="76">
        <v>14</v>
      </c>
      <c r="O37" s="76"/>
      <c r="P37" s="76"/>
      <c r="Q37" s="76"/>
      <c r="R37" s="67" t="s">
        <v>1511</v>
      </c>
      <c r="S37" s="68">
        <v>800103927</v>
      </c>
      <c r="T37" s="77"/>
      <c r="U37" s="78"/>
      <c r="V37" s="81"/>
      <c r="W37" s="80">
        <v>90213</v>
      </c>
    </row>
    <row r="38" spans="1:23" ht="15.6" x14ac:dyDescent="0.3">
      <c r="A38" s="67" t="s">
        <v>570</v>
      </c>
      <c r="B38" s="69">
        <v>13356383</v>
      </c>
      <c r="C38" s="69" t="s">
        <v>571</v>
      </c>
      <c r="D38" s="69">
        <v>0</v>
      </c>
      <c r="E38" s="70" t="s">
        <v>472</v>
      </c>
      <c r="F38" s="67" t="s">
        <v>1643</v>
      </c>
      <c r="G38" s="71">
        <v>38808</v>
      </c>
      <c r="H38" s="72"/>
      <c r="I38" s="133">
        <v>4028217.49</v>
      </c>
      <c r="J38" s="134">
        <v>606503.71</v>
      </c>
      <c r="K38" s="123" t="s">
        <v>1486</v>
      </c>
      <c r="L38" s="74">
        <v>0.15029999999999999</v>
      </c>
      <c r="M38" s="75">
        <v>318588</v>
      </c>
      <c r="N38" s="76">
        <v>14</v>
      </c>
      <c r="O38" s="76"/>
      <c r="P38" s="76"/>
      <c r="Q38" s="76"/>
      <c r="R38" s="67" t="s">
        <v>1511</v>
      </c>
      <c r="S38" s="68">
        <v>800103927</v>
      </c>
      <c r="T38" s="77"/>
      <c r="U38" s="78"/>
      <c r="V38" s="81"/>
      <c r="W38" s="80">
        <v>648379</v>
      </c>
    </row>
    <row r="39" spans="1:23" ht="15.6" x14ac:dyDescent="0.3">
      <c r="A39" s="67" t="s">
        <v>574</v>
      </c>
      <c r="B39" s="69">
        <v>13244028</v>
      </c>
      <c r="C39" s="69" t="s">
        <v>575</v>
      </c>
      <c r="D39" s="69">
        <v>0</v>
      </c>
      <c r="E39" s="70" t="s">
        <v>19</v>
      </c>
      <c r="F39" s="67" t="s">
        <v>1643</v>
      </c>
      <c r="G39" s="71">
        <v>44593</v>
      </c>
      <c r="H39" s="72"/>
      <c r="I39" s="133">
        <v>774729.68</v>
      </c>
      <c r="J39" s="134">
        <v>116646.24</v>
      </c>
      <c r="K39" s="123" t="s">
        <v>1486</v>
      </c>
      <c r="L39" s="74">
        <v>2.5000000000000001E-2</v>
      </c>
      <c r="M39" s="75">
        <v>54223</v>
      </c>
      <c r="N39" s="76">
        <v>14</v>
      </c>
      <c r="O39" s="76"/>
      <c r="P39" s="76"/>
      <c r="Q39" s="76"/>
      <c r="R39" s="67" t="s">
        <v>1511</v>
      </c>
      <c r="S39" s="68">
        <v>800103927</v>
      </c>
      <c r="T39" s="77"/>
      <c r="U39" s="78"/>
      <c r="V39" s="81"/>
      <c r="W39" s="80">
        <v>749696</v>
      </c>
    </row>
    <row r="40" spans="1:23" ht="15.6" x14ac:dyDescent="0.3">
      <c r="A40" s="67" t="s">
        <v>576</v>
      </c>
      <c r="B40" s="69">
        <v>13346256</v>
      </c>
      <c r="C40" s="69" t="s">
        <v>577</v>
      </c>
      <c r="D40" s="69">
        <v>0</v>
      </c>
      <c r="E40" s="70" t="s">
        <v>19</v>
      </c>
      <c r="F40" s="67" t="s">
        <v>1643</v>
      </c>
      <c r="G40" s="71">
        <v>39416</v>
      </c>
      <c r="H40" s="72"/>
      <c r="I40" s="133">
        <v>103432.45</v>
      </c>
      <c r="J40" s="134">
        <v>15573.18</v>
      </c>
      <c r="K40" s="123" t="s">
        <v>20</v>
      </c>
      <c r="L40" s="74">
        <v>8.77E-2</v>
      </c>
      <c r="M40" s="75">
        <v>196822</v>
      </c>
      <c r="N40" s="76">
        <v>13</v>
      </c>
      <c r="O40" s="76"/>
      <c r="P40" s="76"/>
      <c r="Q40" s="76"/>
      <c r="R40" s="67" t="s">
        <v>1511</v>
      </c>
      <c r="S40" s="68">
        <v>800103927</v>
      </c>
      <c r="T40" s="77"/>
      <c r="U40" s="78"/>
      <c r="V40" s="81"/>
      <c r="W40" s="80">
        <v>28532</v>
      </c>
    </row>
    <row r="41" spans="1:23" ht="15.6" x14ac:dyDescent="0.3">
      <c r="A41" s="67" t="s">
        <v>578</v>
      </c>
      <c r="B41" s="69">
        <v>13345921</v>
      </c>
      <c r="C41" s="69" t="s">
        <v>579</v>
      </c>
      <c r="D41" s="69">
        <v>0</v>
      </c>
      <c r="E41" s="70" t="s">
        <v>472</v>
      </c>
      <c r="F41" s="67" t="s">
        <v>1643</v>
      </c>
      <c r="G41" s="71">
        <v>40147</v>
      </c>
      <c r="H41" s="72"/>
      <c r="I41" s="133">
        <v>349026.45</v>
      </c>
      <c r="J41" s="134">
        <v>52550.74</v>
      </c>
      <c r="K41" s="123" t="s">
        <v>1486</v>
      </c>
      <c r="L41" s="74">
        <v>2.5899999999999999E-2</v>
      </c>
      <c r="M41" s="75">
        <v>45102</v>
      </c>
      <c r="N41" s="76">
        <v>14</v>
      </c>
      <c r="O41" s="76"/>
      <c r="P41" s="76"/>
      <c r="Q41" s="76"/>
      <c r="R41" s="67" t="s">
        <v>1511</v>
      </c>
      <c r="S41" s="68">
        <v>800103927</v>
      </c>
      <c r="T41" s="77"/>
      <c r="U41" s="78"/>
      <c r="V41" s="81"/>
      <c r="W41" s="80">
        <v>326012</v>
      </c>
    </row>
    <row r="42" spans="1:23" ht="15.6" x14ac:dyDescent="0.3">
      <c r="A42" s="67" t="s">
        <v>586</v>
      </c>
      <c r="B42" s="69">
        <v>25842092</v>
      </c>
      <c r="C42" s="69" t="s">
        <v>587</v>
      </c>
      <c r="D42" s="69">
        <v>0</v>
      </c>
      <c r="E42" s="70" t="s">
        <v>19</v>
      </c>
      <c r="F42" s="67" t="s">
        <v>1643</v>
      </c>
      <c r="G42" s="71">
        <v>35582</v>
      </c>
      <c r="H42" s="72"/>
      <c r="I42" s="133">
        <v>6275729.1200000001</v>
      </c>
      <c r="J42" s="134">
        <v>944897.58</v>
      </c>
      <c r="K42" s="123" t="s">
        <v>1474</v>
      </c>
      <c r="L42" s="74">
        <v>0.1242</v>
      </c>
      <c r="M42" s="75">
        <v>244896</v>
      </c>
      <c r="N42" s="76">
        <v>14</v>
      </c>
      <c r="O42" s="76">
        <v>0</v>
      </c>
      <c r="P42" s="83">
        <v>1122798</v>
      </c>
      <c r="Q42" s="76">
        <v>0</v>
      </c>
      <c r="R42" s="67" t="s">
        <v>1512</v>
      </c>
      <c r="S42" s="68">
        <v>800103935</v>
      </c>
      <c r="T42" s="77"/>
      <c r="U42" s="78"/>
      <c r="V42" s="63"/>
      <c r="W42" s="80">
        <v>1222412</v>
      </c>
    </row>
    <row r="43" spans="1:23" ht="15.6" x14ac:dyDescent="0.3">
      <c r="A43" s="67" t="s">
        <v>588</v>
      </c>
      <c r="B43" s="69">
        <v>34957700</v>
      </c>
      <c r="C43" s="69" t="s">
        <v>589</v>
      </c>
      <c r="D43" s="69">
        <v>0</v>
      </c>
      <c r="E43" s="70" t="s">
        <v>472</v>
      </c>
      <c r="F43" s="67" t="s">
        <v>1643</v>
      </c>
      <c r="G43" s="71">
        <v>38217</v>
      </c>
      <c r="H43" s="72"/>
      <c r="I43" s="133">
        <v>4556694.08</v>
      </c>
      <c r="J43" s="134">
        <v>686073.15</v>
      </c>
      <c r="K43" s="123" t="s">
        <v>1474</v>
      </c>
      <c r="L43" s="74">
        <v>0.17119999999999999</v>
      </c>
      <c r="M43" s="75">
        <v>302549</v>
      </c>
      <c r="N43" s="76">
        <v>14</v>
      </c>
      <c r="O43" s="76">
        <v>0</v>
      </c>
      <c r="P43" s="83">
        <v>446941</v>
      </c>
      <c r="Q43" s="83">
        <v>1417483</v>
      </c>
      <c r="R43" s="67" t="s">
        <v>1512</v>
      </c>
      <c r="S43" s="68">
        <v>800103935</v>
      </c>
      <c r="T43" s="77"/>
      <c r="U43" s="78"/>
      <c r="V43" s="81"/>
      <c r="W43" s="80">
        <v>643904</v>
      </c>
    </row>
    <row r="44" spans="1:23" ht="15.6" x14ac:dyDescent="0.3">
      <c r="A44" s="67" t="s">
        <v>590</v>
      </c>
      <c r="B44" s="69">
        <v>37807406</v>
      </c>
      <c r="C44" s="69" t="s">
        <v>591</v>
      </c>
      <c r="D44" s="69">
        <v>0</v>
      </c>
      <c r="E44" s="70" t="s">
        <v>592</v>
      </c>
      <c r="F44" s="67" t="s">
        <v>1643</v>
      </c>
      <c r="G44" s="71">
        <v>38539</v>
      </c>
      <c r="H44" s="72">
        <v>45621</v>
      </c>
      <c r="I44" s="133">
        <v>3239729.92</v>
      </c>
      <c r="J44" s="134">
        <v>487786.03</v>
      </c>
      <c r="K44" s="123" t="s">
        <v>1474</v>
      </c>
      <c r="L44" s="74">
        <v>6.4199999999999993E-2</v>
      </c>
      <c r="M44" s="75">
        <v>147972</v>
      </c>
      <c r="N44" s="76">
        <v>14</v>
      </c>
      <c r="O44" s="76">
        <v>0</v>
      </c>
      <c r="P44" s="83">
        <v>471760</v>
      </c>
      <c r="Q44" s="83">
        <v>1933918</v>
      </c>
      <c r="R44" s="67" t="s">
        <v>1512</v>
      </c>
      <c r="S44" s="68">
        <v>800103935</v>
      </c>
      <c r="T44" s="77"/>
      <c r="U44" s="78"/>
      <c r="V44" s="82"/>
      <c r="W44" s="80">
        <v>1220812</v>
      </c>
    </row>
    <row r="45" spans="1:23" ht="15.6" x14ac:dyDescent="0.3">
      <c r="A45" s="67" t="s">
        <v>593</v>
      </c>
      <c r="B45" s="69">
        <v>15015806</v>
      </c>
      <c r="C45" s="69" t="s">
        <v>594</v>
      </c>
      <c r="D45" s="69">
        <v>0</v>
      </c>
      <c r="E45" s="70" t="s">
        <v>472</v>
      </c>
      <c r="F45" s="67" t="s">
        <v>1643</v>
      </c>
      <c r="G45" s="71">
        <v>38686</v>
      </c>
      <c r="H45" s="72"/>
      <c r="I45" s="133">
        <v>96102.46</v>
      </c>
      <c r="J45" s="134">
        <v>14469.55</v>
      </c>
      <c r="K45" s="123" t="s">
        <v>1474</v>
      </c>
      <c r="L45" s="74">
        <v>2.4E-2</v>
      </c>
      <c r="M45" s="75">
        <v>34198</v>
      </c>
      <c r="N45" s="76">
        <v>14</v>
      </c>
      <c r="O45" s="76">
        <v>0</v>
      </c>
      <c r="P45" s="83">
        <v>1559675</v>
      </c>
      <c r="Q45" s="76">
        <v>0</v>
      </c>
      <c r="R45" s="67" t="s">
        <v>1512</v>
      </c>
      <c r="S45" s="68">
        <v>800103935</v>
      </c>
      <c r="T45" s="77"/>
      <c r="U45" s="78"/>
      <c r="V45" s="81"/>
      <c r="W45" s="80">
        <v>96872</v>
      </c>
    </row>
    <row r="46" spans="1:23" ht="15.6" x14ac:dyDescent="0.3">
      <c r="A46" s="67" t="s">
        <v>609</v>
      </c>
      <c r="B46" s="69">
        <v>5802772</v>
      </c>
      <c r="C46" s="69" t="s">
        <v>610</v>
      </c>
      <c r="D46" s="69">
        <v>0</v>
      </c>
      <c r="E46" s="70" t="s">
        <v>19</v>
      </c>
      <c r="F46" s="67" t="s">
        <v>1643</v>
      </c>
      <c r="G46" s="71">
        <v>33631</v>
      </c>
      <c r="H46" s="72">
        <v>45222</v>
      </c>
      <c r="I46" s="133">
        <v>7019423.6799999997</v>
      </c>
      <c r="J46" s="134">
        <v>1056871.06</v>
      </c>
      <c r="K46" s="123" t="s">
        <v>1477</v>
      </c>
      <c r="L46" s="74">
        <v>0.1181</v>
      </c>
      <c r="M46" s="75">
        <v>7696</v>
      </c>
      <c r="N46" s="76">
        <v>14</v>
      </c>
      <c r="O46" s="76"/>
      <c r="P46" s="76"/>
      <c r="Q46" s="76"/>
      <c r="R46" s="67" t="s">
        <v>1513</v>
      </c>
      <c r="S46" s="68">
        <v>800113389</v>
      </c>
      <c r="T46" s="77"/>
      <c r="U46" s="78"/>
      <c r="V46" s="81"/>
      <c r="W46" s="80">
        <v>1437893</v>
      </c>
    </row>
    <row r="47" spans="1:23" ht="15.6" x14ac:dyDescent="0.3">
      <c r="A47" s="67" t="s">
        <v>611</v>
      </c>
      <c r="B47" s="69">
        <v>2213612</v>
      </c>
      <c r="C47" s="69" t="s">
        <v>612</v>
      </c>
      <c r="D47" s="69">
        <v>0</v>
      </c>
      <c r="E47" s="70" t="s">
        <v>472</v>
      </c>
      <c r="F47" s="67" t="s">
        <v>1643</v>
      </c>
      <c r="G47" s="71">
        <v>28331</v>
      </c>
      <c r="H47" s="72">
        <v>45222</v>
      </c>
      <c r="I47" s="133">
        <v>77639042.5</v>
      </c>
      <c r="J47" s="134">
        <v>11689628.76</v>
      </c>
      <c r="K47" s="123" t="s">
        <v>1477</v>
      </c>
      <c r="L47" s="74">
        <v>0.76080000000000003</v>
      </c>
      <c r="M47" s="75">
        <v>6183</v>
      </c>
      <c r="N47" s="76">
        <v>14</v>
      </c>
      <c r="O47" s="76"/>
      <c r="P47" s="76"/>
      <c r="Q47" s="76"/>
      <c r="R47" s="67" t="s">
        <v>1514</v>
      </c>
      <c r="S47" s="68">
        <v>800113672</v>
      </c>
      <c r="T47" s="77">
        <v>28512980</v>
      </c>
      <c r="U47" s="78" t="s">
        <v>1670</v>
      </c>
      <c r="V47" s="81"/>
      <c r="W47" s="80">
        <v>2468793</v>
      </c>
    </row>
    <row r="48" spans="1:23" ht="15.6" x14ac:dyDescent="0.3">
      <c r="A48" s="67" t="s">
        <v>613</v>
      </c>
      <c r="B48" s="69">
        <v>28505549</v>
      </c>
      <c r="C48" s="69" t="s">
        <v>614</v>
      </c>
      <c r="D48" s="69">
        <v>0</v>
      </c>
      <c r="E48" s="70" t="s">
        <v>472</v>
      </c>
      <c r="F48" s="67" t="s">
        <v>1643</v>
      </c>
      <c r="G48" s="71">
        <v>28897</v>
      </c>
      <c r="H48" s="72">
        <v>45222</v>
      </c>
      <c r="I48" s="133">
        <v>34911051.200000003</v>
      </c>
      <c r="J48" s="134">
        <v>5256340.3</v>
      </c>
      <c r="K48" s="123" t="s">
        <v>1471</v>
      </c>
      <c r="L48" s="74">
        <v>0.35099999999999998</v>
      </c>
      <c r="M48" s="75">
        <v>12759</v>
      </c>
      <c r="N48" s="76">
        <v>14</v>
      </c>
      <c r="O48" s="76"/>
      <c r="P48" s="76"/>
      <c r="Q48" s="76"/>
      <c r="R48" s="67" t="s">
        <v>1514</v>
      </c>
      <c r="S48" s="68">
        <v>800113672</v>
      </c>
      <c r="T48" s="77">
        <v>1796134</v>
      </c>
      <c r="U48" s="78" t="s">
        <v>1671</v>
      </c>
      <c r="V48" s="81"/>
      <c r="W48" s="80">
        <v>2406195</v>
      </c>
    </row>
    <row r="49" spans="1:23" ht="15.6" x14ac:dyDescent="0.3">
      <c r="A49" s="67" t="s">
        <v>488</v>
      </c>
      <c r="B49" s="69">
        <v>2344430</v>
      </c>
      <c r="C49" s="69" t="s">
        <v>489</v>
      </c>
      <c r="D49" s="69">
        <v>0</v>
      </c>
      <c r="E49" s="70" t="s">
        <v>19</v>
      </c>
      <c r="F49" s="67" t="s">
        <v>1643</v>
      </c>
      <c r="G49" s="71">
        <v>30317</v>
      </c>
      <c r="H49" s="72">
        <v>45222</v>
      </c>
      <c r="I49" s="133">
        <v>41642943.32</v>
      </c>
      <c r="J49" s="134">
        <v>6269919.5199999996</v>
      </c>
      <c r="K49" s="123" t="s">
        <v>1477</v>
      </c>
      <c r="L49" s="74">
        <v>0.58540000000000003</v>
      </c>
      <c r="M49" s="75">
        <v>15628</v>
      </c>
      <c r="N49" s="76">
        <v>14</v>
      </c>
      <c r="O49" s="76"/>
      <c r="P49" s="76"/>
      <c r="Q49" s="76"/>
      <c r="R49" s="67" t="s">
        <v>1514</v>
      </c>
      <c r="S49" s="68">
        <v>800113672</v>
      </c>
      <c r="T49" s="77">
        <v>28708753</v>
      </c>
      <c r="U49" s="78" t="s">
        <v>1655</v>
      </c>
      <c r="V49" s="81"/>
      <c r="W49" s="80">
        <v>1720932</v>
      </c>
    </row>
    <row r="50" spans="1:23" ht="16.2" thickBot="1" x14ac:dyDescent="0.35">
      <c r="A50" s="67" t="s">
        <v>615</v>
      </c>
      <c r="B50" s="69">
        <v>2271189</v>
      </c>
      <c r="C50" s="69" t="s">
        <v>616</v>
      </c>
      <c r="D50" s="69">
        <v>0</v>
      </c>
      <c r="E50" s="70" t="s">
        <v>19</v>
      </c>
      <c r="F50" s="67" t="s">
        <v>1643</v>
      </c>
      <c r="G50" s="71">
        <v>33572</v>
      </c>
      <c r="H50" s="86">
        <v>45222</v>
      </c>
      <c r="I50" s="133">
        <v>4995690.1100000003</v>
      </c>
      <c r="J50" s="134">
        <v>752170.06</v>
      </c>
      <c r="K50" s="123" t="s">
        <v>1477</v>
      </c>
      <c r="L50" s="74">
        <v>0.12609999999999999</v>
      </c>
      <c r="M50" s="75">
        <v>29021</v>
      </c>
      <c r="N50" s="76">
        <v>14</v>
      </c>
      <c r="O50" s="76"/>
      <c r="P50" s="76"/>
      <c r="Q50" s="76"/>
      <c r="R50" s="67" t="s">
        <v>1514</v>
      </c>
      <c r="S50" s="68">
        <v>800113672</v>
      </c>
      <c r="T50" s="77"/>
      <c r="U50" s="78"/>
      <c r="V50" s="81"/>
      <c r="W50" s="80">
        <v>958419</v>
      </c>
    </row>
    <row r="51" spans="1:23" ht="15.6" x14ac:dyDescent="0.3">
      <c r="A51" s="67" t="s">
        <v>617</v>
      </c>
      <c r="B51" s="69">
        <v>5804857</v>
      </c>
      <c r="C51" s="69" t="s">
        <v>618</v>
      </c>
      <c r="D51" s="69">
        <v>0</v>
      </c>
      <c r="E51" s="70" t="s">
        <v>472</v>
      </c>
      <c r="F51" s="67" t="s">
        <v>1643</v>
      </c>
      <c r="G51" s="71">
        <v>33572</v>
      </c>
      <c r="H51" s="87">
        <v>45222</v>
      </c>
      <c r="I51" s="133">
        <v>14322429.109999999</v>
      </c>
      <c r="J51" s="134">
        <v>2156439.2599999998</v>
      </c>
      <c r="K51" s="123" t="s">
        <v>1477</v>
      </c>
      <c r="L51" s="74">
        <v>0.19670000000000001</v>
      </c>
      <c r="M51" s="75">
        <v>47727</v>
      </c>
      <c r="N51" s="76">
        <v>14</v>
      </c>
      <c r="O51" s="76"/>
      <c r="P51" s="76"/>
      <c r="Q51" s="76"/>
      <c r="R51" s="67" t="s">
        <v>1514</v>
      </c>
      <c r="S51" s="68">
        <v>800113672</v>
      </c>
      <c r="T51" s="77">
        <v>28650582</v>
      </c>
      <c r="U51" s="78" t="s">
        <v>1672</v>
      </c>
      <c r="V51" s="81"/>
      <c r="W51" s="80">
        <v>1761519</v>
      </c>
    </row>
    <row r="52" spans="1:23" ht="15.6" x14ac:dyDescent="0.3">
      <c r="A52" s="67" t="s">
        <v>623</v>
      </c>
      <c r="B52" s="69">
        <v>28521533</v>
      </c>
      <c r="C52" s="69" t="s">
        <v>624</v>
      </c>
      <c r="D52" s="69">
        <v>0</v>
      </c>
      <c r="E52" s="70" t="s">
        <v>592</v>
      </c>
      <c r="F52" s="67" t="s">
        <v>1643</v>
      </c>
      <c r="G52" s="71">
        <v>34668</v>
      </c>
      <c r="H52" s="72">
        <v>45222</v>
      </c>
      <c r="I52" s="133">
        <v>52755423.090000004</v>
      </c>
      <c r="J52" s="134">
        <v>7943056.6299999999</v>
      </c>
      <c r="K52" s="123" t="s">
        <v>1471</v>
      </c>
      <c r="L52" s="74">
        <v>0.41299999999999998</v>
      </c>
      <c r="M52" s="75">
        <v>101405</v>
      </c>
      <c r="N52" s="76">
        <v>14</v>
      </c>
      <c r="O52" s="76"/>
      <c r="P52" s="76"/>
      <c r="Q52" s="76"/>
      <c r="R52" s="67" t="s">
        <v>1514</v>
      </c>
      <c r="S52" s="68">
        <v>800113672</v>
      </c>
      <c r="T52" s="77"/>
      <c r="U52" s="78"/>
      <c r="V52" s="81"/>
      <c r="W52" s="80">
        <v>3090239</v>
      </c>
    </row>
    <row r="53" spans="1:23" ht="15.6" x14ac:dyDescent="0.3">
      <c r="A53" s="67" t="s">
        <v>625</v>
      </c>
      <c r="B53" s="69">
        <v>7399642</v>
      </c>
      <c r="C53" s="69" t="s">
        <v>626</v>
      </c>
      <c r="D53" s="69">
        <v>0</v>
      </c>
      <c r="E53" s="70" t="s">
        <v>472</v>
      </c>
      <c r="F53" s="67" t="s">
        <v>1643</v>
      </c>
      <c r="G53" s="71">
        <v>34700</v>
      </c>
      <c r="H53" s="72">
        <v>45222</v>
      </c>
      <c r="I53" s="133">
        <v>8771627.5299999993</v>
      </c>
      <c r="J53" s="134">
        <v>1320689.52</v>
      </c>
      <c r="K53" s="123" t="s">
        <v>1477</v>
      </c>
      <c r="L53" s="74">
        <v>8.3400000000000002E-2</v>
      </c>
      <c r="M53" s="75">
        <v>49262</v>
      </c>
      <c r="N53" s="76">
        <v>14</v>
      </c>
      <c r="O53" s="76"/>
      <c r="P53" s="76"/>
      <c r="Q53" s="76"/>
      <c r="R53" s="67" t="s">
        <v>1514</v>
      </c>
      <c r="S53" s="68">
        <v>800113672</v>
      </c>
      <c r="T53" s="77"/>
      <c r="U53" s="78"/>
      <c r="V53" s="81"/>
      <c r="W53" s="80">
        <v>2544422</v>
      </c>
    </row>
    <row r="54" spans="1:23" ht="15.6" x14ac:dyDescent="0.3">
      <c r="A54" s="67" t="s">
        <v>627</v>
      </c>
      <c r="B54" s="69">
        <v>8236201</v>
      </c>
      <c r="C54" s="69" t="s">
        <v>628</v>
      </c>
      <c r="D54" s="69">
        <v>0</v>
      </c>
      <c r="E54" s="70" t="s">
        <v>629</v>
      </c>
      <c r="F54" s="67" t="s">
        <v>1643</v>
      </c>
      <c r="G54" s="71">
        <v>35431</v>
      </c>
      <c r="H54" s="72">
        <v>45222</v>
      </c>
      <c r="I54" s="133">
        <v>4021769.73</v>
      </c>
      <c r="J54" s="134">
        <v>605532.91</v>
      </c>
      <c r="K54" s="123" t="s">
        <v>1483</v>
      </c>
      <c r="L54" s="74">
        <v>7.1599999999999997E-2</v>
      </c>
      <c r="M54" s="75">
        <v>57878</v>
      </c>
      <c r="N54" s="76">
        <v>14</v>
      </c>
      <c r="O54" s="76"/>
      <c r="P54" s="76"/>
      <c r="Q54" s="76"/>
      <c r="R54" s="67" t="s">
        <v>1514</v>
      </c>
      <c r="S54" s="68">
        <v>800113672</v>
      </c>
      <c r="T54" s="77"/>
      <c r="U54" s="78"/>
      <c r="V54" s="81"/>
      <c r="W54" s="80">
        <v>1358874</v>
      </c>
    </row>
    <row r="55" spans="1:23" ht="15.6" x14ac:dyDescent="0.3">
      <c r="A55" s="67" t="s">
        <v>632</v>
      </c>
      <c r="B55" s="69">
        <v>28546866</v>
      </c>
      <c r="C55" s="69" t="s">
        <v>633</v>
      </c>
      <c r="D55" s="69">
        <v>0</v>
      </c>
      <c r="E55" s="70" t="s">
        <v>472</v>
      </c>
      <c r="F55" s="67" t="s">
        <v>1643</v>
      </c>
      <c r="G55" s="71">
        <v>37895</v>
      </c>
      <c r="H55" s="72">
        <v>45222</v>
      </c>
      <c r="I55" s="133">
        <v>175428.79</v>
      </c>
      <c r="J55" s="134">
        <v>26413.22</v>
      </c>
      <c r="K55" s="123" t="s">
        <v>1471</v>
      </c>
      <c r="L55" s="74">
        <v>1.12E-2</v>
      </c>
      <c r="M55" s="75">
        <v>16884</v>
      </c>
      <c r="N55" s="76">
        <v>14</v>
      </c>
      <c r="O55" s="76"/>
      <c r="P55" s="76"/>
      <c r="Q55" s="76"/>
      <c r="R55" s="67" t="s">
        <v>1514</v>
      </c>
      <c r="S55" s="68">
        <v>800113672</v>
      </c>
      <c r="T55" s="77"/>
      <c r="U55" s="78"/>
      <c r="V55" s="81"/>
      <c r="W55" s="80">
        <v>378929</v>
      </c>
    </row>
    <row r="56" spans="1:23" ht="15.6" x14ac:dyDescent="0.3">
      <c r="A56" s="67" t="s">
        <v>636</v>
      </c>
      <c r="B56" s="69">
        <v>14204748</v>
      </c>
      <c r="C56" s="69" t="s">
        <v>637</v>
      </c>
      <c r="D56" s="69">
        <v>0</v>
      </c>
      <c r="E56" s="70" t="s">
        <v>472</v>
      </c>
      <c r="F56" s="67" t="s">
        <v>1643</v>
      </c>
      <c r="G56" s="71">
        <v>38991</v>
      </c>
      <c r="H56" s="72">
        <v>45222</v>
      </c>
      <c r="I56" s="133">
        <v>214197.9</v>
      </c>
      <c r="J56" s="134">
        <v>32250.45</v>
      </c>
      <c r="K56" s="123" t="s">
        <v>1477</v>
      </c>
      <c r="L56" s="74">
        <v>3.3700000000000001E-2</v>
      </c>
      <c r="M56" s="75">
        <v>62299</v>
      </c>
      <c r="N56" s="76">
        <v>14</v>
      </c>
      <c r="O56" s="76"/>
      <c r="P56" s="76"/>
      <c r="Q56" s="76"/>
      <c r="R56" s="67" t="s">
        <v>1514</v>
      </c>
      <c r="S56" s="68">
        <v>800113672</v>
      </c>
      <c r="T56" s="77"/>
      <c r="U56" s="78"/>
      <c r="V56" s="82"/>
      <c r="W56" s="80">
        <v>153766</v>
      </c>
    </row>
    <row r="57" spans="1:23" ht="15.6" x14ac:dyDescent="0.3">
      <c r="A57" s="67" t="s">
        <v>638</v>
      </c>
      <c r="B57" s="69">
        <v>5986404</v>
      </c>
      <c r="C57" s="69" t="s">
        <v>639</v>
      </c>
      <c r="D57" s="69">
        <v>0</v>
      </c>
      <c r="E57" s="70" t="s">
        <v>472</v>
      </c>
      <c r="F57" s="67" t="s">
        <v>1643</v>
      </c>
      <c r="G57" s="71">
        <v>39417</v>
      </c>
      <c r="H57" s="72">
        <v>45222</v>
      </c>
      <c r="I57" s="133">
        <v>1957054.44</v>
      </c>
      <c r="J57" s="134">
        <v>294661.53999999998</v>
      </c>
      <c r="K57" s="123" t="s">
        <v>1488</v>
      </c>
      <c r="L57" s="74">
        <v>7.7100000000000002E-2</v>
      </c>
      <c r="M57" s="75">
        <v>256451</v>
      </c>
      <c r="N57" s="76">
        <v>13</v>
      </c>
      <c r="O57" s="76"/>
      <c r="P57" s="76"/>
      <c r="Q57" s="76"/>
      <c r="R57" s="67" t="s">
        <v>1514</v>
      </c>
      <c r="S57" s="68">
        <v>800113672</v>
      </c>
      <c r="T57" s="77"/>
      <c r="U57" s="78"/>
      <c r="V57" s="81"/>
      <c r="W57" s="80">
        <v>614078</v>
      </c>
    </row>
    <row r="58" spans="1:23" ht="15.6" x14ac:dyDescent="0.3">
      <c r="A58" s="67" t="s">
        <v>640</v>
      </c>
      <c r="B58" s="69">
        <v>14212911</v>
      </c>
      <c r="C58" s="69" t="s">
        <v>641</v>
      </c>
      <c r="D58" s="69">
        <v>0</v>
      </c>
      <c r="E58" s="70" t="s">
        <v>19</v>
      </c>
      <c r="F58" s="67" t="s">
        <v>1643</v>
      </c>
      <c r="G58" s="71">
        <v>39783</v>
      </c>
      <c r="H58" s="72">
        <v>45222</v>
      </c>
      <c r="I58" s="133">
        <v>2868470.62</v>
      </c>
      <c r="J58" s="134">
        <v>431887.82</v>
      </c>
      <c r="K58" s="123" t="s">
        <v>1477</v>
      </c>
      <c r="L58" s="74">
        <v>0.12970000000000001</v>
      </c>
      <c r="M58" s="75">
        <v>239382</v>
      </c>
      <c r="N58" s="76">
        <v>13</v>
      </c>
      <c r="O58" s="76"/>
      <c r="P58" s="76"/>
      <c r="Q58" s="76"/>
      <c r="R58" s="67" t="s">
        <v>1514</v>
      </c>
      <c r="S58" s="68">
        <v>800113672</v>
      </c>
      <c r="T58" s="77"/>
      <c r="U58" s="78"/>
      <c r="V58" s="81"/>
      <c r="W58" s="80">
        <v>535039</v>
      </c>
    </row>
    <row r="59" spans="1:23" ht="15.6" x14ac:dyDescent="0.3">
      <c r="A59" s="67" t="s">
        <v>642</v>
      </c>
      <c r="B59" s="146">
        <v>32412374</v>
      </c>
      <c r="C59" s="69" t="s">
        <v>643</v>
      </c>
      <c r="D59" s="69">
        <v>0</v>
      </c>
      <c r="E59" s="70" t="s">
        <v>472</v>
      </c>
      <c r="F59" s="67" t="s">
        <v>1643</v>
      </c>
      <c r="G59" s="71">
        <v>34700</v>
      </c>
      <c r="H59" s="72">
        <v>45222</v>
      </c>
      <c r="I59" s="133">
        <v>92066.04</v>
      </c>
      <c r="J59" s="134">
        <v>13861.81</v>
      </c>
      <c r="K59" s="123" t="s">
        <v>1472</v>
      </c>
      <c r="L59" s="74">
        <v>6.1100000000000002E-2</v>
      </c>
      <c r="M59" s="85"/>
      <c r="N59" s="76">
        <v>14</v>
      </c>
      <c r="O59" s="76"/>
      <c r="P59" s="76"/>
      <c r="Q59" s="76"/>
      <c r="R59" s="67" t="s">
        <v>1515</v>
      </c>
      <c r="S59" s="68">
        <v>800114312</v>
      </c>
      <c r="T59" s="77"/>
      <c r="U59" s="78"/>
      <c r="V59" s="82"/>
      <c r="W59" s="80">
        <v>36453</v>
      </c>
    </row>
    <row r="60" spans="1:23" ht="15.6" x14ac:dyDescent="0.3">
      <c r="A60" s="67" t="s">
        <v>644</v>
      </c>
      <c r="B60" s="69">
        <v>4316056</v>
      </c>
      <c r="C60" s="69" t="s">
        <v>645</v>
      </c>
      <c r="D60" s="69">
        <v>0</v>
      </c>
      <c r="E60" s="70" t="s">
        <v>19</v>
      </c>
      <c r="F60" s="67" t="s">
        <v>1643</v>
      </c>
      <c r="G60" s="71">
        <v>32629</v>
      </c>
      <c r="H60" s="72">
        <v>45222</v>
      </c>
      <c r="I60" s="133">
        <v>32237731.760000002</v>
      </c>
      <c r="J60" s="134">
        <v>4853835.1900000004</v>
      </c>
      <c r="K60" s="123" t="s">
        <v>1489</v>
      </c>
      <c r="L60" s="74">
        <v>0.28439999999999999</v>
      </c>
      <c r="M60" s="75">
        <v>2027</v>
      </c>
      <c r="N60" s="76">
        <v>14</v>
      </c>
      <c r="O60" s="76"/>
      <c r="P60" s="76"/>
      <c r="Q60" s="76"/>
      <c r="R60" s="67" t="s">
        <v>1516</v>
      </c>
      <c r="S60" s="68">
        <v>800118954</v>
      </c>
      <c r="T60" s="77"/>
      <c r="U60" s="78"/>
      <c r="V60" s="81"/>
      <c r="W60" s="80">
        <v>2742268</v>
      </c>
    </row>
    <row r="61" spans="1:23" ht="15.6" x14ac:dyDescent="0.3">
      <c r="A61" s="67" t="s">
        <v>646</v>
      </c>
      <c r="B61" s="69">
        <v>24293978</v>
      </c>
      <c r="C61" s="69" t="s">
        <v>647</v>
      </c>
      <c r="D61" s="69">
        <v>0</v>
      </c>
      <c r="E61" s="70" t="s">
        <v>19</v>
      </c>
      <c r="F61" s="67" t="s">
        <v>1643</v>
      </c>
      <c r="G61" s="71">
        <v>34700</v>
      </c>
      <c r="H61" s="72">
        <v>45222</v>
      </c>
      <c r="I61" s="133">
        <v>1179536.1000000001</v>
      </c>
      <c r="J61" s="134">
        <v>177595.43</v>
      </c>
      <c r="K61" s="123" t="s">
        <v>1471</v>
      </c>
      <c r="L61" s="74">
        <v>7.9299999999999995E-2</v>
      </c>
      <c r="M61" s="75">
        <v>92743</v>
      </c>
      <c r="N61" s="76">
        <v>14</v>
      </c>
      <c r="O61" s="76"/>
      <c r="P61" s="76"/>
      <c r="Q61" s="76"/>
      <c r="R61" s="67" t="s">
        <v>1517</v>
      </c>
      <c r="S61" s="68">
        <v>800130465</v>
      </c>
      <c r="T61" s="77"/>
      <c r="U61" s="78"/>
      <c r="V61" s="81"/>
      <c r="W61" s="80">
        <v>359843</v>
      </c>
    </row>
    <row r="62" spans="1:23" ht="15.6" x14ac:dyDescent="0.3">
      <c r="A62" s="67" t="s">
        <v>650</v>
      </c>
      <c r="B62" s="69">
        <v>32492112</v>
      </c>
      <c r="C62" s="69" t="s">
        <v>651</v>
      </c>
      <c r="D62" s="69">
        <v>0</v>
      </c>
      <c r="E62" s="70" t="s">
        <v>472</v>
      </c>
      <c r="F62" s="67" t="s">
        <v>1643</v>
      </c>
      <c r="G62" s="71">
        <v>39416</v>
      </c>
      <c r="H62" s="72">
        <v>45222</v>
      </c>
      <c r="I62" s="133">
        <v>407604.22</v>
      </c>
      <c r="J62" s="134">
        <v>61370.44</v>
      </c>
      <c r="K62" s="123" t="s">
        <v>1472</v>
      </c>
      <c r="L62" s="74">
        <v>3.2300000000000002E-2</v>
      </c>
      <c r="M62" s="75">
        <v>59768</v>
      </c>
      <c r="N62" s="76">
        <v>13</v>
      </c>
      <c r="O62" s="76"/>
      <c r="P62" s="76"/>
      <c r="Q62" s="76"/>
      <c r="R62" s="67" t="s">
        <v>1519</v>
      </c>
      <c r="S62" s="68">
        <v>800155633</v>
      </c>
      <c r="T62" s="77"/>
      <c r="U62" s="78"/>
      <c r="V62" s="81"/>
      <c r="W62" s="80">
        <v>305289</v>
      </c>
    </row>
    <row r="63" spans="1:23" ht="15.6" x14ac:dyDescent="0.3">
      <c r="A63" s="67" t="s">
        <v>654</v>
      </c>
      <c r="B63" s="69">
        <v>33128453</v>
      </c>
      <c r="C63" s="69" t="s">
        <v>655</v>
      </c>
      <c r="D63" s="69">
        <v>0</v>
      </c>
      <c r="E63" s="70" t="s">
        <v>472</v>
      </c>
      <c r="F63" s="67" t="s">
        <v>1643</v>
      </c>
      <c r="G63" s="71">
        <v>38275</v>
      </c>
      <c r="H63" s="72">
        <v>45222</v>
      </c>
      <c r="I63" s="133">
        <v>475524.23</v>
      </c>
      <c r="J63" s="134">
        <v>71596.73</v>
      </c>
      <c r="K63" s="123" t="s">
        <v>1490</v>
      </c>
      <c r="L63" s="74">
        <v>1.06E-2</v>
      </c>
      <c r="M63" s="75">
        <v>18714</v>
      </c>
      <c r="N63" s="76">
        <v>14</v>
      </c>
      <c r="O63" s="76"/>
      <c r="P63" s="76"/>
      <c r="Q63" s="76"/>
      <c r="R63" s="67" t="s">
        <v>1521</v>
      </c>
      <c r="S63" s="68">
        <v>800231235</v>
      </c>
      <c r="T63" s="77"/>
      <c r="U63" s="78"/>
      <c r="V63" s="81"/>
      <c r="W63" s="80">
        <v>1085280</v>
      </c>
    </row>
    <row r="64" spans="1:23" ht="15.6" x14ac:dyDescent="0.3">
      <c r="A64" s="67" t="s">
        <v>656</v>
      </c>
      <c r="B64" s="69">
        <v>34523687</v>
      </c>
      <c r="C64" s="69" t="s">
        <v>657</v>
      </c>
      <c r="D64" s="69">
        <v>0</v>
      </c>
      <c r="E64" s="70" t="s">
        <v>472</v>
      </c>
      <c r="F64" s="67" t="s">
        <v>1643</v>
      </c>
      <c r="G64" s="71">
        <v>39539</v>
      </c>
      <c r="H64" s="72">
        <v>45222</v>
      </c>
      <c r="I64" s="133">
        <v>1697676.83</v>
      </c>
      <c r="J64" s="134">
        <v>255608.66</v>
      </c>
      <c r="K64" s="123" t="s">
        <v>1491</v>
      </c>
      <c r="L64" s="74">
        <v>6.4500000000000002E-2</v>
      </c>
      <c r="M64" s="75">
        <v>120659</v>
      </c>
      <c r="N64" s="76">
        <v>13</v>
      </c>
      <c r="O64" s="76"/>
      <c r="P64" s="76"/>
      <c r="Q64" s="76"/>
      <c r="R64" s="67" t="s">
        <v>1521</v>
      </c>
      <c r="S64" s="68">
        <v>800231235</v>
      </c>
      <c r="T64" s="77"/>
      <c r="U64" s="78"/>
      <c r="V64" s="81"/>
      <c r="W64" s="80">
        <v>636752</v>
      </c>
    </row>
    <row r="65" spans="1:23" ht="15.6" x14ac:dyDescent="0.3">
      <c r="A65" s="67" t="s">
        <v>658</v>
      </c>
      <c r="B65" s="69">
        <v>12529246</v>
      </c>
      <c r="C65" s="69" t="s">
        <v>659</v>
      </c>
      <c r="D65" s="69">
        <v>0</v>
      </c>
      <c r="E65" s="70" t="s">
        <v>19</v>
      </c>
      <c r="F65" s="67" t="s">
        <v>1643</v>
      </c>
      <c r="G65" s="71">
        <v>39030</v>
      </c>
      <c r="H65" s="72">
        <v>45222</v>
      </c>
      <c r="I65" s="133">
        <v>556674.05000000005</v>
      </c>
      <c r="J65" s="134">
        <v>83814.960000000006</v>
      </c>
      <c r="K65" s="123" t="s">
        <v>1475</v>
      </c>
      <c r="L65" s="74">
        <v>8.7900000000000006E-2</v>
      </c>
      <c r="M65" s="75">
        <v>142073</v>
      </c>
      <c r="N65" s="76">
        <v>14</v>
      </c>
      <c r="O65" s="76"/>
      <c r="P65" s="76"/>
      <c r="Q65" s="76"/>
      <c r="R65" s="67" t="s">
        <v>1522</v>
      </c>
      <c r="S65" s="68">
        <v>802007670</v>
      </c>
      <c r="T65" s="77">
        <v>36543428</v>
      </c>
      <c r="U65" s="78" t="s">
        <v>1673</v>
      </c>
      <c r="V65" s="81"/>
      <c r="W65" s="80">
        <v>153210</v>
      </c>
    </row>
    <row r="66" spans="1:23" ht="15.6" x14ac:dyDescent="0.3">
      <c r="A66" s="67" t="s">
        <v>660</v>
      </c>
      <c r="B66" s="69">
        <v>28545359</v>
      </c>
      <c r="C66" s="69" t="s">
        <v>661</v>
      </c>
      <c r="D66" s="69">
        <v>0</v>
      </c>
      <c r="E66" s="70" t="s">
        <v>19</v>
      </c>
      <c r="F66" s="67" t="s">
        <v>1643</v>
      </c>
      <c r="G66" s="71">
        <v>35657</v>
      </c>
      <c r="H66" s="72">
        <v>45222</v>
      </c>
      <c r="I66" s="133">
        <v>1074568.6000000001</v>
      </c>
      <c r="J66" s="134">
        <v>161791.13</v>
      </c>
      <c r="K66" s="123" t="s">
        <v>1477</v>
      </c>
      <c r="L66" s="74">
        <v>2.47E-2</v>
      </c>
      <c r="M66" s="75">
        <v>28391</v>
      </c>
      <c r="N66" s="76">
        <v>14</v>
      </c>
      <c r="O66" s="76"/>
      <c r="P66" s="76"/>
      <c r="Q66" s="76"/>
      <c r="R66" s="67" t="s">
        <v>1523</v>
      </c>
      <c r="S66" s="68">
        <v>809005065</v>
      </c>
      <c r="T66" s="77"/>
      <c r="U66" s="78"/>
      <c r="V66" s="81"/>
      <c r="W66" s="80">
        <v>1052476</v>
      </c>
    </row>
    <row r="67" spans="1:23" ht="15.6" x14ac:dyDescent="0.3">
      <c r="A67" s="67" t="s">
        <v>662</v>
      </c>
      <c r="B67" s="69">
        <v>37815104</v>
      </c>
      <c r="C67" s="69" t="s">
        <v>663</v>
      </c>
      <c r="D67" s="69">
        <v>0</v>
      </c>
      <c r="E67" s="70" t="s">
        <v>19</v>
      </c>
      <c r="F67" s="67" t="s">
        <v>1643</v>
      </c>
      <c r="G67" s="71">
        <v>39539</v>
      </c>
      <c r="H67" s="72">
        <v>45222</v>
      </c>
      <c r="I67" s="133">
        <v>200593.45</v>
      </c>
      <c r="J67" s="134">
        <v>30202.11</v>
      </c>
      <c r="K67" s="123" t="s">
        <v>20</v>
      </c>
      <c r="L67" s="74">
        <v>1.0999999999999999E-2</v>
      </c>
      <c r="M67" s="75">
        <v>178855</v>
      </c>
      <c r="N67" s="76">
        <v>13</v>
      </c>
      <c r="O67" s="76"/>
      <c r="P67" s="76"/>
      <c r="Q67" s="76"/>
      <c r="R67" s="67" t="s">
        <v>1524</v>
      </c>
      <c r="S67" s="68">
        <v>814002561</v>
      </c>
      <c r="T67" s="77"/>
      <c r="U67" s="78"/>
      <c r="V67" s="82"/>
      <c r="W67" s="80">
        <v>441163</v>
      </c>
    </row>
    <row r="68" spans="1:23" ht="15.6" x14ac:dyDescent="0.3">
      <c r="A68" s="67" t="s">
        <v>666</v>
      </c>
      <c r="B68" s="69">
        <v>19189897</v>
      </c>
      <c r="C68" s="69" t="s">
        <v>667</v>
      </c>
      <c r="D68" s="69">
        <v>0</v>
      </c>
      <c r="E68" s="70" t="s">
        <v>472</v>
      </c>
      <c r="F68" s="67" t="s">
        <v>1643</v>
      </c>
      <c r="G68" s="71">
        <v>39479</v>
      </c>
      <c r="H68" s="72">
        <v>45222</v>
      </c>
      <c r="I68" s="133">
        <v>1412596.75</v>
      </c>
      <c r="J68" s="134">
        <v>212685.92</v>
      </c>
      <c r="K68" s="123" t="s">
        <v>1483</v>
      </c>
      <c r="L68" s="74">
        <v>0.13120000000000001</v>
      </c>
      <c r="M68" s="75">
        <v>259027</v>
      </c>
      <c r="N68" s="76">
        <v>13</v>
      </c>
      <c r="O68" s="76"/>
      <c r="P68" s="76"/>
      <c r="Q68" s="76"/>
      <c r="R68" s="67" t="s">
        <v>1526</v>
      </c>
      <c r="S68" s="68">
        <v>845000021</v>
      </c>
      <c r="T68" s="77"/>
      <c r="U68" s="78"/>
      <c r="V68" s="81"/>
      <c r="W68" s="80">
        <v>260471</v>
      </c>
    </row>
    <row r="69" spans="1:23" ht="15.6" x14ac:dyDescent="0.3">
      <c r="A69" s="67" t="s">
        <v>668</v>
      </c>
      <c r="B69" s="69">
        <v>26412914</v>
      </c>
      <c r="C69" s="69" t="s">
        <v>669</v>
      </c>
      <c r="D69" s="69">
        <v>0</v>
      </c>
      <c r="E69" s="70" t="s">
        <v>19</v>
      </c>
      <c r="F69" s="67" t="s">
        <v>1643</v>
      </c>
      <c r="G69" s="71">
        <v>33178</v>
      </c>
      <c r="H69" s="72">
        <v>45222</v>
      </c>
      <c r="I69" s="133">
        <v>1242198</v>
      </c>
      <c r="J69" s="134">
        <v>187030.04</v>
      </c>
      <c r="K69" s="123" t="s">
        <v>1471</v>
      </c>
      <c r="L69" s="74">
        <v>3.4000000000000002E-2</v>
      </c>
      <c r="M69" s="75">
        <v>5649</v>
      </c>
      <c r="N69" s="76">
        <v>14</v>
      </c>
      <c r="O69" s="76"/>
      <c r="P69" s="76"/>
      <c r="Q69" s="76"/>
      <c r="R69" s="67" t="s">
        <v>1527</v>
      </c>
      <c r="S69" s="68">
        <v>860015929</v>
      </c>
      <c r="T69" s="77"/>
      <c r="U69" s="78"/>
      <c r="V69" s="81"/>
      <c r="W69" s="80">
        <v>883867</v>
      </c>
    </row>
    <row r="70" spans="1:23" ht="15.6" x14ac:dyDescent="0.3">
      <c r="A70" s="67" t="s">
        <v>672</v>
      </c>
      <c r="B70" s="69">
        <v>76662</v>
      </c>
      <c r="C70" s="69" t="s">
        <v>673</v>
      </c>
      <c r="D70" s="69">
        <v>0</v>
      </c>
      <c r="E70" s="70" t="s">
        <v>21</v>
      </c>
      <c r="F70" s="67" t="s">
        <v>1643</v>
      </c>
      <c r="G70" s="71">
        <v>28185</v>
      </c>
      <c r="H70" s="72">
        <v>45222</v>
      </c>
      <c r="I70" s="133">
        <v>68975114.129999995</v>
      </c>
      <c r="J70" s="134">
        <v>10385154.84</v>
      </c>
      <c r="K70" s="123" t="s">
        <v>1471</v>
      </c>
      <c r="L70" s="74">
        <v>0.72609999999999997</v>
      </c>
      <c r="M70" s="75">
        <v>14552</v>
      </c>
      <c r="N70" s="76">
        <v>14</v>
      </c>
      <c r="O70" s="76"/>
      <c r="P70" s="76"/>
      <c r="Q70" s="76"/>
      <c r="R70" s="67" t="s">
        <v>1528</v>
      </c>
      <c r="S70" s="68">
        <v>860041163</v>
      </c>
      <c r="T70" s="77"/>
      <c r="U70" s="78"/>
      <c r="V70" s="81"/>
      <c r="W70" s="80">
        <v>2298111</v>
      </c>
    </row>
    <row r="71" spans="1:23" ht="15.6" x14ac:dyDescent="0.3">
      <c r="A71" s="67" t="s">
        <v>674</v>
      </c>
      <c r="B71" s="69">
        <v>48463</v>
      </c>
      <c r="C71" s="69" t="s">
        <v>675</v>
      </c>
      <c r="D71" s="69">
        <v>0</v>
      </c>
      <c r="E71" s="70" t="s">
        <v>21</v>
      </c>
      <c r="F71" s="67" t="s">
        <v>1643</v>
      </c>
      <c r="G71" s="71">
        <v>28682</v>
      </c>
      <c r="H71" s="72">
        <v>45222</v>
      </c>
      <c r="I71" s="133">
        <v>6522030.5300000003</v>
      </c>
      <c r="J71" s="134">
        <v>981981.66</v>
      </c>
      <c r="K71" s="123" t="s">
        <v>1483</v>
      </c>
      <c r="L71" s="74">
        <v>0.1135</v>
      </c>
      <c r="M71" s="75">
        <v>5680</v>
      </c>
      <c r="N71" s="76">
        <v>14</v>
      </c>
      <c r="O71" s="76"/>
      <c r="P71" s="76"/>
      <c r="Q71" s="76"/>
      <c r="R71" s="67" t="s">
        <v>1528</v>
      </c>
      <c r="S71" s="68">
        <v>860041163</v>
      </c>
      <c r="T71" s="77">
        <v>41353549</v>
      </c>
      <c r="U71" s="78" t="s">
        <v>1676</v>
      </c>
      <c r="V71" s="81"/>
      <c r="W71" s="80">
        <v>1390151</v>
      </c>
    </row>
    <row r="72" spans="1:23" ht="15.6" x14ac:dyDescent="0.3">
      <c r="A72" s="67" t="s">
        <v>613</v>
      </c>
      <c r="B72" s="69">
        <v>28505549</v>
      </c>
      <c r="C72" s="69" t="s">
        <v>614</v>
      </c>
      <c r="D72" s="69">
        <v>0</v>
      </c>
      <c r="E72" s="70" t="s">
        <v>21</v>
      </c>
      <c r="F72" s="67" t="s">
        <v>1643</v>
      </c>
      <c r="G72" s="71">
        <v>28897</v>
      </c>
      <c r="H72" s="72">
        <v>45222</v>
      </c>
      <c r="I72" s="133">
        <v>34911051.200000003</v>
      </c>
      <c r="J72" s="134">
        <v>5256340.3</v>
      </c>
      <c r="K72" s="123" t="s">
        <v>1471</v>
      </c>
      <c r="L72" s="74">
        <v>0.35099999999999998</v>
      </c>
      <c r="M72" s="75">
        <v>2357</v>
      </c>
      <c r="N72" s="76">
        <v>14</v>
      </c>
      <c r="O72" s="76"/>
      <c r="P72" s="76"/>
      <c r="Q72" s="76"/>
      <c r="R72" s="67" t="s">
        <v>1528</v>
      </c>
      <c r="S72" s="68">
        <v>860041163</v>
      </c>
      <c r="T72" s="77">
        <v>1796134</v>
      </c>
      <c r="U72" s="78" t="s">
        <v>1671</v>
      </c>
      <c r="V72" s="81"/>
      <c r="W72" s="80">
        <v>2406195</v>
      </c>
    </row>
    <row r="73" spans="1:23" ht="15.6" x14ac:dyDescent="0.3">
      <c r="A73" s="67" t="s">
        <v>678</v>
      </c>
      <c r="B73" s="69">
        <v>24781</v>
      </c>
      <c r="C73" s="69" t="s">
        <v>679</v>
      </c>
      <c r="D73" s="69">
        <v>0</v>
      </c>
      <c r="E73" s="70" t="s">
        <v>472</v>
      </c>
      <c r="F73" s="67" t="s">
        <v>1643</v>
      </c>
      <c r="G73" s="71">
        <v>29646</v>
      </c>
      <c r="H73" s="72">
        <v>45222</v>
      </c>
      <c r="I73" s="133">
        <v>12368279.119999999</v>
      </c>
      <c r="J73" s="134">
        <v>1862215.02</v>
      </c>
      <c r="K73" s="123" t="s">
        <v>20</v>
      </c>
      <c r="L73" s="74">
        <v>0.17080000000000001</v>
      </c>
      <c r="M73" s="75">
        <v>11836</v>
      </c>
      <c r="N73" s="76">
        <v>14</v>
      </c>
      <c r="O73" s="76"/>
      <c r="P73" s="76"/>
      <c r="Q73" s="76"/>
      <c r="R73" s="67" t="s">
        <v>1528</v>
      </c>
      <c r="S73" s="68">
        <v>860041163</v>
      </c>
      <c r="T73" s="77">
        <v>37940477</v>
      </c>
      <c r="U73" s="78" t="s">
        <v>1678</v>
      </c>
      <c r="V73" s="81"/>
      <c r="W73" s="80">
        <v>1751848</v>
      </c>
    </row>
    <row r="74" spans="1:23" ht="15.6" x14ac:dyDescent="0.3">
      <c r="A74" s="67" t="s">
        <v>684</v>
      </c>
      <c r="B74" s="69">
        <v>144109</v>
      </c>
      <c r="C74" s="69" t="s">
        <v>685</v>
      </c>
      <c r="D74" s="69">
        <v>0</v>
      </c>
      <c r="E74" s="70" t="s">
        <v>19</v>
      </c>
      <c r="F74" s="67" t="s">
        <v>1643</v>
      </c>
      <c r="G74" s="71">
        <v>30162</v>
      </c>
      <c r="H74" s="72">
        <v>45222</v>
      </c>
      <c r="I74" s="133">
        <v>3793003.64</v>
      </c>
      <c r="J74" s="134">
        <v>571089.02</v>
      </c>
      <c r="K74" s="123" t="s">
        <v>1471</v>
      </c>
      <c r="L74" s="74">
        <v>6.3200000000000006E-2</v>
      </c>
      <c r="M74" s="75">
        <v>7467</v>
      </c>
      <c r="N74" s="76">
        <v>14</v>
      </c>
      <c r="O74" s="76"/>
      <c r="P74" s="76"/>
      <c r="Q74" s="76"/>
      <c r="R74" s="67" t="s">
        <v>1528</v>
      </c>
      <c r="S74" s="68">
        <v>860041163</v>
      </c>
      <c r="T74" s="77">
        <v>20128658</v>
      </c>
      <c r="U74" s="78" t="s">
        <v>1680</v>
      </c>
      <c r="V74" s="81"/>
      <c r="W74" s="80">
        <v>1451915</v>
      </c>
    </row>
    <row r="75" spans="1:23" ht="16.2" thickBot="1" x14ac:dyDescent="0.35">
      <c r="A75" s="93" t="s">
        <v>690</v>
      </c>
      <c r="B75" s="148">
        <v>96868</v>
      </c>
      <c r="C75" s="69" t="s">
        <v>691</v>
      </c>
      <c r="D75" s="69">
        <v>0</v>
      </c>
      <c r="E75" s="95" t="s">
        <v>21</v>
      </c>
      <c r="F75" s="67" t="s">
        <v>1643</v>
      </c>
      <c r="G75" s="71">
        <v>31048</v>
      </c>
      <c r="H75" s="72">
        <v>45222</v>
      </c>
      <c r="I75" s="133">
        <v>24457994.16</v>
      </c>
      <c r="J75" s="134">
        <v>3682488.38</v>
      </c>
      <c r="K75" s="124" t="s">
        <v>1471</v>
      </c>
      <c r="L75" s="74">
        <v>0.27379999999999999</v>
      </c>
      <c r="M75" s="96">
        <v>16384</v>
      </c>
      <c r="N75" s="76">
        <v>14</v>
      </c>
      <c r="O75" s="76"/>
      <c r="P75" s="76"/>
      <c r="Q75" s="76"/>
      <c r="R75" s="67" t="s">
        <v>1528</v>
      </c>
      <c r="S75" s="68">
        <v>860041163</v>
      </c>
      <c r="T75" s="77"/>
      <c r="U75" s="78"/>
      <c r="V75" s="97"/>
      <c r="W75" s="80">
        <v>2161038</v>
      </c>
    </row>
    <row r="76" spans="1:23" ht="16.2" thickBot="1" x14ac:dyDescent="0.35">
      <c r="A76" s="67" t="s">
        <v>692</v>
      </c>
      <c r="B76" s="69">
        <v>14471</v>
      </c>
      <c r="C76" s="69" t="s">
        <v>693</v>
      </c>
      <c r="D76" s="69">
        <v>0</v>
      </c>
      <c r="E76" s="70" t="s">
        <v>21</v>
      </c>
      <c r="F76" s="67" t="s">
        <v>1643</v>
      </c>
      <c r="G76" s="71">
        <v>32509</v>
      </c>
      <c r="H76" s="86">
        <v>45222</v>
      </c>
      <c r="I76" s="133">
        <v>22774994.710000001</v>
      </c>
      <c r="J76" s="134">
        <v>3429089.6</v>
      </c>
      <c r="K76" s="124" t="s">
        <v>1483</v>
      </c>
      <c r="L76" s="74">
        <v>0.16789999999999999</v>
      </c>
      <c r="M76" s="75">
        <v>27860</v>
      </c>
      <c r="N76" s="76">
        <v>14</v>
      </c>
      <c r="O76" s="76"/>
      <c r="P76" s="76"/>
      <c r="Q76" s="76"/>
      <c r="R76" s="67" t="s">
        <v>1528</v>
      </c>
      <c r="S76" s="68">
        <v>860041163</v>
      </c>
      <c r="T76" s="77">
        <v>20004007</v>
      </c>
      <c r="U76" s="78" t="s">
        <v>1682</v>
      </c>
      <c r="V76" s="81"/>
      <c r="W76" s="80">
        <v>3281577</v>
      </c>
    </row>
    <row r="77" spans="1:23" ht="16.2" thickBot="1" x14ac:dyDescent="0.35">
      <c r="A77" s="67" t="s">
        <v>694</v>
      </c>
      <c r="B77" s="69">
        <v>20178678</v>
      </c>
      <c r="C77" s="69" t="s">
        <v>695</v>
      </c>
      <c r="D77" s="69">
        <v>0</v>
      </c>
      <c r="E77" s="70" t="s">
        <v>21</v>
      </c>
      <c r="F77" s="67" t="s">
        <v>1643</v>
      </c>
      <c r="G77" s="71">
        <v>33208</v>
      </c>
      <c r="H77" s="87">
        <v>45222</v>
      </c>
      <c r="I77" s="133">
        <v>19545754.879999999</v>
      </c>
      <c r="J77" s="134">
        <v>2942883</v>
      </c>
      <c r="K77" s="124" t="s">
        <v>1471</v>
      </c>
      <c r="L77" s="74">
        <v>0.32700000000000001</v>
      </c>
      <c r="M77" s="75">
        <v>39436</v>
      </c>
      <c r="N77" s="76">
        <v>14</v>
      </c>
      <c r="O77" s="76"/>
      <c r="P77" s="76"/>
      <c r="Q77" s="76"/>
      <c r="R77" s="67" t="s">
        <v>1528</v>
      </c>
      <c r="S77" s="68">
        <v>860041163</v>
      </c>
      <c r="T77" s="77"/>
      <c r="U77" s="78"/>
      <c r="V77" s="81"/>
      <c r="W77" s="80">
        <v>1446038</v>
      </c>
    </row>
    <row r="78" spans="1:23" ht="16.2" thickBot="1" x14ac:dyDescent="0.35">
      <c r="A78" s="67" t="s">
        <v>698</v>
      </c>
      <c r="B78" s="69">
        <v>2912607</v>
      </c>
      <c r="C78" s="69" t="s">
        <v>699</v>
      </c>
      <c r="D78" s="69">
        <v>0</v>
      </c>
      <c r="E78" s="70" t="s">
        <v>21</v>
      </c>
      <c r="F78" s="67" t="s">
        <v>1643</v>
      </c>
      <c r="G78" s="71">
        <v>33756</v>
      </c>
      <c r="H78" s="86"/>
      <c r="I78" s="133">
        <v>17326215.640000001</v>
      </c>
      <c r="J78" s="134">
        <v>2608700.75</v>
      </c>
      <c r="K78" s="124" t="s">
        <v>1483</v>
      </c>
      <c r="L78" s="74">
        <v>0.37740000000000001</v>
      </c>
      <c r="M78" s="75">
        <v>79556</v>
      </c>
      <c r="N78" s="76">
        <v>14</v>
      </c>
      <c r="O78" s="76"/>
      <c r="P78" s="76"/>
      <c r="Q78" s="76"/>
      <c r="R78" s="67" t="s">
        <v>1528</v>
      </c>
      <c r="S78" s="68">
        <v>860041163</v>
      </c>
      <c r="T78" s="77"/>
      <c r="U78" s="78"/>
      <c r="V78" s="82"/>
      <c r="W78" s="80">
        <v>1110649</v>
      </c>
    </row>
    <row r="79" spans="1:23" ht="16.2" thickBot="1" x14ac:dyDescent="0.35">
      <c r="A79" s="67" t="s">
        <v>700</v>
      </c>
      <c r="B79" s="69">
        <v>26938972</v>
      </c>
      <c r="C79" s="69" t="s">
        <v>701</v>
      </c>
      <c r="D79" s="69">
        <v>0</v>
      </c>
      <c r="E79" s="70" t="s">
        <v>472</v>
      </c>
      <c r="F79" s="67" t="s">
        <v>1643</v>
      </c>
      <c r="G79" s="71">
        <v>34703</v>
      </c>
      <c r="H79" s="72"/>
      <c r="I79" s="133">
        <v>5322424.83</v>
      </c>
      <c r="J79" s="134">
        <v>801364.47</v>
      </c>
      <c r="K79" s="124" t="s">
        <v>1473</v>
      </c>
      <c r="L79" s="74">
        <v>0.121</v>
      </c>
      <c r="M79" s="75">
        <v>48789</v>
      </c>
      <c r="N79" s="76">
        <v>14</v>
      </c>
      <c r="O79" s="76"/>
      <c r="P79" s="76"/>
      <c r="Q79" s="76"/>
      <c r="R79" s="67" t="s">
        <v>1528</v>
      </c>
      <c r="S79" s="68">
        <v>860041163</v>
      </c>
      <c r="T79" s="77"/>
      <c r="U79" s="78"/>
      <c r="V79" s="98"/>
      <c r="W79" s="80">
        <v>1064141</v>
      </c>
    </row>
    <row r="80" spans="1:23" ht="16.2" thickBot="1" x14ac:dyDescent="0.35">
      <c r="A80" s="67" t="s">
        <v>702</v>
      </c>
      <c r="B80" s="69">
        <v>41320262</v>
      </c>
      <c r="C80" s="69" t="s">
        <v>703</v>
      </c>
      <c r="D80" s="69">
        <v>0</v>
      </c>
      <c r="E80" s="70" t="s">
        <v>21</v>
      </c>
      <c r="F80" s="67" t="s">
        <v>1643</v>
      </c>
      <c r="G80" s="71">
        <v>34700</v>
      </c>
      <c r="H80" s="72"/>
      <c r="I80" s="133">
        <v>8251779.3200000003</v>
      </c>
      <c r="J80" s="134">
        <v>1242419.2</v>
      </c>
      <c r="K80" s="124" t="s">
        <v>1483</v>
      </c>
      <c r="L80" s="74">
        <v>0.27289999999999998</v>
      </c>
      <c r="M80" s="75">
        <v>63837</v>
      </c>
      <c r="N80" s="76">
        <v>14</v>
      </c>
      <c r="O80" s="76"/>
      <c r="P80" s="76"/>
      <c r="Q80" s="76"/>
      <c r="R80" s="67" t="s">
        <v>1528</v>
      </c>
      <c r="S80" s="68">
        <v>860041163</v>
      </c>
      <c r="T80" s="77"/>
      <c r="U80" s="78"/>
      <c r="V80" s="98"/>
      <c r="W80" s="80">
        <v>731508</v>
      </c>
    </row>
    <row r="81" spans="1:23" ht="15.6" x14ac:dyDescent="0.3">
      <c r="A81" s="67" t="s">
        <v>704</v>
      </c>
      <c r="B81" s="69">
        <v>313427</v>
      </c>
      <c r="C81" s="69" t="s">
        <v>705</v>
      </c>
      <c r="D81" s="69">
        <v>0</v>
      </c>
      <c r="E81" s="70" t="s">
        <v>21</v>
      </c>
      <c r="F81" s="67" t="s">
        <v>1643</v>
      </c>
      <c r="G81" s="71">
        <v>34788</v>
      </c>
      <c r="H81" s="72"/>
      <c r="I81" s="133">
        <v>7534050.75</v>
      </c>
      <c r="J81" s="134">
        <v>1134355.26</v>
      </c>
      <c r="K81" s="123" t="s">
        <v>1471</v>
      </c>
      <c r="L81" s="74">
        <v>0.38740000000000002</v>
      </c>
      <c r="M81" s="75">
        <v>149402</v>
      </c>
      <c r="N81" s="76">
        <v>14</v>
      </c>
      <c r="O81" s="76"/>
      <c r="P81" s="76"/>
      <c r="Q81" s="76"/>
      <c r="R81" s="67" t="s">
        <v>1528</v>
      </c>
      <c r="S81" s="68">
        <v>860041163</v>
      </c>
      <c r="T81" s="77"/>
      <c r="U81" s="78"/>
      <c r="V81" s="82"/>
      <c r="W81" s="80">
        <v>470483</v>
      </c>
    </row>
    <row r="82" spans="1:23" ht="15.6" x14ac:dyDescent="0.3">
      <c r="A82" s="67" t="s">
        <v>627</v>
      </c>
      <c r="B82" s="69">
        <v>8236201</v>
      </c>
      <c r="C82" s="69" t="s">
        <v>628</v>
      </c>
      <c r="D82" s="69">
        <v>0</v>
      </c>
      <c r="E82" s="70" t="s">
        <v>592</v>
      </c>
      <c r="F82" s="67" t="s">
        <v>1643</v>
      </c>
      <c r="G82" s="71">
        <v>35431</v>
      </c>
      <c r="H82" s="72"/>
      <c r="I82" s="133">
        <v>4021769.73</v>
      </c>
      <c r="J82" s="134">
        <v>605532.91</v>
      </c>
      <c r="K82" s="125"/>
      <c r="L82" s="74">
        <v>7.1599999999999997E-2</v>
      </c>
      <c r="M82" s="75">
        <v>94006</v>
      </c>
      <c r="N82" s="76">
        <v>14</v>
      </c>
      <c r="O82" s="76"/>
      <c r="P82" s="76"/>
      <c r="Q82" s="76"/>
      <c r="R82" s="67" t="s">
        <v>1528</v>
      </c>
      <c r="S82" s="68">
        <v>860041163</v>
      </c>
      <c r="T82" s="77"/>
      <c r="U82" s="78"/>
      <c r="V82" s="81"/>
      <c r="W82" s="80">
        <v>1358874</v>
      </c>
    </row>
    <row r="83" spans="1:23" ht="15.6" x14ac:dyDescent="0.3">
      <c r="A83" s="84" t="s">
        <v>710</v>
      </c>
      <c r="B83" s="146">
        <v>41383803</v>
      </c>
      <c r="C83" s="69" t="s">
        <v>711</v>
      </c>
      <c r="D83" s="69">
        <v>0</v>
      </c>
      <c r="E83" s="70" t="s">
        <v>472</v>
      </c>
      <c r="F83" s="67" t="s">
        <v>1643</v>
      </c>
      <c r="G83" s="71">
        <v>35431</v>
      </c>
      <c r="H83" s="72"/>
      <c r="I83" s="133">
        <v>21614938.390000001</v>
      </c>
      <c r="J83" s="134">
        <v>3254427.12</v>
      </c>
      <c r="K83" s="125"/>
      <c r="L83" s="74">
        <v>0.34789999999999999</v>
      </c>
      <c r="M83" s="75">
        <v>268467</v>
      </c>
      <c r="N83" s="76">
        <v>14</v>
      </c>
      <c r="O83" s="76"/>
      <c r="P83" s="76"/>
      <c r="Q83" s="76"/>
      <c r="R83" s="67" t="s">
        <v>1528</v>
      </c>
      <c r="S83" s="68">
        <v>860041163</v>
      </c>
      <c r="T83" s="77"/>
      <c r="U83" s="78"/>
      <c r="V83" s="81"/>
      <c r="W83" s="80">
        <v>1503054</v>
      </c>
    </row>
    <row r="84" spans="1:23" ht="15.6" x14ac:dyDescent="0.3">
      <c r="A84" s="67" t="s">
        <v>712</v>
      </c>
      <c r="B84" s="69">
        <v>41392598</v>
      </c>
      <c r="C84" s="69" t="s">
        <v>713</v>
      </c>
      <c r="D84" s="69">
        <v>0</v>
      </c>
      <c r="E84" s="70" t="s">
        <v>21</v>
      </c>
      <c r="F84" s="67" t="s">
        <v>1643</v>
      </c>
      <c r="G84" s="71">
        <v>35431</v>
      </c>
      <c r="H84" s="72"/>
      <c r="I84" s="133">
        <v>631613.32999999996</v>
      </c>
      <c r="J84" s="134">
        <v>95098.1</v>
      </c>
      <c r="K84" s="125"/>
      <c r="L84" s="74">
        <v>3.0499999999999999E-2</v>
      </c>
      <c r="M84" s="75">
        <v>18504</v>
      </c>
      <c r="N84" s="76">
        <v>14</v>
      </c>
      <c r="O84" s="76"/>
      <c r="P84" s="76"/>
      <c r="Q84" s="76"/>
      <c r="R84" s="67" t="s">
        <v>1528</v>
      </c>
      <c r="S84" s="68">
        <v>860041163</v>
      </c>
      <c r="T84" s="77"/>
      <c r="U84" s="78"/>
      <c r="V84" s="81"/>
      <c r="W84" s="80">
        <v>500987</v>
      </c>
    </row>
    <row r="85" spans="1:23" ht="15.6" x14ac:dyDescent="0.3">
      <c r="A85" s="67" t="s">
        <v>714</v>
      </c>
      <c r="B85" s="69">
        <v>41395057</v>
      </c>
      <c r="C85" s="69" t="s">
        <v>715</v>
      </c>
      <c r="D85" s="69">
        <v>0</v>
      </c>
      <c r="E85" s="70" t="s">
        <v>19</v>
      </c>
      <c r="F85" s="67" t="s">
        <v>1643</v>
      </c>
      <c r="G85" s="71">
        <v>35431</v>
      </c>
      <c r="H85" s="72"/>
      <c r="I85" s="133">
        <v>8779675.9399999995</v>
      </c>
      <c r="J85" s="134">
        <v>1321901.32</v>
      </c>
      <c r="K85" s="125"/>
      <c r="L85" s="74">
        <v>0.25490000000000002</v>
      </c>
      <c r="M85" s="75">
        <v>136298</v>
      </c>
      <c r="N85" s="76">
        <v>14</v>
      </c>
      <c r="O85" s="76"/>
      <c r="P85" s="76"/>
      <c r="Q85" s="76"/>
      <c r="R85" s="67" t="s">
        <v>1528</v>
      </c>
      <c r="S85" s="68">
        <v>860041163</v>
      </c>
      <c r="T85" s="77"/>
      <c r="U85" s="78"/>
      <c r="V85" s="82"/>
      <c r="W85" s="80">
        <v>833266</v>
      </c>
    </row>
    <row r="86" spans="1:23" ht="15.6" x14ac:dyDescent="0.3">
      <c r="A86" s="67" t="s">
        <v>716</v>
      </c>
      <c r="B86" s="69">
        <v>41314945</v>
      </c>
      <c r="C86" s="69" t="s">
        <v>717</v>
      </c>
      <c r="D86" s="69">
        <v>0</v>
      </c>
      <c r="E86" s="70" t="s">
        <v>472</v>
      </c>
      <c r="F86" s="67" t="s">
        <v>1643</v>
      </c>
      <c r="G86" s="71">
        <v>36586</v>
      </c>
      <c r="H86" s="72"/>
      <c r="I86" s="133">
        <v>9281330.4800000004</v>
      </c>
      <c r="J86" s="134">
        <v>1397432.33</v>
      </c>
      <c r="K86" s="125"/>
      <c r="L86" s="74">
        <v>6.0900000000000003E-2</v>
      </c>
      <c r="M86" s="75">
        <v>797005</v>
      </c>
      <c r="N86" s="76">
        <v>14</v>
      </c>
      <c r="O86" s="76"/>
      <c r="P86" s="76"/>
      <c r="Q86" s="76"/>
      <c r="R86" s="67" t="s">
        <v>1528</v>
      </c>
      <c r="S86" s="68">
        <v>860041163</v>
      </c>
      <c r="T86" s="77"/>
      <c r="U86" s="78"/>
      <c r="V86" s="81"/>
      <c r="W86" s="80">
        <v>3686956</v>
      </c>
    </row>
    <row r="87" spans="1:23" ht="15.6" x14ac:dyDescent="0.3">
      <c r="A87" s="67" t="s">
        <v>718</v>
      </c>
      <c r="B87" s="69">
        <v>17157686</v>
      </c>
      <c r="C87" s="69" t="s">
        <v>719</v>
      </c>
      <c r="D87" s="69">
        <v>0</v>
      </c>
      <c r="E87" s="70" t="s">
        <v>21</v>
      </c>
      <c r="F87" s="67" t="s">
        <v>1643</v>
      </c>
      <c r="G87" s="71">
        <v>37138</v>
      </c>
      <c r="H87" s="72"/>
      <c r="I87" s="133">
        <v>30906256.32</v>
      </c>
      <c r="J87" s="134">
        <v>4653363.2000000002</v>
      </c>
      <c r="K87" s="125"/>
      <c r="L87" s="74">
        <v>0.26979999999999998</v>
      </c>
      <c r="M87" s="75">
        <v>681447</v>
      </c>
      <c r="N87" s="76">
        <v>14</v>
      </c>
      <c r="O87" s="76"/>
      <c r="P87" s="76"/>
      <c r="Q87" s="76"/>
      <c r="R87" s="67" t="s">
        <v>1528</v>
      </c>
      <c r="S87" s="68">
        <v>860041163</v>
      </c>
      <c r="T87" s="77"/>
      <c r="U87" s="78"/>
      <c r="V87" s="82"/>
      <c r="W87" s="80">
        <v>2771274</v>
      </c>
    </row>
    <row r="88" spans="1:23" ht="15.6" x14ac:dyDescent="0.3">
      <c r="A88" s="67" t="s">
        <v>720</v>
      </c>
      <c r="B88" s="69">
        <v>41433829</v>
      </c>
      <c r="C88" s="69" t="s">
        <v>721</v>
      </c>
      <c r="D88" s="69">
        <v>0</v>
      </c>
      <c r="E88" s="70" t="s">
        <v>722</v>
      </c>
      <c r="F88" s="67" t="s">
        <v>1643</v>
      </c>
      <c r="G88" s="71">
        <v>38427</v>
      </c>
      <c r="H88" s="72"/>
      <c r="I88" s="133">
        <v>1177399.67</v>
      </c>
      <c r="J88" s="134">
        <v>177273.76</v>
      </c>
      <c r="K88" s="125"/>
      <c r="L88" s="74">
        <v>8.4900000000000003E-2</v>
      </c>
      <c r="M88" s="75">
        <v>159484</v>
      </c>
      <c r="N88" s="76">
        <v>14</v>
      </c>
      <c r="O88" s="76"/>
      <c r="P88" s="76"/>
      <c r="Q88" s="76"/>
      <c r="R88" s="67" t="s">
        <v>1528</v>
      </c>
      <c r="S88" s="68">
        <v>860041163</v>
      </c>
      <c r="T88" s="77"/>
      <c r="U88" s="78"/>
      <c r="V88" s="81"/>
      <c r="W88" s="80">
        <v>335499</v>
      </c>
    </row>
    <row r="89" spans="1:23" ht="15.6" x14ac:dyDescent="0.3">
      <c r="A89" s="67" t="s">
        <v>723</v>
      </c>
      <c r="B89" s="69">
        <v>41521027</v>
      </c>
      <c r="C89" s="69" t="s">
        <v>724</v>
      </c>
      <c r="D89" s="69">
        <v>0</v>
      </c>
      <c r="E89" s="70" t="s">
        <v>19</v>
      </c>
      <c r="F89" s="67" t="s">
        <v>1643</v>
      </c>
      <c r="G89" s="71">
        <v>38502</v>
      </c>
      <c r="H89" s="72"/>
      <c r="I89" s="133">
        <v>411076.71</v>
      </c>
      <c r="J89" s="134">
        <v>61893.27</v>
      </c>
      <c r="K89" s="125"/>
      <c r="L89" s="74">
        <v>5.0900000000000001E-2</v>
      </c>
      <c r="M89" s="75">
        <v>75498</v>
      </c>
      <c r="N89" s="76">
        <v>14</v>
      </c>
      <c r="O89" s="76"/>
      <c r="P89" s="76"/>
      <c r="Q89" s="76"/>
      <c r="R89" s="67" t="s">
        <v>1528</v>
      </c>
      <c r="S89" s="68">
        <v>860041163</v>
      </c>
      <c r="T89" s="77"/>
      <c r="U89" s="78"/>
      <c r="V89" s="81"/>
      <c r="W89" s="80">
        <v>195380</v>
      </c>
    </row>
    <row r="90" spans="1:23" ht="15.6" x14ac:dyDescent="0.3">
      <c r="A90" s="67" t="s">
        <v>725</v>
      </c>
      <c r="B90" s="69">
        <v>3296533</v>
      </c>
      <c r="C90" s="69" t="s">
        <v>726</v>
      </c>
      <c r="D90" s="69">
        <v>0</v>
      </c>
      <c r="E90" s="70" t="s">
        <v>19</v>
      </c>
      <c r="F90" s="67" t="s">
        <v>1643</v>
      </c>
      <c r="G90" s="71">
        <v>38741</v>
      </c>
      <c r="H90" s="72"/>
      <c r="I90" s="133">
        <v>6660483.7400000002</v>
      </c>
      <c r="J90" s="134">
        <v>1002827.7</v>
      </c>
      <c r="K90" s="125"/>
      <c r="L90" s="74">
        <v>0.1149</v>
      </c>
      <c r="M90" s="75">
        <v>379520</v>
      </c>
      <c r="N90" s="76">
        <v>14</v>
      </c>
      <c r="O90" s="76"/>
      <c r="P90" s="76"/>
      <c r="Q90" s="76"/>
      <c r="R90" s="67" t="s">
        <v>1528</v>
      </c>
      <c r="S90" s="68">
        <v>860041163</v>
      </c>
      <c r="T90" s="77"/>
      <c r="U90" s="78"/>
      <c r="V90" s="82"/>
      <c r="W90" s="80">
        <v>1402364</v>
      </c>
    </row>
    <row r="91" spans="1:23" ht="15.6" x14ac:dyDescent="0.3">
      <c r="A91" s="67" t="s">
        <v>727</v>
      </c>
      <c r="B91" s="69">
        <v>19056672</v>
      </c>
      <c r="C91" s="69" t="s">
        <v>728</v>
      </c>
      <c r="D91" s="69">
        <v>0</v>
      </c>
      <c r="E91" s="70" t="s">
        <v>19</v>
      </c>
      <c r="F91" s="67" t="s">
        <v>1643</v>
      </c>
      <c r="G91" s="71">
        <v>38838</v>
      </c>
      <c r="H91" s="72"/>
      <c r="I91" s="133">
        <v>25665536.899999999</v>
      </c>
      <c r="J91" s="134">
        <v>3864300.6</v>
      </c>
      <c r="K91" s="125"/>
      <c r="L91" s="74">
        <v>0.35599999999999998</v>
      </c>
      <c r="M91" s="75">
        <v>686668</v>
      </c>
      <c r="N91" s="76">
        <v>14</v>
      </c>
      <c r="O91" s="76"/>
      <c r="P91" s="76"/>
      <c r="Q91" s="76"/>
      <c r="R91" s="67" t="s">
        <v>1528</v>
      </c>
      <c r="S91" s="68">
        <v>860041163</v>
      </c>
      <c r="T91" s="77"/>
      <c r="U91" s="78"/>
      <c r="V91" s="81"/>
      <c r="W91" s="80">
        <v>1744116</v>
      </c>
    </row>
    <row r="92" spans="1:23" ht="15.6" x14ac:dyDescent="0.3">
      <c r="A92" s="67" t="s">
        <v>729</v>
      </c>
      <c r="B92" s="69">
        <v>19077266</v>
      </c>
      <c r="C92" s="69" t="s">
        <v>730</v>
      </c>
      <c r="D92" s="69">
        <v>0</v>
      </c>
      <c r="E92" s="70" t="s">
        <v>722</v>
      </c>
      <c r="F92" s="67" t="s">
        <v>1643</v>
      </c>
      <c r="G92" s="71">
        <v>38846</v>
      </c>
      <c r="H92" s="72"/>
      <c r="I92" s="133">
        <v>83713555.730000004</v>
      </c>
      <c r="J92" s="134">
        <v>12604230.52</v>
      </c>
      <c r="K92" s="125"/>
      <c r="L92" s="74">
        <v>0.4592</v>
      </c>
      <c r="M92" s="75">
        <v>820569</v>
      </c>
      <c r="N92" s="76">
        <v>14</v>
      </c>
      <c r="O92" s="76"/>
      <c r="P92" s="76"/>
      <c r="Q92" s="76"/>
      <c r="R92" s="67" t="s">
        <v>1528</v>
      </c>
      <c r="S92" s="68">
        <v>860041163</v>
      </c>
      <c r="T92" s="77"/>
      <c r="U92" s="78"/>
      <c r="V92" s="81"/>
      <c r="W92" s="80">
        <v>4410308</v>
      </c>
    </row>
    <row r="93" spans="1:23" ht="15.6" x14ac:dyDescent="0.3">
      <c r="A93" s="67" t="s">
        <v>731</v>
      </c>
      <c r="B93" s="69">
        <v>6747796</v>
      </c>
      <c r="C93" s="69" t="s">
        <v>732</v>
      </c>
      <c r="D93" s="69">
        <v>0</v>
      </c>
      <c r="E93" s="70" t="s">
        <v>722</v>
      </c>
      <c r="F93" s="67" t="s">
        <v>1643</v>
      </c>
      <c r="G93" s="71">
        <v>38899</v>
      </c>
      <c r="H93" s="72"/>
      <c r="I93" s="133">
        <v>28006996.329999998</v>
      </c>
      <c r="J93" s="134">
        <v>4216839.6100000003</v>
      </c>
      <c r="K93" s="125"/>
      <c r="L93" s="74">
        <v>0.3931</v>
      </c>
      <c r="M93" s="75">
        <v>714168</v>
      </c>
      <c r="N93" s="76">
        <v>14</v>
      </c>
      <c r="O93" s="76"/>
      <c r="P93" s="76"/>
      <c r="Q93" s="76"/>
      <c r="R93" s="67" t="s">
        <v>1528</v>
      </c>
      <c r="S93" s="68">
        <v>860041163</v>
      </c>
      <c r="T93" s="77"/>
      <c r="U93" s="78"/>
      <c r="V93" s="81"/>
      <c r="W93" s="80">
        <v>1723608</v>
      </c>
    </row>
    <row r="94" spans="1:23" ht="15.6" x14ac:dyDescent="0.3">
      <c r="A94" s="67" t="s">
        <v>733</v>
      </c>
      <c r="B94" s="69">
        <v>17185776</v>
      </c>
      <c r="C94" s="69" t="s">
        <v>734</v>
      </c>
      <c r="D94" s="69">
        <v>0</v>
      </c>
      <c r="E94" s="70" t="s">
        <v>19</v>
      </c>
      <c r="F94" s="67" t="s">
        <v>1643</v>
      </c>
      <c r="G94" s="71">
        <v>38899</v>
      </c>
      <c r="H94" s="72">
        <v>45211</v>
      </c>
      <c r="I94" s="133">
        <v>13322254.880000001</v>
      </c>
      <c r="J94" s="134">
        <v>2005849.23</v>
      </c>
      <c r="K94" s="125"/>
      <c r="L94" s="74">
        <v>0.25340000000000001</v>
      </c>
      <c r="M94" s="75">
        <v>525070</v>
      </c>
      <c r="N94" s="76">
        <v>14</v>
      </c>
      <c r="O94" s="76"/>
      <c r="P94" s="76"/>
      <c r="Q94" s="76"/>
      <c r="R94" s="67" t="s">
        <v>1528</v>
      </c>
      <c r="S94" s="68">
        <v>860041163</v>
      </c>
      <c r="T94" s="77"/>
      <c r="U94" s="78"/>
      <c r="V94" s="81"/>
      <c r="W94" s="80">
        <v>1271880</v>
      </c>
    </row>
    <row r="95" spans="1:23" ht="15.6" x14ac:dyDescent="0.3">
      <c r="A95" s="67" t="s">
        <v>735</v>
      </c>
      <c r="B95" s="69">
        <v>41496199</v>
      </c>
      <c r="C95" s="69" t="s">
        <v>736</v>
      </c>
      <c r="D95" s="69">
        <v>0</v>
      </c>
      <c r="E95" s="70" t="s">
        <v>722</v>
      </c>
      <c r="F95" s="67" t="s">
        <v>1643</v>
      </c>
      <c r="G95" s="71">
        <v>38899</v>
      </c>
      <c r="H95" s="72">
        <v>45211</v>
      </c>
      <c r="I95" s="133">
        <v>397993.83</v>
      </c>
      <c r="J95" s="134">
        <v>59923.46</v>
      </c>
      <c r="K95" s="125"/>
      <c r="L95" s="74">
        <v>2.8400000000000002E-2</v>
      </c>
      <c r="M95" s="75">
        <v>51041</v>
      </c>
      <c r="N95" s="76">
        <v>14</v>
      </c>
      <c r="O95" s="76"/>
      <c r="P95" s="76"/>
      <c r="Q95" s="76"/>
      <c r="R95" s="67" t="s">
        <v>1528</v>
      </c>
      <c r="S95" s="68">
        <v>860041163</v>
      </c>
      <c r="T95" s="77"/>
      <c r="U95" s="78"/>
      <c r="V95" s="81"/>
      <c r="W95" s="80">
        <v>339026</v>
      </c>
    </row>
    <row r="96" spans="1:23" ht="15.6" x14ac:dyDescent="0.3">
      <c r="A96" s="67" t="s">
        <v>737</v>
      </c>
      <c r="B96" s="69">
        <v>11785192</v>
      </c>
      <c r="C96" s="69" t="s">
        <v>738</v>
      </c>
      <c r="D96" s="69">
        <v>0</v>
      </c>
      <c r="E96" s="70" t="s">
        <v>19</v>
      </c>
      <c r="F96" s="67" t="s">
        <v>1643</v>
      </c>
      <c r="G96" s="71">
        <v>38899</v>
      </c>
      <c r="H96" s="72">
        <v>44421</v>
      </c>
      <c r="I96" s="133">
        <v>10112441.810000001</v>
      </c>
      <c r="J96" s="134">
        <v>1522567.6</v>
      </c>
      <c r="K96" s="125"/>
      <c r="L96" s="74">
        <v>0.35020000000000001</v>
      </c>
      <c r="M96" s="75">
        <v>755235</v>
      </c>
      <c r="N96" s="76">
        <v>14</v>
      </c>
      <c r="O96" s="76"/>
      <c r="P96" s="76"/>
      <c r="Q96" s="76"/>
      <c r="R96" s="67" t="s">
        <v>1528</v>
      </c>
      <c r="S96" s="68">
        <v>860041163</v>
      </c>
      <c r="T96" s="77"/>
      <c r="U96" s="78"/>
      <c r="V96" s="81"/>
      <c r="W96" s="80">
        <v>698578</v>
      </c>
    </row>
    <row r="97" spans="1:23" ht="15.6" x14ac:dyDescent="0.3">
      <c r="A97" s="67" t="s">
        <v>741</v>
      </c>
      <c r="B97" s="69">
        <v>19141125</v>
      </c>
      <c r="C97" s="69" t="s">
        <v>742</v>
      </c>
      <c r="D97" s="69">
        <v>0</v>
      </c>
      <c r="E97" s="70" t="s">
        <v>19</v>
      </c>
      <c r="F97" s="67" t="s">
        <v>1643</v>
      </c>
      <c r="G97" s="71">
        <v>41061</v>
      </c>
      <c r="H97" s="72">
        <v>44421</v>
      </c>
      <c r="I97" s="133">
        <v>9235403.4900000002</v>
      </c>
      <c r="J97" s="134">
        <v>1390517.38</v>
      </c>
      <c r="K97" s="125"/>
      <c r="L97" s="74">
        <v>0.23760000000000001</v>
      </c>
      <c r="M97" s="75">
        <v>489878</v>
      </c>
      <c r="N97" s="76">
        <v>13</v>
      </c>
      <c r="O97" s="76"/>
      <c r="P97" s="76"/>
      <c r="Q97" s="76"/>
      <c r="R97" s="67" t="s">
        <v>1528</v>
      </c>
      <c r="S97" s="68">
        <v>860041163</v>
      </c>
      <c r="T97" s="77"/>
      <c r="U97" s="78"/>
      <c r="V97" s="81"/>
      <c r="W97" s="80">
        <v>940339</v>
      </c>
    </row>
    <row r="98" spans="1:23" ht="15.6" x14ac:dyDescent="0.3">
      <c r="A98" s="67" t="s">
        <v>745</v>
      </c>
      <c r="B98" s="69">
        <v>17174648</v>
      </c>
      <c r="C98" s="69" t="s">
        <v>746</v>
      </c>
      <c r="D98" s="69">
        <v>0</v>
      </c>
      <c r="E98" s="70" t="s">
        <v>722</v>
      </c>
      <c r="F98" s="67" t="s">
        <v>1643</v>
      </c>
      <c r="G98" s="71">
        <v>39052</v>
      </c>
      <c r="H98" s="72">
        <v>40908</v>
      </c>
      <c r="I98" s="133">
        <v>1089219.06</v>
      </c>
      <c r="J98" s="134">
        <v>163996.95000000001</v>
      </c>
      <c r="K98" s="125"/>
      <c r="L98" s="74">
        <v>2.4E-2</v>
      </c>
      <c r="M98" s="75">
        <v>403514</v>
      </c>
      <c r="N98" s="76">
        <v>14</v>
      </c>
      <c r="O98" s="76"/>
      <c r="P98" s="76"/>
      <c r="Q98" s="76"/>
      <c r="R98" s="67" t="s">
        <v>1528</v>
      </c>
      <c r="S98" s="68">
        <v>860041163</v>
      </c>
      <c r="T98" s="77"/>
      <c r="U98" s="78"/>
      <c r="V98" s="81"/>
      <c r="W98" s="80">
        <v>1097941</v>
      </c>
    </row>
    <row r="99" spans="1:23" ht="15.6" x14ac:dyDescent="0.3">
      <c r="A99" s="67" t="s">
        <v>749</v>
      </c>
      <c r="B99" s="69">
        <v>37810875</v>
      </c>
      <c r="C99" s="69" t="s">
        <v>750</v>
      </c>
      <c r="D99" s="69">
        <v>0</v>
      </c>
      <c r="E99" s="70" t="s">
        <v>751</v>
      </c>
      <c r="F99" s="67" t="s">
        <v>1643</v>
      </c>
      <c r="G99" s="71">
        <v>39051</v>
      </c>
      <c r="H99" s="72">
        <v>40908</v>
      </c>
      <c r="I99" s="133">
        <v>3937434.78</v>
      </c>
      <c r="J99" s="134">
        <v>592835.12</v>
      </c>
      <c r="K99" s="125"/>
      <c r="L99" s="74">
        <v>5.57E-2</v>
      </c>
      <c r="M99" s="75">
        <v>414341</v>
      </c>
      <c r="N99" s="76">
        <v>13</v>
      </c>
      <c r="O99" s="76"/>
      <c r="P99" s="76"/>
      <c r="Q99" s="76"/>
      <c r="R99" s="67" t="s">
        <v>1528</v>
      </c>
      <c r="S99" s="68">
        <v>860041163</v>
      </c>
      <c r="T99" s="77"/>
      <c r="U99" s="78"/>
      <c r="V99" s="81"/>
      <c r="W99" s="80">
        <v>1710146</v>
      </c>
    </row>
    <row r="100" spans="1:23" ht="15.6" x14ac:dyDescent="0.3">
      <c r="A100" s="67" t="s">
        <v>752</v>
      </c>
      <c r="B100" s="69">
        <v>19116731</v>
      </c>
      <c r="C100" s="69" t="s">
        <v>753</v>
      </c>
      <c r="D100" s="69">
        <v>0</v>
      </c>
      <c r="E100" s="70" t="s">
        <v>592</v>
      </c>
      <c r="F100" s="67" t="s">
        <v>1643</v>
      </c>
      <c r="G100" s="71">
        <v>39114</v>
      </c>
      <c r="H100" s="72">
        <v>40908</v>
      </c>
      <c r="I100" s="133">
        <v>2968809.81</v>
      </c>
      <c r="J100" s="134">
        <v>446995.27</v>
      </c>
      <c r="K100" s="125"/>
      <c r="L100" s="74">
        <v>6.7699999999999996E-2</v>
      </c>
      <c r="M100" s="75">
        <v>109487</v>
      </c>
      <c r="N100" s="76">
        <v>14</v>
      </c>
      <c r="O100" s="76"/>
      <c r="P100" s="76"/>
      <c r="Q100" s="76"/>
      <c r="R100" s="67" t="s">
        <v>1528</v>
      </c>
      <c r="S100" s="68">
        <v>860041163</v>
      </c>
      <c r="T100" s="77"/>
      <c r="U100" s="78"/>
      <c r="V100" s="81"/>
      <c r="W100" s="80">
        <v>1060886</v>
      </c>
    </row>
    <row r="101" spans="1:23" ht="15.6" x14ac:dyDescent="0.3">
      <c r="A101" s="67" t="s">
        <v>754</v>
      </c>
      <c r="B101" s="69">
        <v>41529792</v>
      </c>
      <c r="C101" s="69" t="s">
        <v>755</v>
      </c>
      <c r="D101" s="69">
        <v>0</v>
      </c>
      <c r="E101" s="70" t="s">
        <v>722</v>
      </c>
      <c r="F101" s="67" t="s">
        <v>1643</v>
      </c>
      <c r="G101" s="71">
        <v>39114</v>
      </c>
      <c r="H101" s="72">
        <v>40908</v>
      </c>
      <c r="I101" s="133">
        <v>37973581.020000003</v>
      </c>
      <c r="J101" s="134">
        <v>5717446.4100000001</v>
      </c>
      <c r="K101" s="125"/>
      <c r="L101" s="74">
        <v>0.43070000000000003</v>
      </c>
      <c r="M101" s="75">
        <v>820267</v>
      </c>
      <c r="N101" s="76">
        <v>14</v>
      </c>
      <c r="O101" s="76"/>
      <c r="P101" s="76"/>
      <c r="Q101" s="76"/>
      <c r="R101" s="67" t="s">
        <v>1528</v>
      </c>
      <c r="S101" s="68">
        <v>860041163</v>
      </c>
      <c r="T101" s="77"/>
      <c r="U101" s="78"/>
      <c r="V101" s="81"/>
      <c r="W101" s="80">
        <v>2132955</v>
      </c>
    </row>
    <row r="102" spans="1:23" ht="15.6" x14ac:dyDescent="0.3">
      <c r="A102" s="67" t="s">
        <v>756</v>
      </c>
      <c r="B102" s="69">
        <v>41458335</v>
      </c>
      <c r="C102" s="69" t="s">
        <v>757</v>
      </c>
      <c r="D102" s="69">
        <v>0</v>
      </c>
      <c r="E102" s="70" t="s">
        <v>758</v>
      </c>
      <c r="F102" s="67" t="s">
        <v>1643</v>
      </c>
      <c r="G102" s="71">
        <v>39129</v>
      </c>
      <c r="H102" s="72">
        <v>40908</v>
      </c>
      <c r="I102" s="133">
        <v>40653138.82</v>
      </c>
      <c r="J102" s="134">
        <v>6120890.7999999998</v>
      </c>
      <c r="K102" s="125"/>
      <c r="L102" s="74">
        <v>0.51349999999999996</v>
      </c>
      <c r="M102" s="75">
        <v>767483</v>
      </c>
      <c r="N102" s="76">
        <v>14</v>
      </c>
      <c r="O102" s="76"/>
      <c r="P102" s="76"/>
      <c r="Q102" s="76"/>
      <c r="R102" s="67" t="s">
        <v>1528</v>
      </c>
      <c r="S102" s="68">
        <v>860041163</v>
      </c>
      <c r="T102" s="77"/>
      <c r="U102" s="78"/>
      <c r="V102" s="81"/>
      <c r="W102" s="80">
        <v>1915264</v>
      </c>
    </row>
    <row r="103" spans="1:23" ht="15.6" x14ac:dyDescent="0.3">
      <c r="A103" s="67" t="s">
        <v>759</v>
      </c>
      <c r="B103" s="69">
        <v>19147220</v>
      </c>
      <c r="C103" s="69" t="s">
        <v>760</v>
      </c>
      <c r="D103" s="69">
        <v>0</v>
      </c>
      <c r="E103" s="70" t="s">
        <v>722</v>
      </c>
      <c r="F103" s="67" t="s">
        <v>1643</v>
      </c>
      <c r="G103" s="71">
        <v>39203</v>
      </c>
      <c r="H103" s="72">
        <v>40908</v>
      </c>
      <c r="I103" s="133">
        <v>8015682.8499999996</v>
      </c>
      <c r="J103" s="134">
        <v>1206871.6200000001</v>
      </c>
      <c r="K103" s="125"/>
      <c r="L103" s="74">
        <v>0.17180000000000001</v>
      </c>
      <c r="M103" s="75">
        <v>338866</v>
      </c>
      <c r="N103" s="76">
        <v>13</v>
      </c>
      <c r="O103" s="76"/>
      <c r="P103" s="76"/>
      <c r="Q103" s="76"/>
      <c r="R103" s="67" t="s">
        <v>1528</v>
      </c>
      <c r="S103" s="68">
        <v>860041163</v>
      </c>
      <c r="T103" s="77"/>
      <c r="U103" s="78"/>
      <c r="V103" s="81"/>
      <c r="W103" s="80">
        <v>1128736</v>
      </c>
    </row>
    <row r="104" spans="1:23" ht="15.6" x14ac:dyDescent="0.3">
      <c r="A104" s="67" t="s">
        <v>761</v>
      </c>
      <c r="B104" s="69">
        <v>41528816</v>
      </c>
      <c r="C104" s="69" t="s">
        <v>762</v>
      </c>
      <c r="D104" s="69">
        <v>0</v>
      </c>
      <c r="E104" s="70" t="s">
        <v>19</v>
      </c>
      <c r="F104" s="67" t="s">
        <v>1643</v>
      </c>
      <c r="G104" s="71">
        <v>39264</v>
      </c>
      <c r="H104" s="72">
        <v>40908</v>
      </c>
      <c r="I104" s="133">
        <v>4734112.18</v>
      </c>
      <c r="J104" s="134">
        <v>712785.89</v>
      </c>
      <c r="K104" s="125"/>
      <c r="L104" s="74">
        <v>0.1633</v>
      </c>
      <c r="M104" s="75">
        <v>296891</v>
      </c>
      <c r="N104" s="76">
        <v>14</v>
      </c>
      <c r="O104" s="76"/>
      <c r="P104" s="76"/>
      <c r="Q104" s="76"/>
      <c r="R104" s="67" t="s">
        <v>1528</v>
      </c>
      <c r="S104" s="68">
        <v>860041163</v>
      </c>
      <c r="T104" s="77">
        <v>19150420</v>
      </c>
      <c r="U104" s="78" t="s">
        <v>1685</v>
      </c>
      <c r="V104" s="81"/>
      <c r="W104" s="80">
        <v>701338</v>
      </c>
    </row>
    <row r="105" spans="1:23" ht="15.6" x14ac:dyDescent="0.3">
      <c r="A105" s="67" t="s">
        <v>763</v>
      </c>
      <c r="B105" s="69">
        <v>19145116</v>
      </c>
      <c r="C105" s="69" t="s">
        <v>764</v>
      </c>
      <c r="D105" s="69">
        <v>0</v>
      </c>
      <c r="E105" s="70" t="s">
        <v>19</v>
      </c>
      <c r="F105" s="67" t="s">
        <v>1643</v>
      </c>
      <c r="G105" s="71">
        <v>39326</v>
      </c>
      <c r="H105" s="72">
        <v>40908</v>
      </c>
      <c r="I105" s="133">
        <v>8994149.9800000004</v>
      </c>
      <c r="J105" s="134">
        <v>1354193.34</v>
      </c>
      <c r="K105" s="125"/>
      <c r="L105" s="74">
        <v>0.1807</v>
      </c>
      <c r="M105" s="75">
        <v>308210</v>
      </c>
      <c r="N105" s="76">
        <v>13</v>
      </c>
      <c r="O105" s="76"/>
      <c r="P105" s="76"/>
      <c r="Q105" s="76"/>
      <c r="R105" s="67" t="s">
        <v>1528</v>
      </c>
      <c r="S105" s="68">
        <v>860041163</v>
      </c>
      <c r="T105" s="77"/>
      <c r="U105" s="78"/>
      <c r="V105" s="81"/>
      <c r="W105" s="80">
        <v>1204140</v>
      </c>
    </row>
    <row r="106" spans="1:23" ht="16.2" thickBot="1" x14ac:dyDescent="0.35">
      <c r="A106" s="84" t="s">
        <v>765</v>
      </c>
      <c r="B106" s="69">
        <v>41574977</v>
      </c>
      <c r="C106" s="69" t="s">
        <v>766</v>
      </c>
      <c r="D106" s="69">
        <v>0</v>
      </c>
      <c r="E106" s="70" t="s">
        <v>592</v>
      </c>
      <c r="F106" s="67" t="s">
        <v>1643</v>
      </c>
      <c r="G106" s="71">
        <v>39415</v>
      </c>
      <c r="H106" s="72">
        <v>40908</v>
      </c>
      <c r="I106" s="133">
        <v>1786426.78</v>
      </c>
      <c r="J106" s="134">
        <v>268971.19</v>
      </c>
      <c r="K106" s="126"/>
      <c r="L106" s="74">
        <v>0.10059999999999999</v>
      </c>
      <c r="M106" s="75">
        <v>181841</v>
      </c>
      <c r="N106" s="76">
        <v>13</v>
      </c>
      <c r="O106" s="76"/>
      <c r="P106" s="76"/>
      <c r="Q106" s="76"/>
      <c r="R106" s="67" t="s">
        <v>1528</v>
      </c>
      <c r="S106" s="68">
        <v>860041163</v>
      </c>
      <c r="T106" s="77"/>
      <c r="U106" s="78"/>
      <c r="V106" s="82"/>
      <c r="W106" s="80">
        <v>429598</v>
      </c>
    </row>
    <row r="107" spans="1:23" ht="15.6" x14ac:dyDescent="0.3">
      <c r="A107" s="67" t="s">
        <v>767</v>
      </c>
      <c r="B107" s="69">
        <v>41568037</v>
      </c>
      <c r="C107" s="69" t="s">
        <v>768</v>
      </c>
      <c r="D107" s="69">
        <v>0</v>
      </c>
      <c r="E107" s="70" t="s">
        <v>19</v>
      </c>
      <c r="F107" s="67" t="s">
        <v>1643</v>
      </c>
      <c r="G107" s="71">
        <v>39569</v>
      </c>
      <c r="H107" s="72">
        <v>40908</v>
      </c>
      <c r="I107" s="133">
        <v>403573.49</v>
      </c>
      <c r="J107" s="134">
        <v>60763.56</v>
      </c>
      <c r="K107" s="127"/>
      <c r="L107" s="74">
        <v>7.5300000000000006E-2</v>
      </c>
      <c r="M107" s="75">
        <v>167687</v>
      </c>
      <c r="N107" s="76">
        <v>13</v>
      </c>
      <c r="O107" s="76"/>
      <c r="P107" s="76"/>
      <c r="Q107" s="76"/>
      <c r="R107" s="67" t="s">
        <v>1528</v>
      </c>
      <c r="S107" s="68">
        <v>860041163</v>
      </c>
      <c r="T107" s="77"/>
      <c r="U107" s="78"/>
      <c r="V107" s="81"/>
      <c r="W107" s="80">
        <v>129659</v>
      </c>
    </row>
    <row r="108" spans="1:23" ht="15.6" x14ac:dyDescent="0.3">
      <c r="A108" s="67" t="s">
        <v>769</v>
      </c>
      <c r="B108" s="69">
        <v>41576831</v>
      </c>
      <c r="C108" s="69" t="s">
        <v>770</v>
      </c>
      <c r="D108" s="69">
        <v>0</v>
      </c>
      <c r="E108" s="70" t="s">
        <v>592</v>
      </c>
      <c r="F108" s="67" t="s">
        <v>1643</v>
      </c>
      <c r="G108" s="71">
        <v>39602</v>
      </c>
      <c r="H108" s="72">
        <v>40908</v>
      </c>
      <c r="I108" s="133">
        <v>4305651.0199999996</v>
      </c>
      <c r="J108" s="134">
        <v>648275.15</v>
      </c>
      <c r="K108" s="125"/>
      <c r="L108" s="74">
        <v>0.94140000000000001</v>
      </c>
      <c r="M108" s="75">
        <v>542386</v>
      </c>
      <c r="N108" s="76">
        <v>13</v>
      </c>
      <c r="O108" s="76"/>
      <c r="P108" s="76"/>
      <c r="Q108" s="76"/>
      <c r="R108" s="67" t="s">
        <v>1528</v>
      </c>
      <c r="S108" s="68">
        <v>860041163</v>
      </c>
      <c r="T108" s="77"/>
      <c r="U108" s="78"/>
      <c r="V108" s="99"/>
      <c r="W108" s="80">
        <v>110647</v>
      </c>
    </row>
    <row r="109" spans="1:23" ht="16.2" thickBot="1" x14ac:dyDescent="0.35">
      <c r="A109" s="84" t="s">
        <v>771</v>
      </c>
      <c r="B109" s="69">
        <v>17196930</v>
      </c>
      <c r="C109" s="69" t="s">
        <v>772</v>
      </c>
      <c r="D109" s="69">
        <v>0</v>
      </c>
      <c r="E109" s="70" t="s">
        <v>592</v>
      </c>
      <c r="F109" s="67" t="s">
        <v>1643</v>
      </c>
      <c r="G109" s="71">
        <v>39753</v>
      </c>
      <c r="H109" s="72">
        <v>40908</v>
      </c>
      <c r="I109" s="133">
        <v>6036247.0999999996</v>
      </c>
      <c r="J109" s="134">
        <v>908840.26</v>
      </c>
      <c r="K109" s="128"/>
      <c r="L109" s="74">
        <v>0.1381</v>
      </c>
      <c r="M109" s="75">
        <v>39416</v>
      </c>
      <c r="N109" s="76">
        <v>14</v>
      </c>
      <c r="O109" s="76"/>
      <c r="P109" s="76"/>
      <c r="Q109" s="76"/>
      <c r="R109" s="67" t="s">
        <v>1528</v>
      </c>
      <c r="S109" s="68">
        <v>860041163</v>
      </c>
      <c r="T109" s="77">
        <v>41500005</v>
      </c>
      <c r="U109" s="78" t="s">
        <v>1788</v>
      </c>
      <c r="V109" s="81"/>
      <c r="W109" s="80">
        <v>1057422</v>
      </c>
    </row>
    <row r="110" spans="1:23" ht="15.6" x14ac:dyDescent="0.3">
      <c r="A110" s="67" t="s">
        <v>775</v>
      </c>
      <c r="B110" s="69">
        <v>41605939</v>
      </c>
      <c r="C110" s="69" t="s">
        <v>776</v>
      </c>
      <c r="D110" s="69">
        <v>0</v>
      </c>
      <c r="E110" s="70" t="s">
        <v>592</v>
      </c>
      <c r="F110" s="67" t="s">
        <v>1643</v>
      </c>
      <c r="G110" s="71">
        <v>39934</v>
      </c>
      <c r="H110" s="72">
        <v>40908</v>
      </c>
      <c r="I110" s="133">
        <v>1426566.35</v>
      </c>
      <c r="J110" s="134">
        <v>214789.24</v>
      </c>
      <c r="K110" s="125"/>
      <c r="L110" s="74">
        <v>9.4799999999999995E-2</v>
      </c>
      <c r="M110" s="75">
        <v>175369</v>
      </c>
      <c r="N110" s="76">
        <v>13</v>
      </c>
      <c r="O110" s="76"/>
      <c r="P110" s="76"/>
      <c r="Q110" s="76"/>
      <c r="R110" s="67" t="s">
        <v>1528</v>
      </c>
      <c r="S110" s="68">
        <v>860041163</v>
      </c>
      <c r="T110" s="77"/>
      <c r="U110" s="78"/>
      <c r="V110" s="81"/>
      <c r="W110" s="80">
        <v>364048</v>
      </c>
    </row>
    <row r="111" spans="1:23" ht="15.6" x14ac:dyDescent="0.3">
      <c r="A111" s="67" t="s">
        <v>777</v>
      </c>
      <c r="B111" s="69">
        <v>17105216</v>
      </c>
      <c r="C111" s="69" t="s">
        <v>778</v>
      </c>
      <c r="D111" s="69">
        <v>0</v>
      </c>
      <c r="E111" s="70" t="s">
        <v>592</v>
      </c>
      <c r="F111" s="67" t="s">
        <v>1643</v>
      </c>
      <c r="G111" s="71">
        <v>39994</v>
      </c>
      <c r="H111" s="72">
        <v>40908</v>
      </c>
      <c r="I111" s="133">
        <v>1211610.76</v>
      </c>
      <c r="J111" s="134">
        <v>182424.71</v>
      </c>
      <c r="K111" s="125"/>
      <c r="L111" s="74">
        <v>4.9000000000000002E-2</v>
      </c>
      <c r="M111" s="75">
        <v>54071</v>
      </c>
      <c r="N111" s="76">
        <v>14</v>
      </c>
      <c r="O111" s="76"/>
      <c r="P111" s="76"/>
      <c r="Q111" s="76"/>
      <c r="R111" s="67" t="s">
        <v>1528</v>
      </c>
      <c r="S111" s="68">
        <v>860041163</v>
      </c>
      <c r="T111" s="77">
        <v>39640925</v>
      </c>
      <c r="U111" s="78" t="s">
        <v>1686</v>
      </c>
      <c r="V111" s="81"/>
      <c r="W111" s="80">
        <v>598194</v>
      </c>
    </row>
    <row r="112" spans="1:23" ht="16.2" thickBot="1" x14ac:dyDescent="0.35">
      <c r="A112" s="89" t="s">
        <v>779</v>
      </c>
      <c r="B112" s="147">
        <v>19217505</v>
      </c>
      <c r="C112" s="69" t="s">
        <v>780</v>
      </c>
      <c r="D112" s="69">
        <v>0</v>
      </c>
      <c r="E112" s="91" t="s">
        <v>592</v>
      </c>
      <c r="F112" s="67" t="s">
        <v>1643</v>
      </c>
      <c r="G112" s="71">
        <v>40146</v>
      </c>
      <c r="H112" s="72">
        <v>40908</v>
      </c>
      <c r="I112" s="133">
        <v>371687.71</v>
      </c>
      <c r="J112" s="134">
        <v>55962.71</v>
      </c>
      <c r="K112" s="125"/>
      <c r="L112" s="74">
        <v>2.6800000000000001E-2</v>
      </c>
      <c r="M112" s="100">
        <v>51869</v>
      </c>
      <c r="N112" s="76">
        <v>13</v>
      </c>
      <c r="O112" s="76"/>
      <c r="P112" s="76"/>
      <c r="Q112" s="76"/>
      <c r="R112" s="67" t="s">
        <v>1528</v>
      </c>
      <c r="S112" s="68">
        <v>860041163</v>
      </c>
      <c r="T112" s="77"/>
      <c r="U112" s="78"/>
      <c r="V112" s="81"/>
      <c r="W112" s="80">
        <v>335520</v>
      </c>
    </row>
    <row r="113" spans="1:23" ht="15.6" x14ac:dyDescent="0.3">
      <c r="A113" s="93" t="s">
        <v>578</v>
      </c>
      <c r="B113" s="148">
        <v>13345921</v>
      </c>
      <c r="C113" s="69" t="s">
        <v>579</v>
      </c>
      <c r="D113" s="69">
        <v>0</v>
      </c>
      <c r="E113" s="95" t="s">
        <v>592</v>
      </c>
      <c r="F113" s="67" t="s">
        <v>1643</v>
      </c>
      <c r="G113" s="71">
        <v>40147</v>
      </c>
      <c r="H113" s="72">
        <v>40908</v>
      </c>
      <c r="I113" s="133">
        <v>349026.45</v>
      </c>
      <c r="J113" s="134">
        <v>52550.74</v>
      </c>
      <c r="K113" s="125"/>
      <c r="L113" s="74">
        <v>2.5899999999999999E-2</v>
      </c>
      <c r="M113" s="96">
        <v>220634</v>
      </c>
      <c r="N113" s="76">
        <v>14</v>
      </c>
      <c r="O113" s="76"/>
      <c r="P113" s="76"/>
      <c r="Q113" s="76"/>
      <c r="R113" s="67" t="s">
        <v>1528</v>
      </c>
      <c r="S113" s="68">
        <v>860041163</v>
      </c>
      <c r="T113" s="77"/>
      <c r="U113" s="78"/>
      <c r="V113" s="82"/>
      <c r="W113" s="80">
        <v>326012</v>
      </c>
    </row>
    <row r="114" spans="1:23" ht="16.2" thickBot="1" x14ac:dyDescent="0.35">
      <c r="A114" s="89" t="s">
        <v>783</v>
      </c>
      <c r="B114" s="147">
        <v>7515893</v>
      </c>
      <c r="C114" s="69" t="s">
        <v>784</v>
      </c>
      <c r="D114" s="69">
        <v>0</v>
      </c>
      <c r="E114" s="91" t="s">
        <v>19</v>
      </c>
      <c r="F114" s="67" t="s">
        <v>1643</v>
      </c>
      <c r="G114" s="71">
        <v>39434</v>
      </c>
      <c r="H114" s="72">
        <v>40908</v>
      </c>
      <c r="I114" s="133">
        <v>20749969.260000002</v>
      </c>
      <c r="J114" s="134">
        <v>3124194.09</v>
      </c>
      <c r="K114" s="125"/>
      <c r="L114" s="74">
        <v>0.36840000000000001</v>
      </c>
      <c r="M114" s="100">
        <v>641879</v>
      </c>
      <c r="N114" s="76">
        <v>13</v>
      </c>
      <c r="O114" s="76"/>
      <c r="P114" s="76"/>
      <c r="Q114" s="76"/>
      <c r="R114" s="67" t="s">
        <v>1529</v>
      </c>
      <c r="S114" s="102">
        <v>890000432</v>
      </c>
      <c r="T114" s="77"/>
      <c r="U114" s="78"/>
      <c r="V114" s="81"/>
      <c r="W114" s="80">
        <v>1362614</v>
      </c>
    </row>
    <row r="115" spans="1:23" ht="15.6" x14ac:dyDescent="0.3">
      <c r="A115" s="67" t="s">
        <v>787</v>
      </c>
      <c r="B115" s="69">
        <v>7513206</v>
      </c>
      <c r="C115" s="69" t="s">
        <v>788</v>
      </c>
      <c r="D115" s="69">
        <v>0</v>
      </c>
      <c r="E115" s="70" t="s">
        <v>19</v>
      </c>
      <c r="F115" s="67" t="s">
        <v>1643</v>
      </c>
      <c r="G115" s="71">
        <v>39326</v>
      </c>
      <c r="H115" s="72">
        <v>40908</v>
      </c>
      <c r="I115" s="133">
        <v>28476465.280000001</v>
      </c>
      <c r="J115" s="134">
        <v>4287524.6399999997</v>
      </c>
      <c r="K115" s="125"/>
      <c r="L115" s="74">
        <v>0.49030000000000001</v>
      </c>
      <c r="M115" s="75">
        <v>570197</v>
      </c>
      <c r="N115" s="76">
        <v>14</v>
      </c>
      <c r="O115" s="76"/>
      <c r="P115" s="76"/>
      <c r="Q115" s="76"/>
      <c r="R115" s="67" t="s">
        <v>1530</v>
      </c>
      <c r="S115" s="68">
        <v>890000439</v>
      </c>
      <c r="T115" s="77"/>
      <c r="U115" s="78"/>
      <c r="V115" s="81"/>
      <c r="W115" s="80">
        <v>1405074</v>
      </c>
    </row>
    <row r="116" spans="1:23" ht="15.6" x14ac:dyDescent="0.3">
      <c r="A116" s="67" t="s">
        <v>789</v>
      </c>
      <c r="B116" s="69">
        <v>7507931</v>
      </c>
      <c r="C116" s="69" t="s">
        <v>790</v>
      </c>
      <c r="D116" s="69">
        <v>0</v>
      </c>
      <c r="E116" s="70" t="s">
        <v>472</v>
      </c>
      <c r="F116" s="67" t="s">
        <v>1643</v>
      </c>
      <c r="G116" s="71">
        <v>38853</v>
      </c>
      <c r="H116" s="72">
        <v>40908</v>
      </c>
      <c r="I116" s="133">
        <v>2425555.58</v>
      </c>
      <c r="J116" s="134">
        <v>365200.85</v>
      </c>
      <c r="K116" s="125"/>
      <c r="L116" s="74">
        <v>7.4499999999999997E-2</v>
      </c>
      <c r="M116" s="75">
        <v>139492</v>
      </c>
      <c r="N116" s="76">
        <v>14</v>
      </c>
      <c r="O116" s="76"/>
      <c r="P116" s="76"/>
      <c r="Q116" s="76"/>
      <c r="R116" s="67" t="s">
        <v>1531</v>
      </c>
      <c r="S116" s="68">
        <v>890000441</v>
      </c>
      <c r="T116" s="77">
        <v>24486333</v>
      </c>
      <c r="U116" s="78" t="s">
        <v>1689</v>
      </c>
      <c r="V116" s="103"/>
      <c r="W116" s="80">
        <v>787644</v>
      </c>
    </row>
    <row r="117" spans="1:23" ht="15.6" x14ac:dyDescent="0.3">
      <c r="A117" s="67" t="s">
        <v>791</v>
      </c>
      <c r="B117" s="69">
        <v>24474871</v>
      </c>
      <c r="C117" s="69" t="s">
        <v>792</v>
      </c>
      <c r="D117" s="69">
        <v>0</v>
      </c>
      <c r="E117" s="70" t="s">
        <v>472</v>
      </c>
      <c r="F117" s="67" t="s">
        <v>1643</v>
      </c>
      <c r="G117" s="71">
        <v>36465</v>
      </c>
      <c r="H117" s="72">
        <v>40908</v>
      </c>
      <c r="I117" s="133">
        <v>7693589.5599999996</v>
      </c>
      <c r="J117" s="134">
        <v>1158376.03</v>
      </c>
      <c r="K117" s="125"/>
      <c r="L117" s="74">
        <v>0.21340000000000001</v>
      </c>
      <c r="M117" s="75">
        <v>219279</v>
      </c>
      <c r="N117" s="76">
        <v>14</v>
      </c>
      <c r="O117" s="76"/>
      <c r="P117" s="76"/>
      <c r="Q117" s="76"/>
      <c r="R117" s="67" t="s">
        <v>1532</v>
      </c>
      <c r="S117" s="68">
        <v>890000464</v>
      </c>
      <c r="T117" s="77"/>
      <c r="U117" s="78"/>
      <c r="V117" s="81"/>
      <c r="W117" s="80">
        <v>872187</v>
      </c>
    </row>
    <row r="118" spans="1:23" ht="15.6" x14ac:dyDescent="0.3">
      <c r="A118" s="67" t="s">
        <v>684</v>
      </c>
      <c r="B118" s="69">
        <v>144109</v>
      </c>
      <c r="C118" s="69" t="s">
        <v>685</v>
      </c>
      <c r="D118" s="69">
        <v>0</v>
      </c>
      <c r="E118" s="70" t="s">
        <v>19</v>
      </c>
      <c r="F118" s="67" t="s">
        <v>1643</v>
      </c>
      <c r="G118" s="71">
        <v>30162</v>
      </c>
      <c r="H118" s="72"/>
      <c r="I118" s="133">
        <v>3793003.64</v>
      </c>
      <c r="J118" s="134">
        <v>571089.02</v>
      </c>
      <c r="K118" s="125"/>
      <c r="L118" s="74">
        <v>6.3200000000000006E-2</v>
      </c>
      <c r="M118" s="85"/>
      <c r="N118" s="76">
        <v>14</v>
      </c>
      <c r="O118" s="76"/>
      <c r="P118" s="76"/>
      <c r="Q118" s="76"/>
      <c r="R118" s="67" t="s">
        <v>1534</v>
      </c>
      <c r="S118" s="101">
        <v>890001127</v>
      </c>
      <c r="T118" s="77">
        <v>20128658</v>
      </c>
      <c r="U118" s="78" t="s">
        <v>1680</v>
      </c>
      <c r="V118" s="81"/>
      <c r="W118" s="80">
        <v>1451915</v>
      </c>
    </row>
    <row r="119" spans="1:23" ht="15.6" x14ac:dyDescent="0.3">
      <c r="A119" s="67" t="s">
        <v>797</v>
      </c>
      <c r="B119" s="69">
        <v>8247415</v>
      </c>
      <c r="C119" s="69" t="s">
        <v>798</v>
      </c>
      <c r="D119" s="69">
        <v>0</v>
      </c>
      <c r="E119" s="70" t="s">
        <v>19</v>
      </c>
      <c r="F119" s="67" t="s">
        <v>1643</v>
      </c>
      <c r="G119" s="71">
        <v>35431</v>
      </c>
      <c r="H119" s="72"/>
      <c r="I119" s="133">
        <v>23341525.120000001</v>
      </c>
      <c r="J119" s="134">
        <v>3514388.57</v>
      </c>
      <c r="K119" s="125"/>
      <c r="L119" s="74">
        <v>0.39319999999999999</v>
      </c>
      <c r="M119" s="75">
        <v>207669</v>
      </c>
      <c r="N119" s="76">
        <v>14</v>
      </c>
      <c r="O119" s="76"/>
      <c r="P119" s="76"/>
      <c r="Q119" s="76"/>
      <c r="R119" s="67" t="s">
        <v>1535</v>
      </c>
      <c r="S119" s="68">
        <v>890001639</v>
      </c>
      <c r="T119" s="77">
        <v>24483684</v>
      </c>
      <c r="U119" s="78" t="s">
        <v>1690</v>
      </c>
      <c r="V119" s="81"/>
      <c r="W119" s="80">
        <v>1436120</v>
      </c>
    </row>
    <row r="120" spans="1:23" ht="15.6" x14ac:dyDescent="0.3">
      <c r="A120" s="67" t="s">
        <v>522</v>
      </c>
      <c r="B120" s="69">
        <v>1753208</v>
      </c>
      <c r="C120" s="69" t="s">
        <v>523</v>
      </c>
      <c r="D120" s="69">
        <v>0</v>
      </c>
      <c r="E120" s="70" t="s">
        <v>21</v>
      </c>
      <c r="F120" s="67" t="s">
        <v>1643</v>
      </c>
      <c r="G120" s="71">
        <v>27576</v>
      </c>
      <c r="H120" s="72"/>
      <c r="I120" s="133">
        <v>12192495.939999999</v>
      </c>
      <c r="J120" s="134">
        <v>1835748.44</v>
      </c>
      <c r="K120" s="125"/>
      <c r="L120" s="74">
        <v>0.24360000000000001</v>
      </c>
      <c r="M120" s="75">
        <v>1372</v>
      </c>
      <c r="N120" s="76">
        <v>14</v>
      </c>
      <c r="O120" s="76"/>
      <c r="P120" s="76"/>
      <c r="Q120" s="76"/>
      <c r="R120" s="67" t="s">
        <v>46</v>
      </c>
      <c r="S120" s="68">
        <v>890102006</v>
      </c>
      <c r="T120" s="77">
        <v>32674991</v>
      </c>
      <c r="U120" s="78" t="s">
        <v>1658</v>
      </c>
      <c r="V120" s="81"/>
      <c r="W120" s="80">
        <v>1210850</v>
      </c>
    </row>
    <row r="121" spans="1:23" ht="15.6" x14ac:dyDescent="0.3">
      <c r="A121" s="67" t="s">
        <v>802</v>
      </c>
      <c r="B121" s="69">
        <v>22295163</v>
      </c>
      <c r="C121" s="69" t="s">
        <v>803</v>
      </c>
      <c r="D121" s="69">
        <v>0</v>
      </c>
      <c r="E121" s="70" t="s">
        <v>19</v>
      </c>
      <c r="F121" s="67" t="s">
        <v>1643</v>
      </c>
      <c r="G121" s="71">
        <v>30057</v>
      </c>
      <c r="H121" s="72"/>
      <c r="I121" s="133">
        <v>23689626.879999999</v>
      </c>
      <c r="J121" s="134">
        <v>3566800.09</v>
      </c>
      <c r="K121" s="125"/>
      <c r="L121" s="74">
        <v>0.5423</v>
      </c>
      <c r="M121" s="75">
        <v>408381</v>
      </c>
      <c r="N121" s="76">
        <v>14</v>
      </c>
      <c r="O121" s="76"/>
      <c r="P121" s="76"/>
      <c r="Q121" s="76"/>
      <c r="R121" s="67" t="s">
        <v>46</v>
      </c>
      <c r="S121" s="68">
        <v>890102006</v>
      </c>
      <c r="T121" s="77"/>
      <c r="U121" s="78"/>
      <c r="V121" s="81"/>
      <c r="W121" s="80">
        <v>1056802</v>
      </c>
    </row>
    <row r="122" spans="1:23" ht="15.6" x14ac:dyDescent="0.3">
      <c r="A122" s="67" t="s">
        <v>804</v>
      </c>
      <c r="B122" s="69">
        <v>22267722</v>
      </c>
      <c r="C122" s="69" t="s">
        <v>805</v>
      </c>
      <c r="D122" s="69">
        <v>0</v>
      </c>
      <c r="E122" s="70" t="s">
        <v>19</v>
      </c>
      <c r="F122" s="67" t="s">
        <v>1643</v>
      </c>
      <c r="G122" s="71">
        <v>30895</v>
      </c>
      <c r="H122" s="72">
        <v>44754</v>
      </c>
      <c r="I122" s="133">
        <v>14012607.92</v>
      </c>
      <c r="J122" s="134">
        <v>2109791.4</v>
      </c>
      <c r="K122" s="125"/>
      <c r="L122" s="74">
        <v>9.2899999999999996E-2</v>
      </c>
      <c r="M122" s="75">
        <v>166441</v>
      </c>
      <c r="N122" s="76">
        <v>14</v>
      </c>
      <c r="O122" s="76"/>
      <c r="P122" s="76"/>
      <c r="Q122" s="76"/>
      <c r="R122" s="67" t="s">
        <v>46</v>
      </c>
      <c r="S122" s="68">
        <v>890102006</v>
      </c>
      <c r="T122" s="77"/>
      <c r="U122" s="78"/>
      <c r="V122" s="81"/>
      <c r="W122" s="80">
        <v>3649037</v>
      </c>
    </row>
    <row r="123" spans="1:23" ht="15.6" x14ac:dyDescent="0.3">
      <c r="A123" s="67" t="s">
        <v>806</v>
      </c>
      <c r="B123" s="69">
        <v>3755040</v>
      </c>
      <c r="C123" s="69" t="s">
        <v>807</v>
      </c>
      <c r="D123" s="69">
        <v>0</v>
      </c>
      <c r="E123" s="70" t="s">
        <v>19</v>
      </c>
      <c r="F123" s="67" t="s">
        <v>1643</v>
      </c>
      <c r="G123" s="71">
        <v>28871</v>
      </c>
      <c r="H123" s="72">
        <v>44754</v>
      </c>
      <c r="I123" s="133">
        <v>55062988.850000001</v>
      </c>
      <c r="J123" s="134">
        <v>8290492.4800000004</v>
      </c>
      <c r="K123" s="125"/>
      <c r="L123" s="74">
        <v>0.71189999999999998</v>
      </c>
      <c r="M123" s="85"/>
      <c r="N123" s="76">
        <v>14</v>
      </c>
      <c r="O123" s="76"/>
      <c r="P123" s="76"/>
      <c r="Q123" s="76"/>
      <c r="R123" s="67" t="s">
        <v>46</v>
      </c>
      <c r="S123" s="68">
        <v>890102006</v>
      </c>
      <c r="T123" s="77">
        <v>22362265</v>
      </c>
      <c r="U123" s="78" t="s">
        <v>1693</v>
      </c>
      <c r="V123" s="81"/>
      <c r="W123" s="80">
        <v>1871181</v>
      </c>
    </row>
    <row r="124" spans="1:23" ht="15.6" x14ac:dyDescent="0.3">
      <c r="A124" s="67" t="s">
        <v>810</v>
      </c>
      <c r="B124" s="69">
        <v>22396055</v>
      </c>
      <c r="C124" s="69" t="s">
        <v>811</v>
      </c>
      <c r="D124" s="69">
        <v>0</v>
      </c>
      <c r="E124" s="70" t="s">
        <v>472</v>
      </c>
      <c r="F124" s="67" t="s">
        <v>1643</v>
      </c>
      <c r="G124" s="71">
        <v>37041</v>
      </c>
      <c r="H124" s="72">
        <v>44754</v>
      </c>
      <c r="I124" s="133">
        <v>11981805.539999999</v>
      </c>
      <c r="J124" s="134">
        <v>1804026.1</v>
      </c>
      <c r="K124" s="125"/>
      <c r="L124" s="74">
        <v>0.2</v>
      </c>
      <c r="M124" s="75">
        <v>99821</v>
      </c>
      <c r="N124" s="76">
        <v>14</v>
      </c>
      <c r="O124" s="76"/>
      <c r="P124" s="76"/>
      <c r="Q124" s="76"/>
      <c r="R124" s="67" t="s">
        <v>46</v>
      </c>
      <c r="S124" s="68">
        <v>890102006</v>
      </c>
      <c r="T124" s="77"/>
      <c r="U124" s="78"/>
      <c r="V124" s="81"/>
      <c r="W124" s="80">
        <v>1449330</v>
      </c>
    </row>
    <row r="125" spans="1:23" ht="15.6" x14ac:dyDescent="0.3">
      <c r="A125" s="67" t="s">
        <v>814</v>
      </c>
      <c r="B125" s="69">
        <v>22357453</v>
      </c>
      <c r="C125" s="69" t="s">
        <v>815</v>
      </c>
      <c r="D125" s="69">
        <v>0</v>
      </c>
      <c r="E125" s="70" t="s">
        <v>472</v>
      </c>
      <c r="F125" s="67" t="s">
        <v>1643</v>
      </c>
      <c r="G125" s="71">
        <v>35796</v>
      </c>
      <c r="H125" s="72"/>
      <c r="I125" s="133">
        <v>8224847.3799999999</v>
      </c>
      <c r="J125" s="134">
        <v>1238364.22</v>
      </c>
      <c r="K125" s="125"/>
      <c r="L125" s="74">
        <v>0.10829999999999999</v>
      </c>
      <c r="M125" s="75">
        <v>94806</v>
      </c>
      <c r="N125" s="76">
        <v>14</v>
      </c>
      <c r="O125" s="76"/>
      <c r="P125" s="76"/>
      <c r="Q125" s="76"/>
      <c r="R125" s="67" t="s">
        <v>1536</v>
      </c>
      <c r="S125" s="68">
        <v>890102009</v>
      </c>
      <c r="T125" s="77"/>
      <c r="U125" s="78"/>
      <c r="V125" s="81"/>
      <c r="W125" s="80">
        <v>1837276</v>
      </c>
    </row>
    <row r="126" spans="1:23" ht="15.6" x14ac:dyDescent="0.3">
      <c r="A126" s="67" t="s">
        <v>804</v>
      </c>
      <c r="B126" s="69">
        <v>22267722</v>
      </c>
      <c r="C126" s="69" t="s">
        <v>805</v>
      </c>
      <c r="D126" s="69">
        <v>0</v>
      </c>
      <c r="E126" s="70" t="s">
        <v>472</v>
      </c>
      <c r="F126" s="67" t="s">
        <v>1643</v>
      </c>
      <c r="G126" s="71">
        <v>30895</v>
      </c>
      <c r="H126" s="72">
        <v>43983</v>
      </c>
      <c r="I126" s="133">
        <v>14012607.92</v>
      </c>
      <c r="J126" s="134">
        <v>2109791.4</v>
      </c>
      <c r="K126" s="125"/>
      <c r="L126" s="74">
        <v>9.2899999999999996E-2</v>
      </c>
      <c r="M126" s="75">
        <v>220189</v>
      </c>
      <c r="N126" s="76">
        <v>14</v>
      </c>
      <c r="O126" s="76"/>
      <c r="P126" s="76"/>
      <c r="Q126" s="76"/>
      <c r="R126" s="67" t="s">
        <v>47</v>
      </c>
      <c r="S126" s="68">
        <v>890102018</v>
      </c>
      <c r="T126" s="77"/>
      <c r="U126" s="78"/>
      <c r="V126" s="81"/>
      <c r="W126" s="80">
        <v>3649037</v>
      </c>
    </row>
    <row r="127" spans="1:23" ht="15.6" x14ac:dyDescent="0.3">
      <c r="A127" s="67" t="s">
        <v>810</v>
      </c>
      <c r="B127" s="69">
        <v>22396055</v>
      </c>
      <c r="C127" s="69" t="s">
        <v>811</v>
      </c>
      <c r="D127" s="69">
        <v>0</v>
      </c>
      <c r="E127" s="70" t="s">
        <v>818</v>
      </c>
      <c r="F127" s="67" t="s">
        <v>1643</v>
      </c>
      <c r="G127" s="71">
        <v>37041</v>
      </c>
      <c r="H127" s="72">
        <v>43983</v>
      </c>
      <c r="I127" s="133">
        <v>11981805.539999999</v>
      </c>
      <c r="J127" s="134">
        <v>1804026.1</v>
      </c>
      <c r="K127" s="125"/>
      <c r="L127" s="74">
        <v>0.2</v>
      </c>
      <c r="M127" s="75">
        <v>104812</v>
      </c>
      <c r="N127" s="76">
        <v>14</v>
      </c>
      <c r="O127" s="76"/>
      <c r="P127" s="76"/>
      <c r="Q127" s="76"/>
      <c r="R127" s="67" t="s">
        <v>47</v>
      </c>
      <c r="S127" s="68">
        <v>890102018</v>
      </c>
      <c r="T127" s="77"/>
      <c r="U127" s="78"/>
      <c r="V127" s="81"/>
      <c r="W127" s="80">
        <v>1449330</v>
      </c>
    </row>
    <row r="128" spans="1:23" ht="15.6" x14ac:dyDescent="0.3">
      <c r="A128" s="67" t="s">
        <v>819</v>
      </c>
      <c r="B128" s="69">
        <v>22418117</v>
      </c>
      <c r="C128" s="69" t="s">
        <v>820</v>
      </c>
      <c r="D128" s="69">
        <v>0</v>
      </c>
      <c r="E128" s="70" t="s">
        <v>472</v>
      </c>
      <c r="F128" s="67" t="s">
        <v>1643</v>
      </c>
      <c r="G128" s="71">
        <v>39081</v>
      </c>
      <c r="H128" s="72">
        <v>43983</v>
      </c>
      <c r="I128" s="133">
        <v>11112224.1</v>
      </c>
      <c r="J128" s="134">
        <v>1673098.62</v>
      </c>
      <c r="K128" s="125"/>
      <c r="L128" s="74">
        <v>0.35170000000000001</v>
      </c>
      <c r="M128" s="75">
        <v>309701</v>
      </c>
      <c r="N128" s="76">
        <v>14</v>
      </c>
      <c r="O128" s="76"/>
      <c r="P128" s="76"/>
      <c r="Q128" s="76"/>
      <c r="R128" s="67" t="s">
        <v>47</v>
      </c>
      <c r="S128" s="68">
        <v>890102018</v>
      </c>
      <c r="T128" s="77"/>
      <c r="U128" s="78"/>
      <c r="V128" s="81"/>
      <c r="W128" s="80">
        <v>764370</v>
      </c>
    </row>
    <row r="129" spans="1:23" ht="15.6" x14ac:dyDescent="0.3">
      <c r="A129" s="67" t="s">
        <v>823</v>
      </c>
      <c r="B129" s="69">
        <v>14870242</v>
      </c>
      <c r="C129" s="69" t="s">
        <v>824</v>
      </c>
      <c r="D129" s="69">
        <v>0</v>
      </c>
      <c r="E129" s="70" t="s">
        <v>751</v>
      </c>
      <c r="F129" s="67" t="s">
        <v>1643</v>
      </c>
      <c r="G129" s="71">
        <v>38930</v>
      </c>
      <c r="H129" s="72">
        <v>44250</v>
      </c>
      <c r="I129" s="133">
        <v>5276663.8</v>
      </c>
      <c r="J129" s="134">
        <v>794474.52</v>
      </c>
      <c r="K129" s="125"/>
      <c r="L129" s="74">
        <v>8.0500000000000002E-2</v>
      </c>
      <c r="M129" s="75">
        <v>268987</v>
      </c>
      <c r="N129" s="76">
        <v>14</v>
      </c>
      <c r="O129" s="76"/>
      <c r="P129" s="76"/>
      <c r="Q129" s="76"/>
      <c r="R129" s="67" t="s">
        <v>1537</v>
      </c>
      <c r="S129" s="68">
        <v>890102257</v>
      </c>
      <c r="T129" s="77"/>
      <c r="U129" s="78"/>
      <c r="V129" s="81"/>
      <c r="W129" s="80">
        <v>1585764</v>
      </c>
    </row>
    <row r="130" spans="1:23" ht="15.6" x14ac:dyDescent="0.3">
      <c r="A130" s="67" t="s">
        <v>825</v>
      </c>
      <c r="B130" s="69">
        <v>32620605</v>
      </c>
      <c r="C130" s="69" t="s">
        <v>826</v>
      </c>
      <c r="D130" s="69">
        <v>0</v>
      </c>
      <c r="E130" s="70" t="s">
        <v>19</v>
      </c>
      <c r="F130" s="67" t="s">
        <v>1643</v>
      </c>
      <c r="G130" s="71">
        <v>40026</v>
      </c>
      <c r="H130" s="72">
        <v>44250</v>
      </c>
      <c r="I130" s="133">
        <v>2457705.38</v>
      </c>
      <c r="J130" s="134">
        <v>370041.45</v>
      </c>
      <c r="K130" s="125"/>
      <c r="L130" s="74">
        <v>6.93E-2</v>
      </c>
      <c r="M130" s="75">
        <v>116482</v>
      </c>
      <c r="N130" s="76">
        <v>13</v>
      </c>
      <c r="O130" s="76">
        <v>0</v>
      </c>
      <c r="P130" s="83">
        <v>1773416</v>
      </c>
      <c r="Q130" s="83">
        <v>1195121</v>
      </c>
      <c r="R130" s="67" t="s">
        <v>1538</v>
      </c>
      <c r="S130" s="68">
        <v>890103010</v>
      </c>
      <c r="T130" s="77"/>
      <c r="U130" s="78"/>
      <c r="V130" s="81"/>
      <c r="W130" s="80">
        <v>857969</v>
      </c>
    </row>
    <row r="131" spans="1:23" ht="15.6" x14ac:dyDescent="0.3">
      <c r="A131" s="67" t="s">
        <v>827</v>
      </c>
      <c r="B131" s="69">
        <v>5556311</v>
      </c>
      <c r="C131" s="69" t="s">
        <v>828</v>
      </c>
      <c r="D131" s="69">
        <v>0</v>
      </c>
      <c r="E131" s="70" t="s">
        <v>19</v>
      </c>
      <c r="F131" s="67" t="s">
        <v>1643</v>
      </c>
      <c r="G131" s="71">
        <v>36404</v>
      </c>
      <c r="H131" s="72">
        <v>44250</v>
      </c>
      <c r="I131" s="133">
        <v>8204772.4100000001</v>
      </c>
      <c r="J131" s="134">
        <v>1235341.6599999999</v>
      </c>
      <c r="K131" s="125"/>
      <c r="L131" s="74">
        <v>8.9399999999999993E-2</v>
      </c>
      <c r="M131" s="75">
        <v>84214</v>
      </c>
      <c r="N131" s="76">
        <v>14</v>
      </c>
      <c r="O131" s="76"/>
      <c r="P131" s="76"/>
      <c r="Q131" s="76"/>
      <c r="R131" s="67" t="s">
        <v>1539</v>
      </c>
      <c r="S131" s="68">
        <v>890201213</v>
      </c>
      <c r="T131" s="77"/>
      <c r="U131" s="78"/>
      <c r="V131" s="81"/>
      <c r="W131" s="80">
        <v>2220261</v>
      </c>
    </row>
    <row r="132" spans="1:23" ht="15.6" x14ac:dyDescent="0.3">
      <c r="A132" s="67" t="s">
        <v>829</v>
      </c>
      <c r="B132" s="69">
        <v>13808585</v>
      </c>
      <c r="C132" s="69" t="s">
        <v>830</v>
      </c>
      <c r="D132" s="69">
        <v>0</v>
      </c>
      <c r="E132" s="70" t="s">
        <v>19</v>
      </c>
      <c r="F132" s="67" t="s">
        <v>1643</v>
      </c>
      <c r="G132" s="71">
        <v>39051</v>
      </c>
      <c r="H132" s="72">
        <v>44250</v>
      </c>
      <c r="I132" s="133">
        <v>1896794.63</v>
      </c>
      <c r="J132" s="134">
        <v>285588.59999999998</v>
      </c>
      <c r="K132" s="125"/>
      <c r="L132" s="74">
        <v>0.12809999999999999</v>
      </c>
      <c r="M132" s="75">
        <v>202414</v>
      </c>
      <c r="N132" s="76">
        <v>14</v>
      </c>
      <c r="O132" s="76"/>
      <c r="P132" s="76"/>
      <c r="Q132" s="76"/>
      <c r="R132" s="67" t="s">
        <v>1539</v>
      </c>
      <c r="S132" s="68">
        <v>890201213</v>
      </c>
      <c r="T132" s="77"/>
      <c r="U132" s="78"/>
      <c r="V132" s="81"/>
      <c r="W132" s="80">
        <v>358217</v>
      </c>
    </row>
    <row r="133" spans="1:23" ht="15.6" x14ac:dyDescent="0.3">
      <c r="A133" s="67" t="s">
        <v>678</v>
      </c>
      <c r="B133" s="69">
        <v>24781</v>
      </c>
      <c r="C133" s="69" t="s">
        <v>679</v>
      </c>
      <c r="D133" s="69">
        <v>0</v>
      </c>
      <c r="E133" s="70" t="s">
        <v>19</v>
      </c>
      <c r="F133" s="67" t="s">
        <v>1643</v>
      </c>
      <c r="G133" s="71">
        <v>29646</v>
      </c>
      <c r="H133" s="72">
        <v>45568</v>
      </c>
      <c r="I133" s="133">
        <v>42767597.469999999</v>
      </c>
      <c r="J133" s="134">
        <v>6439251.71</v>
      </c>
      <c r="K133" s="125"/>
      <c r="L133" s="74">
        <v>0.59060000000000001</v>
      </c>
      <c r="M133" s="75">
        <v>3423</v>
      </c>
      <c r="N133" s="76">
        <v>14</v>
      </c>
      <c r="O133" s="76"/>
      <c r="P133" s="76"/>
      <c r="Q133" s="76"/>
      <c r="R133" s="67" t="s">
        <v>1540</v>
      </c>
      <c r="S133" s="68">
        <v>890201222</v>
      </c>
      <c r="T133" s="77">
        <v>37940477</v>
      </c>
      <c r="U133" s="78" t="s">
        <v>1678</v>
      </c>
      <c r="V133" s="81"/>
      <c r="W133" s="80">
        <v>1751848</v>
      </c>
    </row>
    <row r="134" spans="1:23" ht="15.6" x14ac:dyDescent="0.3">
      <c r="A134" s="67" t="s">
        <v>833</v>
      </c>
      <c r="B134" s="69">
        <v>13813372</v>
      </c>
      <c r="C134" s="69" t="s">
        <v>834</v>
      </c>
      <c r="D134" s="69">
        <v>0</v>
      </c>
      <c r="E134" s="70" t="s">
        <v>592</v>
      </c>
      <c r="F134" s="67" t="s">
        <v>1643</v>
      </c>
      <c r="G134" s="71">
        <v>38930</v>
      </c>
      <c r="H134" s="72">
        <v>45568</v>
      </c>
      <c r="I134" s="133">
        <v>608350.02</v>
      </c>
      <c r="J134" s="134">
        <v>91595.49</v>
      </c>
      <c r="K134" s="125"/>
      <c r="L134" s="74">
        <v>2.1100000000000001E-2</v>
      </c>
      <c r="M134" s="75">
        <v>35784</v>
      </c>
      <c r="N134" s="76">
        <v>14</v>
      </c>
      <c r="O134" s="76"/>
      <c r="P134" s="76"/>
      <c r="Q134" s="76"/>
      <c r="R134" s="67" t="s">
        <v>1540</v>
      </c>
      <c r="S134" s="68">
        <v>890201222</v>
      </c>
      <c r="T134" s="77"/>
      <c r="U134" s="78"/>
      <c r="V134" s="81"/>
      <c r="W134" s="80">
        <v>697503</v>
      </c>
    </row>
    <row r="135" spans="1:23" ht="15.6" x14ac:dyDescent="0.3">
      <c r="A135" s="67" t="s">
        <v>835</v>
      </c>
      <c r="B135" s="69">
        <v>13815729</v>
      </c>
      <c r="C135" s="69" t="s">
        <v>836</v>
      </c>
      <c r="D135" s="69">
        <v>0</v>
      </c>
      <c r="E135" s="70" t="s">
        <v>19</v>
      </c>
      <c r="F135" s="67" t="s">
        <v>1643</v>
      </c>
      <c r="G135" s="71">
        <v>39051</v>
      </c>
      <c r="H135" s="72">
        <v>45568</v>
      </c>
      <c r="I135" s="133">
        <v>2971159.83</v>
      </c>
      <c r="J135" s="134">
        <v>447349.09</v>
      </c>
      <c r="K135" s="125"/>
      <c r="L135" s="74">
        <v>3.2899999999999999E-2</v>
      </c>
      <c r="M135" s="75">
        <v>55384</v>
      </c>
      <c r="N135" s="76">
        <v>14</v>
      </c>
      <c r="O135" s="76"/>
      <c r="P135" s="76"/>
      <c r="Q135" s="76"/>
      <c r="R135" s="67" t="s">
        <v>1540</v>
      </c>
      <c r="S135" s="68">
        <v>890201222</v>
      </c>
      <c r="T135" s="77">
        <v>37800935</v>
      </c>
      <c r="U135" s="78" t="s">
        <v>1696</v>
      </c>
      <c r="V135" s="81"/>
      <c r="W135" s="80">
        <v>2184767</v>
      </c>
    </row>
    <row r="136" spans="1:23" ht="15.6" x14ac:dyDescent="0.3">
      <c r="A136" s="67" t="s">
        <v>843</v>
      </c>
      <c r="B136" s="69">
        <v>28372879</v>
      </c>
      <c r="C136" s="69" t="s">
        <v>844</v>
      </c>
      <c r="D136" s="69">
        <v>0</v>
      </c>
      <c r="E136" s="70" t="s">
        <v>21</v>
      </c>
      <c r="F136" s="67" t="s">
        <v>1643</v>
      </c>
      <c r="G136" s="71">
        <v>33239</v>
      </c>
      <c r="H136" s="72">
        <v>45568</v>
      </c>
      <c r="I136" s="133">
        <v>35635882.68</v>
      </c>
      <c r="J136" s="134">
        <v>5365473.68</v>
      </c>
      <c r="K136" s="125"/>
      <c r="L136" s="74">
        <v>0.25590000000000002</v>
      </c>
      <c r="M136" s="75">
        <v>70534</v>
      </c>
      <c r="N136" s="76">
        <v>14</v>
      </c>
      <c r="O136" s="105">
        <v>0.08</v>
      </c>
      <c r="P136" s="83">
        <v>424464</v>
      </c>
      <c r="Q136" s="83">
        <v>388544</v>
      </c>
      <c r="R136" s="67" t="s">
        <v>1542</v>
      </c>
      <c r="S136" s="68">
        <v>890201235</v>
      </c>
      <c r="T136" s="77"/>
      <c r="U136" s="78"/>
      <c r="V136" s="81"/>
      <c r="W136" s="80">
        <v>3368932</v>
      </c>
    </row>
    <row r="137" spans="1:23" ht="15.6" x14ac:dyDescent="0.3">
      <c r="A137" s="67" t="s">
        <v>845</v>
      </c>
      <c r="B137" s="69">
        <v>324258</v>
      </c>
      <c r="C137" s="69" t="s">
        <v>846</v>
      </c>
      <c r="D137" s="69">
        <v>0</v>
      </c>
      <c r="E137" s="70" t="s">
        <v>21</v>
      </c>
      <c r="F137" s="67" t="s">
        <v>1643</v>
      </c>
      <c r="G137" s="71">
        <v>33970</v>
      </c>
      <c r="H137" s="72">
        <v>45568</v>
      </c>
      <c r="I137" s="133">
        <v>11104885.119999999</v>
      </c>
      <c r="J137" s="134">
        <v>1671993.63</v>
      </c>
      <c r="K137" s="125"/>
      <c r="L137" s="74">
        <v>7.6999999999999999E-2</v>
      </c>
      <c r="M137" s="75">
        <v>31953</v>
      </c>
      <c r="N137" s="76">
        <v>14</v>
      </c>
      <c r="O137" s="105">
        <v>0.08</v>
      </c>
      <c r="P137" s="83">
        <v>958135</v>
      </c>
      <c r="Q137" s="83">
        <v>720694</v>
      </c>
      <c r="R137" s="67" t="s">
        <v>1542</v>
      </c>
      <c r="S137" s="68">
        <v>890201235</v>
      </c>
      <c r="T137" s="77">
        <v>26764695</v>
      </c>
      <c r="U137" s="78" t="s">
        <v>1698</v>
      </c>
      <c r="V137" s="81"/>
      <c r="W137" s="80">
        <v>3488979</v>
      </c>
    </row>
    <row r="138" spans="1:23" ht="15.6" x14ac:dyDescent="0.3">
      <c r="A138" s="67" t="s">
        <v>494</v>
      </c>
      <c r="B138" s="69">
        <v>1918635</v>
      </c>
      <c r="C138" s="69" t="s">
        <v>495</v>
      </c>
      <c r="D138" s="69">
        <v>0</v>
      </c>
      <c r="E138" s="70" t="s">
        <v>472</v>
      </c>
      <c r="F138" s="67" t="s">
        <v>1643</v>
      </c>
      <c r="G138" s="71">
        <v>34060</v>
      </c>
      <c r="H138" s="72"/>
      <c r="I138" s="133">
        <v>1019822.17</v>
      </c>
      <c r="J138" s="134">
        <v>153548.29</v>
      </c>
      <c r="K138" s="125"/>
      <c r="L138" s="74">
        <v>3.6700000000000003E-2</v>
      </c>
      <c r="M138" s="75">
        <v>9028</v>
      </c>
      <c r="N138" s="76">
        <v>14</v>
      </c>
      <c r="O138" s="105">
        <v>0.08</v>
      </c>
      <c r="P138" s="83">
        <v>246135</v>
      </c>
      <c r="Q138" s="83">
        <v>284894</v>
      </c>
      <c r="R138" s="67" t="s">
        <v>1542</v>
      </c>
      <c r="S138" s="68">
        <v>890201235</v>
      </c>
      <c r="T138" s="77">
        <v>27576342</v>
      </c>
      <c r="U138" s="78" t="s">
        <v>1657</v>
      </c>
      <c r="V138" s="63"/>
      <c r="W138" s="80">
        <v>672254</v>
      </c>
    </row>
    <row r="139" spans="1:23" ht="15.6" x14ac:dyDescent="0.3">
      <c r="A139" s="67" t="s">
        <v>847</v>
      </c>
      <c r="B139" s="69">
        <v>27953706</v>
      </c>
      <c r="C139" s="69" t="s">
        <v>848</v>
      </c>
      <c r="D139" s="69">
        <v>0</v>
      </c>
      <c r="E139" s="70" t="s">
        <v>21</v>
      </c>
      <c r="F139" s="67" t="s">
        <v>1643</v>
      </c>
      <c r="G139" s="71">
        <v>34547</v>
      </c>
      <c r="H139" s="72"/>
      <c r="I139" s="133">
        <v>1320720.67</v>
      </c>
      <c r="J139" s="134">
        <v>198852.72</v>
      </c>
      <c r="K139" s="125"/>
      <c r="L139" s="74">
        <v>9.3399999999999997E-2</v>
      </c>
      <c r="M139" s="75">
        <v>37940</v>
      </c>
      <c r="N139" s="76">
        <v>14</v>
      </c>
      <c r="O139" s="105">
        <v>0.08</v>
      </c>
      <c r="P139" s="83">
        <v>86005</v>
      </c>
      <c r="Q139" s="83">
        <v>907202</v>
      </c>
      <c r="R139" s="67" t="s">
        <v>1542</v>
      </c>
      <c r="S139" s="68">
        <v>890201235</v>
      </c>
      <c r="T139" s="77"/>
      <c r="U139" s="78"/>
      <c r="V139" s="81"/>
      <c r="W139" s="80">
        <v>342089</v>
      </c>
    </row>
    <row r="140" spans="1:23" ht="15.6" x14ac:dyDescent="0.3">
      <c r="A140" s="67" t="s">
        <v>849</v>
      </c>
      <c r="B140" s="69">
        <v>3791097</v>
      </c>
      <c r="C140" s="69" t="s">
        <v>850</v>
      </c>
      <c r="D140" s="69">
        <v>0</v>
      </c>
      <c r="E140" s="70" t="s">
        <v>21</v>
      </c>
      <c r="F140" s="67" t="s">
        <v>1643</v>
      </c>
      <c r="G140" s="71">
        <v>34667</v>
      </c>
      <c r="H140" s="72"/>
      <c r="I140" s="133">
        <v>6918915.3300000001</v>
      </c>
      <c r="J140" s="134">
        <v>1041738.14</v>
      </c>
      <c r="K140" s="125"/>
      <c r="L140" s="74">
        <v>0.21560000000000001</v>
      </c>
      <c r="M140" s="75">
        <v>101209</v>
      </c>
      <c r="N140" s="76">
        <v>14</v>
      </c>
      <c r="O140" s="76">
        <v>0</v>
      </c>
      <c r="P140" s="83">
        <v>247534</v>
      </c>
      <c r="Q140" s="83">
        <v>952931</v>
      </c>
      <c r="R140" s="67" t="s">
        <v>1542</v>
      </c>
      <c r="S140" s="68">
        <v>890201235</v>
      </c>
      <c r="T140" s="77">
        <v>37792443</v>
      </c>
      <c r="U140" s="78" t="s">
        <v>1789</v>
      </c>
      <c r="V140" s="81"/>
      <c r="W140" s="80">
        <v>776362</v>
      </c>
    </row>
    <row r="141" spans="1:23" ht="15.6" x14ac:dyDescent="0.3">
      <c r="A141" s="67" t="s">
        <v>827</v>
      </c>
      <c r="B141" s="69">
        <v>5556311</v>
      </c>
      <c r="C141" s="69" t="s">
        <v>828</v>
      </c>
      <c r="D141" s="69">
        <v>0</v>
      </c>
      <c r="E141" s="70" t="s">
        <v>19</v>
      </c>
      <c r="F141" s="67" t="s">
        <v>1643</v>
      </c>
      <c r="G141" s="71">
        <v>36404</v>
      </c>
      <c r="H141" s="72"/>
      <c r="I141" s="133">
        <v>8204772.4100000001</v>
      </c>
      <c r="J141" s="134">
        <v>1235341.6599999999</v>
      </c>
      <c r="K141" s="125"/>
      <c r="L141" s="74">
        <v>8.9399999999999993E-2</v>
      </c>
      <c r="M141" s="75">
        <v>113322</v>
      </c>
      <c r="N141" s="76">
        <v>14</v>
      </c>
      <c r="O141" s="76">
        <v>0</v>
      </c>
      <c r="P141" s="83">
        <v>763691</v>
      </c>
      <c r="Q141" s="83">
        <v>970163</v>
      </c>
      <c r="R141" s="67" t="s">
        <v>1542</v>
      </c>
      <c r="S141" s="68">
        <v>890201235</v>
      </c>
      <c r="T141" s="77"/>
      <c r="U141" s="78"/>
      <c r="V141" s="81"/>
      <c r="W141" s="80">
        <v>2220261</v>
      </c>
    </row>
    <row r="142" spans="1:23" ht="15.6" x14ac:dyDescent="0.3">
      <c r="A142" s="67" t="s">
        <v>851</v>
      </c>
      <c r="B142" s="69">
        <v>17137559</v>
      </c>
      <c r="C142" s="69" t="s">
        <v>852</v>
      </c>
      <c r="D142" s="69">
        <v>0</v>
      </c>
      <c r="E142" s="70" t="s">
        <v>21</v>
      </c>
      <c r="F142" s="67" t="s">
        <v>1643</v>
      </c>
      <c r="G142" s="71">
        <v>36800</v>
      </c>
      <c r="H142" s="72"/>
      <c r="I142" s="133">
        <v>2561432.67</v>
      </c>
      <c r="J142" s="134">
        <v>385659.02</v>
      </c>
      <c r="K142" s="125"/>
      <c r="L142" s="74">
        <v>6.0499999999999998E-2</v>
      </c>
      <c r="M142" s="75">
        <v>63485</v>
      </c>
      <c r="N142" s="76">
        <v>14</v>
      </c>
      <c r="O142" s="76">
        <v>0</v>
      </c>
      <c r="P142" s="83">
        <v>395800</v>
      </c>
      <c r="Q142" s="83">
        <v>1237596</v>
      </c>
      <c r="R142" s="67" t="s">
        <v>1542</v>
      </c>
      <c r="S142" s="68">
        <v>890201235</v>
      </c>
      <c r="T142" s="77"/>
      <c r="U142" s="78"/>
      <c r="V142" s="81"/>
      <c r="W142" s="80">
        <v>1024242</v>
      </c>
    </row>
    <row r="143" spans="1:23" ht="15.6" x14ac:dyDescent="0.3">
      <c r="A143" s="67" t="s">
        <v>853</v>
      </c>
      <c r="B143" s="69">
        <v>5567916</v>
      </c>
      <c r="C143" s="69" t="s">
        <v>854</v>
      </c>
      <c r="D143" s="69">
        <v>0</v>
      </c>
      <c r="E143" s="70" t="s">
        <v>21</v>
      </c>
      <c r="F143" s="67" t="s">
        <v>1643</v>
      </c>
      <c r="G143" s="71">
        <v>37453</v>
      </c>
      <c r="H143" s="72"/>
      <c r="I143" s="133">
        <v>4194500.3899999997</v>
      </c>
      <c r="J143" s="134">
        <v>631539.89</v>
      </c>
      <c r="K143" s="125"/>
      <c r="L143" s="74">
        <v>0.22969999999999999</v>
      </c>
      <c r="M143" s="75">
        <v>215284</v>
      </c>
      <c r="N143" s="76">
        <v>14</v>
      </c>
      <c r="O143" s="76">
        <v>0</v>
      </c>
      <c r="P143" s="83">
        <v>187009</v>
      </c>
      <c r="Q143" s="83">
        <v>2201492</v>
      </c>
      <c r="R143" s="67" t="s">
        <v>1542</v>
      </c>
      <c r="S143" s="68">
        <v>890201235</v>
      </c>
      <c r="T143" s="77"/>
      <c r="U143" s="78"/>
      <c r="V143" s="81"/>
      <c r="W143" s="80">
        <v>441768</v>
      </c>
    </row>
    <row r="144" spans="1:23" ht="15.6" x14ac:dyDescent="0.3">
      <c r="A144" s="67" t="s">
        <v>855</v>
      </c>
      <c r="B144" s="69">
        <v>5591853</v>
      </c>
      <c r="C144" s="69" t="s">
        <v>856</v>
      </c>
      <c r="D144" s="69">
        <v>0</v>
      </c>
      <c r="E144" s="70" t="s">
        <v>21</v>
      </c>
      <c r="F144" s="67" t="s">
        <v>1643</v>
      </c>
      <c r="G144" s="71">
        <v>37469</v>
      </c>
      <c r="H144" s="72"/>
      <c r="I144" s="133">
        <v>12211429.33</v>
      </c>
      <c r="J144" s="134">
        <v>1838599.12</v>
      </c>
      <c r="K144" s="125"/>
      <c r="L144" s="74">
        <v>0.21099999999999999</v>
      </c>
      <c r="M144" s="75">
        <v>344991</v>
      </c>
      <c r="N144" s="76">
        <v>14</v>
      </c>
      <c r="O144" s="76">
        <v>0</v>
      </c>
      <c r="P144" s="83">
        <v>567285</v>
      </c>
      <c r="Q144" s="83">
        <v>1708545</v>
      </c>
      <c r="R144" s="67" t="s">
        <v>1542</v>
      </c>
      <c r="S144" s="68">
        <v>890201235</v>
      </c>
      <c r="T144" s="77">
        <v>37791303</v>
      </c>
      <c r="U144" s="78" t="s">
        <v>1699</v>
      </c>
      <c r="V144" s="81"/>
      <c r="W144" s="80">
        <v>1400100</v>
      </c>
    </row>
    <row r="145" spans="1:23" ht="15.6" x14ac:dyDescent="0.3">
      <c r="A145" s="67" t="s">
        <v>654</v>
      </c>
      <c r="B145" s="69">
        <v>33128453</v>
      </c>
      <c r="C145" s="69" t="s">
        <v>655</v>
      </c>
      <c r="D145" s="69">
        <v>0</v>
      </c>
      <c r="E145" s="70" t="s">
        <v>472</v>
      </c>
      <c r="F145" s="67" t="s">
        <v>1643</v>
      </c>
      <c r="G145" s="71">
        <v>38275</v>
      </c>
      <c r="H145" s="72"/>
      <c r="I145" s="133">
        <v>1780972.84</v>
      </c>
      <c r="J145" s="134">
        <v>268150.03000000003</v>
      </c>
      <c r="K145" s="125"/>
      <c r="L145" s="74">
        <v>3.9699999999999999E-2</v>
      </c>
      <c r="M145" s="75">
        <v>72737</v>
      </c>
      <c r="N145" s="76">
        <v>14</v>
      </c>
      <c r="O145" s="76">
        <v>0</v>
      </c>
      <c r="P145" s="83">
        <v>397523</v>
      </c>
      <c r="Q145" s="83">
        <v>1367931</v>
      </c>
      <c r="R145" s="67" t="s">
        <v>1542</v>
      </c>
      <c r="S145" s="68">
        <v>890201235</v>
      </c>
      <c r="T145" s="77"/>
      <c r="U145" s="78"/>
      <c r="V145" s="81"/>
      <c r="W145" s="80">
        <v>1085280</v>
      </c>
    </row>
    <row r="146" spans="1:23" ht="15.6" x14ac:dyDescent="0.3">
      <c r="A146" s="67" t="s">
        <v>857</v>
      </c>
      <c r="B146" s="69">
        <v>13803171</v>
      </c>
      <c r="C146" s="69" t="s">
        <v>858</v>
      </c>
      <c r="D146" s="69">
        <v>0</v>
      </c>
      <c r="E146" s="70" t="s">
        <v>722</v>
      </c>
      <c r="F146" s="67" t="s">
        <v>1643</v>
      </c>
      <c r="G146" s="71">
        <v>38353</v>
      </c>
      <c r="H146" s="72"/>
      <c r="I146" s="133">
        <v>8221004.3700000001</v>
      </c>
      <c r="J146" s="134">
        <v>1237785.6100000001</v>
      </c>
      <c r="K146" s="125"/>
      <c r="L146" s="74">
        <v>2.8899999999999999E-2</v>
      </c>
      <c r="M146" s="75">
        <v>72849</v>
      </c>
      <c r="N146" s="76">
        <v>14</v>
      </c>
      <c r="O146" s="76">
        <v>0</v>
      </c>
      <c r="P146" s="83">
        <v>2520725</v>
      </c>
      <c r="Q146" s="76">
        <v>0</v>
      </c>
      <c r="R146" s="67" t="s">
        <v>1542</v>
      </c>
      <c r="S146" s="68">
        <v>890201235</v>
      </c>
      <c r="T146" s="77"/>
      <c r="U146" s="78"/>
      <c r="V146" s="63"/>
      <c r="W146" s="80">
        <v>6881800</v>
      </c>
    </row>
    <row r="147" spans="1:23" ht="15.6" x14ac:dyDescent="0.3">
      <c r="A147" s="67" t="s">
        <v>859</v>
      </c>
      <c r="B147" s="69">
        <v>13803205</v>
      </c>
      <c r="C147" s="69" t="s">
        <v>860</v>
      </c>
      <c r="D147" s="69">
        <v>0</v>
      </c>
      <c r="E147" s="70" t="s">
        <v>21</v>
      </c>
      <c r="F147" s="67" t="s">
        <v>1643</v>
      </c>
      <c r="G147" s="71">
        <v>38384</v>
      </c>
      <c r="H147" s="72"/>
      <c r="I147" s="133">
        <v>1206735.47</v>
      </c>
      <c r="J147" s="134">
        <v>181690.67</v>
      </c>
      <c r="K147" s="125"/>
      <c r="L147" s="74">
        <v>4.5400000000000003E-2</v>
      </c>
      <c r="M147" s="75">
        <v>88891</v>
      </c>
      <c r="N147" s="76">
        <v>14</v>
      </c>
      <c r="O147" s="76">
        <v>0</v>
      </c>
      <c r="P147" s="83">
        <v>287702</v>
      </c>
      <c r="Q147" s="83">
        <v>2106608</v>
      </c>
      <c r="R147" s="67" t="s">
        <v>1542</v>
      </c>
      <c r="S147" s="68">
        <v>890201235</v>
      </c>
      <c r="T147" s="77">
        <v>27958225</v>
      </c>
      <c r="U147" s="78" t="s">
        <v>1790</v>
      </c>
      <c r="V147" s="81"/>
      <c r="W147" s="80">
        <v>643030</v>
      </c>
    </row>
    <row r="148" spans="1:23" ht="15.6" x14ac:dyDescent="0.3">
      <c r="A148" s="67" t="s">
        <v>861</v>
      </c>
      <c r="B148" s="69">
        <v>37805436</v>
      </c>
      <c r="C148" s="69" t="s">
        <v>509</v>
      </c>
      <c r="D148" s="69">
        <v>0</v>
      </c>
      <c r="E148" s="70" t="s">
        <v>19</v>
      </c>
      <c r="F148" s="67" t="s">
        <v>1643</v>
      </c>
      <c r="G148" s="71">
        <v>38643</v>
      </c>
      <c r="H148" s="72"/>
      <c r="I148" s="133">
        <v>2018896.11</v>
      </c>
      <c r="J148" s="134">
        <v>303972.65999999997</v>
      </c>
      <c r="K148" s="125"/>
      <c r="L148" s="74">
        <v>3.4200000000000001E-2</v>
      </c>
      <c r="M148" s="75">
        <v>50688</v>
      </c>
      <c r="N148" s="76">
        <v>14</v>
      </c>
      <c r="O148" s="76">
        <v>0</v>
      </c>
      <c r="P148" s="83">
        <v>1481530</v>
      </c>
      <c r="Q148" s="83">
        <v>1378987</v>
      </c>
      <c r="R148" s="67" t="s">
        <v>1542</v>
      </c>
      <c r="S148" s="68">
        <v>890201235</v>
      </c>
      <c r="T148" s="77"/>
      <c r="U148" s="78"/>
      <c r="V148" s="81"/>
      <c r="W148" s="80">
        <v>1428114</v>
      </c>
    </row>
    <row r="149" spans="1:23" ht="15.6" x14ac:dyDescent="0.3">
      <c r="A149" s="67" t="s">
        <v>862</v>
      </c>
      <c r="B149" s="69">
        <v>37804047</v>
      </c>
      <c r="C149" s="69" t="s">
        <v>863</v>
      </c>
      <c r="D149" s="69">
        <v>0</v>
      </c>
      <c r="E149" s="70" t="s">
        <v>21</v>
      </c>
      <c r="F149" s="67" t="s">
        <v>1643</v>
      </c>
      <c r="G149" s="71">
        <v>38740</v>
      </c>
      <c r="H149" s="72"/>
      <c r="I149" s="133">
        <v>2420297.9300000002</v>
      </c>
      <c r="J149" s="134">
        <v>364409.24</v>
      </c>
      <c r="K149" s="125"/>
      <c r="L149" s="74">
        <v>0.18779999999999999</v>
      </c>
      <c r="M149" s="75">
        <v>319209</v>
      </c>
      <c r="N149" s="76">
        <v>14</v>
      </c>
      <c r="O149" s="76">
        <v>0</v>
      </c>
      <c r="P149" s="83">
        <v>54859</v>
      </c>
      <c r="Q149" s="83">
        <v>1812308</v>
      </c>
      <c r="R149" s="67" t="s">
        <v>1542</v>
      </c>
      <c r="S149" s="68">
        <v>890201235</v>
      </c>
      <c r="T149" s="77"/>
      <c r="U149" s="78"/>
      <c r="V149" s="81"/>
      <c r="W149" s="80">
        <v>311780</v>
      </c>
    </row>
    <row r="150" spans="1:23" ht="15.6" x14ac:dyDescent="0.3">
      <c r="A150" s="67" t="s">
        <v>864</v>
      </c>
      <c r="B150" s="69">
        <v>5549123</v>
      </c>
      <c r="C150" s="69" t="s">
        <v>865</v>
      </c>
      <c r="D150" s="69">
        <v>0</v>
      </c>
      <c r="E150" s="70" t="s">
        <v>21</v>
      </c>
      <c r="F150" s="67" t="s">
        <v>1643</v>
      </c>
      <c r="G150" s="71">
        <v>38808</v>
      </c>
      <c r="H150" s="72"/>
      <c r="I150" s="133">
        <v>80897.55</v>
      </c>
      <c r="J150" s="134">
        <v>12180.24</v>
      </c>
      <c r="K150" s="125"/>
      <c r="L150" s="74">
        <v>1.6E-2</v>
      </c>
      <c r="M150" s="75">
        <v>31219</v>
      </c>
      <c r="N150" s="76">
        <v>14</v>
      </c>
      <c r="O150" s="76">
        <v>0</v>
      </c>
      <c r="P150" s="83">
        <v>1901609</v>
      </c>
      <c r="Q150" s="83">
        <v>49555</v>
      </c>
      <c r="R150" s="67" t="s">
        <v>1542</v>
      </c>
      <c r="S150" s="68">
        <v>890201235</v>
      </c>
      <c r="T150" s="77"/>
      <c r="U150" s="78"/>
      <c r="V150" s="81"/>
      <c r="W150" s="80">
        <v>122318</v>
      </c>
    </row>
    <row r="151" spans="1:23" ht="15.6" x14ac:dyDescent="0.3">
      <c r="A151" s="67" t="s">
        <v>866</v>
      </c>
      <c r="B151" s="69">
        <v>5566789</v>
      </c>
      <c r="C151" s="69" t="s">
        <v>867</v>
      </c>
      <c r="D151" s="69">
        <v>0</v>
      </c>
      <c r="E151" s="70" t="s">
        <v>722</v>
      </c>
      <c r="F151" s="67" t="s">
        <v>1643</v>
      </c>
      <c r="G151" s="71">
        <v>38808</v>
      </c>
      <c r="H151" s="72"/>
      <c r="I151" s="133">
        <v>34995075.700000003</v>
      </c>
      <c r="J151" s="134">
        <v>5268991.3499999996</v>
      </c>
      <c r="K151" s="125"/>
      <c r="L151" s="74">
        <v>0.45440000000000003</v>
      </c>
      <c r="M151" s="75">
        <v>711322</v>
      </c>
      <c r="N151" s="76">
        <v>14</v>
      </c>
      <c r="O151" s="76">
        <v>0</v>
      </c>
      <c r="P151" s="83">
        <v>788714</v>
      </c>
      <c r="Q151" s="83">
        <v>852758</v>
      </c>
      <c r="R151" s="67" t="s">
        <v>1542</v>
      </c>
      <c r="S151" s="68">
        <v>890201235</v>
      </c>
      <c r="T151" s="77"/>
      <c r="U151" s="78"/>
      <c r="V151" s="81"/>
      <c r="W151" s="80">
        <v>1863132</v>
      </c>
    </row>
    <row r="152" spans="1:23" ht="15.6" x14ac:dyDescent="0.3">
      <c r="A152" s="67" t="s">
        <v>872</v>
      </c>
      <c r="B152" s="69">
        <v>13810562</v>
      </c>
      <c r="C152" s="69" t="s">
        <v>873</v>
      </c>
      <c r="D152" s="69">
        <v>0</v>
      </c>
      <c r="E152" s="70" t="s">
        <v>21</v>
      </c>
      <c r="F152" s="67" t="s">
        <v>1643</v>
      </c>
      <c r="G152" s="71">
        <v>39051</v>
      </c>
      <c r="H152" s="72"/>
      <c r="I152" s="133">
        <v>1920576.31</v>
      </c>
      <c r="J152" s="134">
        <v>289169.26</v>
      </c>
      <c r="K152" s="125"/>
      <c r="L152" s="74">
        <v>0.1174</v>
      </c>
      <c r="M152" s="75">
        <v>154604</v>
      </c>
      <c r="N152" s="76">
        <v>14</v>
      </c>
      <c r="O152" s="76">
        <v>0</v>
      </c>
      <c r="P152" s="83">
        <v>190650</v>
      </c>
      <c r="Q152" s="83">
        <v>1746214</v>
      </c>
      <c r="R152" s="67" t="s">
        <v>1542</v>
      </c>
      <c r="S152" s="68">
        <v>890201235</v>
      </c>
      <c r="T152" s="77"/>
      <c r="U152" s="78"/>
      <c r="V152" s="81"/>
      <c r="W152" s="80">
        <v>395766</v>
      </c>
    </row>
    <row r="153" spans="1:23" ht="15.6" x14ac:dyDescent="0.3">
      <c r="A153" s="67" t="s">
        <v>749</v>
      </c>
      <c r="B153" s="69">
        <v>37810875</v>
      </c>
      <c r="C153" s="69" t="s">
        <v>750</v>
      </c>
      <c r="D153" s="69">
        <v>0</v>
      </c>
      <c r="E153" s="70" t="s">
        <v>19</v>
      </c>
      <c r="F153" s="67" t="s">
        <v>1643</v>
      </c>
      <c r="G153" s="71">
        <v>39051</v>
      </c>
      <c r="H153" s="72"/>
      <c r="I153" s="133">
        <v>3937434.78</v>
      </c>
      <c r="J153" s="134">
        <v>592835.12</v>
      </c>
      <c r="K153" s="125"/>
      <c r="L153" s="74">
        <v>5.57E-2</v>
      </c>
      <c r="M153" s="75">
        <v>99606</v>
      </c>
      <c r="N153" s="76">
        <v>13</v>
      </c>
      <c r="O153" s="76">
        <v>0</v>
      </c>
      <c r="P153" s="83">
        <v>902002</v>
      </c>
      <c r="Q153" s="83">
        <v>1053907</v>
      </c>
      <c r="R153" s="67" t="s">
        <v>1542</v>
      </c>
      <c r="S153" s="68">
        <v>890201235</v>
      </c>
      <c r="T153" s="77"/>
      <c r="U153" s="78"/>
      <c r="V153" s="81"/>
      <c r="W153" s="80">
        <v>1710146</v>
      </c>
    </row>
    <row r="154" spans="1:23" ht="15.6" x14ac:dyDescent="0.3">
      <c r="A154" s="67" t="s">
        <v>876</v>
      </c>
      <c r="B154" s="69">
        <v>6753463</v>
      </c>
      <c r="C154" s="69" t="s">
        <v>877</v>
      </c>
      <c r="D154" s="69">
        <v>0</v>
      </c>
      <c r="E154" s="70" t="s">
        <v>722</v>
      </c>
      <c r="F154" s="67" t="s">
        <v>1643</v>
      </c>
      <c r="G154" s="71">
        <v>39174</v>
      </c>
      <c r="H154" s="72"/>
      <c r="I154" s="133">
        <v>304325.11</v>
      </c>
      <c r="J154" s="134">
        <v>45820.34</v>
      </c>
      <c r="K154" s="125"/>
      <c r="L154" s="74">
        <v>3.44E-2</v>
      </c>
      <c r="M154" s="75">
        <v>68112</v>
      </c>
      <c r="N154" s="76">
        <v>14</v>
      </c>
      <c r="O154" s="76">
        <v>0</v>
      </c>
      <c r="P154" s="83">
        <v>105384</v>
      </c>
      <c r="Q154" s="83">
        <v>2250867</v>
      </c>
      <c r="R154" s="67" t="s">
        <v>1542</v>
      </c>
      <c r="S154" s="68">
        <v>890201235</v>
      </c>
      <c r="T154" s="77"/>
      <c r="U154" s="78"/>
      <c r="V154" s="81"/>
      <c r="W154" s="80">
        <v>214020</v>
      </c>
    </row>
    <row r="155" spans="1:23" ht="15.6" x14ac:dyDescent="0.3">
      <c r="A155" s="67" t="s">
        <v>878</v>
      </c>
      <c r="B155" s="69">
        <v>37809356</v>
      </c>
      <c r="C155" s="69" t="s">
        <v>879</v>
      </c>
      <c r="D155" s="69">
        <v>0</v>
      </c>
      <c r="E155" s="70" t="s">
        <v>21</v>
      </c>
      <c r="F155" s="67" t="s">
        <v>1643</v>
      </c>
      <c r="G155" s="71">
        <v>39356</v>
      </c>
      <c r="H155" s="72">
        <v>40178</v>
      </c>
      <c r="I155" s="133">
        <v>2270058</v>
      </c>
      <c r="J155" s="134">
        <v>341788.54</v>
      </c>
      <c r="K155" s="125"/>
      <c r="L155" s="74">
        <v>0.1115</v>
      </c>
      <c r="M155" s="75">
        <v>208500</v>
      </c>
      <c r="N155" s="76">
        <v>13</v>
      </c>
      <c r="O155" s="76">
        <v>0</v>
      </c>
      <c r="P155" s="83">
        <v>208500</v>
      </c>
      <c r="Q155" s="83">
        <v>1986331</v>
      </c>
      <c r="R155" s="67" t="s">
        <v>1542</v>
      </c>
      <c r="S155" s="68">
        <v>890201235</v>
      </c>
      <c r="T155" s="77"/>
      <c r="U155" s="78"/>
      <c r="V155" s="81"/>
      <c r="W155" s="80">
        <v>492535</v>
      </c>
    </row>
    <row r="156" spans="1:23" ht="15.6" x14ac:dyDescent="0.3">
      <c r="A156" s="67" t="s">
        <v>880</v>
      </c>
      <c r="B156" s="69">
        <v>13818680</v>
      </c>
      <c r="C156" s="69" t="s">
        <v>881</v>
      </c>
      <c r="D156" s="69">
        <v>0</v>
      </c>
      <c r="E156" s="70" t="s">
        <v>472</v>
      </c>
      <c r="F156" s="67" t="s">
        <v>1643</v>
      </c>
      <c r="G156" s="71">
        <v>39416</v>
      </c>
      <c r="H156" s="72">
        <v>40178</v>
      </c>
      <c r="I156" s="133">
        <v>1324460.57</v>
      </c>
      <c r="J156" s="134">
        <v>199415.81</v>
      </c>
      <c r="K156" s="125"/>
      <c r="L156" s="74">
        <v>6.7599999999999993E-2</v>
      </c>
      <c r="M156" s="75">
        <v>17595</v>
      </c>
      <c r="N156" s="76">
        <v>13</v>
      </c>
      <c r="O156" s="76">
        <v>0</v>
      </c>
      <c r="P156" s="83">
        <v>376474</v>
      </c>
      <c r="Q156" s="83">
        <v>1368792</v>
      </c>
      <c r="R156" s="67" t="s">
        <v>1542</v>
      </c>
      <c r="S156" s="68">
        <v>890201235</v>
      </c>
      <c r="T156" s="77"/>
      <c r="U156" s="78"/>
      <c r="V156" s="81"/>
      <c r="W156" s="80">
        <v>473988</v>
      </c>
    </row>
    <row r="157" spans="1:23" ht="15.6" x14ac:dyDescent="0.3">
      <c r="A157" s="67" t="s">
        <v>882</v>
      </c>
      <c r="B157" s="69">
        <v>37814386</v>
      </c>
      <c r="C157" s="69" t="s">
        <v>883</v>
      </c>
      <c r="D157" s="69">
        <v>0</v>
      </c>
      <c r="E157" s="70" t="s">
        <v>21</v>
      </c>
      <c r="F157" s="67" t="s">
        <v>1643</v>
      </c>
      <c r="G157" s="71">
        <v>39479</v>
      </c>
      <c r="H157" s="72">
        <v>40178</v>
      </c>
      <c r="I157" s="133">
        <v>11320751.380000001</v>
      </c>
      <c r="J157" s="134">
        <v>1704495.27</v>
      </c>
      <c r="K157" s="125"/>
      <c r="L157" s="74">
        <v>0.25090000000000001</v>
      </c>
      <c r="M157" s="75">
        <v>489171</v>
      </c>
      <c r="N157" s="76">
        <v>13</v>
      </c>
      <c r="O157" s="76">
        <v>0</v>
      </c>
      <c r="P157" s="83">
        <v>488379</v>
      </c>
      <c r="Q157" s="83">
        <v>1978434</v>
      </c>
      <c r="R157" s="67" t="s">
        <v>1542</v>
      </c>
      <c r="S157" s="68">
        <v>890201235</v>
      </c>
      <c r="T157" s="77"/>
      <c r="U157" s="78"/>
      <c r="V157" s="81"/>
      <c r="W157" s="80">
        <v>1091565</v>
      </c>
    </row>
    <row r="158" spans="1:23" ht="15.6" x14ac:dyDescent="0.3">
      <c r="A158" s="67" t="s">
        <v>884</v>
      </c>
      <c r="B158" s="69">
        <v>5567032</v>
      </c>
      <c r="C158" s="69" t="s">
        <v>885</v>
      </c>
      <c r="D158" s="69">
        <v>0</v>
      </c>
      <c r="E158" s="70" t="s">
        <v>722</v>
      </c>
      <c r="F158" s="67" t="s">
        <v>1643</v>
      </c>
      <c r="G158" s="71">
        <v>39569</v>
      </c>
      <c r="H158" s="72">
        <v>40178</v>
      </c>
      <c r="I158" s="133">
        <v>12294718.640000001</v>
      </c>
      <c r="J158" s="134">
        <v>1851139.48</v>
      </c>
      <c r="K158" s="125"/>
      <c r="L158" s="74">
        <v>0.24390000000000001</v>
      </c>
      <c r="M158" s="75">
        <v>506072</v>
      </c>
      <c r="N158" s="76">
        <v>14</v>
      </c>
      <c r="O158" s="76">
        <v>0</v>
      </c>
      <c r="P158" s="83">
        <v>545620</v>
      </c>
      <c r="Q158" s="83">
        <v>1726200</v>
      </c>
      <c r="R158" s="67" t="s">
        <v>1542</v>
      </c>
      <c r="S158" s="68">
        <v>890201235</v>
      </c>
      <c r="T158" s="77"/>
      <c r="U158" s="78"/>
      <c r="V158" s="81"/>
      <c r="W158" s="80">
        <v>1219500</v>
      </c>
    </row>
    <row r="159" spans="1:23" ht="15.6" x14ac:dyDescent="0.3">
      <c r="A159" s="67" t="s">
        <v>886</v>
      </c>
      <c r="B159" s="69">
        <v>5644931</v>
      </c>
      <c r="C159" s="69" t="s">
        <v>887</v>
      </c>
      <c r="D159" s="69">
        <v>0</v>
      </c>
      <c r="E159" s="70" t="s">
        <v>472</v>
      </c>
      <c r="F159" s="67" t="s">
        <v>1643</v>
      </c>
      <c r="G159" s="71">
        <v>39783</v>
      </c>
      <c r="H159" s="72">
        <v>40178</v>
      </c>
      <c r="I159" s="133">
        <v>22213357.68</v>
      </c>
      <c r="J159" s="134">
        <v>3344527.4</v>
      </c>
      <c r="K159" s="125"/>
      <c r="L159" s="74">
        <v>0.32290000000000002</v>
      </c>
      <c r="M159" s="75">
        <v>1270699</v>
      </c>
      <c r="N159" s="76">
        <v>13</v>
      </c>
      <c r="O159" s="76">
        <v>0</v>
      </c>
      <c r="P159" s="83">
        <v>896506</v>
      </c>
      <c r="Q159" s="83">
        <v>3841516</v>
      </c>
      <c r="R159" s="67" t="s">
        <v>1542</v>
      </c>
      <c r="S159" s="68">
        <v>890201235</v>
      </c>
      <c r="T159" s="77"/>
      <c r="U159" s="78"/>
      <c r="V159" s="81"/>
      <c r="W159" s="80">
        <v>1664260</v>
      </c>
    </row>
    <row r="160" spans="1:23" ht="15.6" x14ac:dyDescent="0.3">
      <c r="A160" s="67" t="s">
        <v>888</v>
      </c>
      <c r="B160" s="69">
        <v>5742637</v>
      </c>
      <c r="C160" s="69" t="s">
        <v>23</v>
      </c>
      <c r="D160" s="69">
        <v>0</v>
      </c>
      <c r="E160" s="70" t="s">
        <v>19</v>
      </c>
      <c r="F160" s="67" t="s">
        <v>1643</v>
      </c>
      <c r="G160" s="71">
        <v>41699</v>
      </c>
      <c r="H160" s="72">
        <v>40178</v>
      </c>
      <c r="I160" s="133">
        <v>19248714.829999998</v>
      </c>
      <c r="J160" s="134">
        <v>2898159.52</v>
      </c>
      <c r="K160" s="125"/>
      <c r="L160" s="74">
        <v>0.7611</v>
      </c>
      <c r="M160" s="75">
        <v>249819</v>
      </c>
      <c r="N160" s="76">
        <v>14</v>
      </c>
      <c r="O160" s="76"/>
      <c r="P160" s="76"/>
      <c r="Q160" s="76"/>
      <c r="R160" s="67" t="s">
        <v>45</v>
      </c>
      <c r="S160" s="88">
        <v>890201488</v>
      </c>
      <c r="T160" s="77"/>
      <c r="U160" s="78"/>
      <c r="V160" s="81"/>
      <c r="W160" s="80">
        <v>611836</v>
      </c>
    </row>
    <row r="161" spans="1:23" ht="15.6" x14ac:dyDescent="0.3">
      <c r="A161" s="67" t="s">
        <v>889</v>
      </c>
      <c r="B161" s="69">
        <v>28006638</v>
      </c>
      <c r="C161" s="69" t="s">
        <v>890</v>
      </c>
      <c r="D161" s="69">
        <v>0</v>
      </c>
      <c r="E161" s="70" t="s">
        <v>758</v>
      </c>
      <c r="F161" s="67" t="s">
        <v>1643</v>
      </c>
      <c r="G161" s="71">
        <v>39262</v>
      </c>
      <c r="H161" s="72">
        <v>40178</v>
      </c>
      <c r="I161" s="133">
        <v>6204293.0099999998</v>
      </c>
      <c r="J161" s="134">
        <v>934141.89</v>
      </c>
      <c r="K161" s="125"/>
      <c r="L161" s="74">
        <v>9.7000000000000003E-2</v>
      </c>
      <c r="M161" s="75">
        <v>147152</v>
      </c>
      <c r="N161" s="76">
        <v>14</v>
      </c>
      <c r="O161" s="76"/>
      <c r="P161" s="76"/>
      <c r="Q161" s="76"/>
      <c r="R161" s="67" t="s">
        <v>1544</v>
      </c>
      <c r="S161" s="68">
        <v>890201900</v>
      </c>
      <c r="T161" s="77"/>
      <c r="U161" s="78"/>
      <c r="V161" s="81"/>
      <c r="W161" s="80">
        <v>1547375</v>
      </c>
    </row>
    <row r="162" spans="1:23" ht="15.6" x14ac:dyDescent="0.3">
      <c r="A162" s="67" t="s">
        <v>891</v>
      </c>
      <c r="B162" s="69">
        <v>17060322</v>
      </c>
      <c r="C162" s="69" t="s">
        <v>892</v>
      </c>
      <c r="D162" s="69">
        <v>0</v>
      </c>
      <c r="E162" s="70" t="s">
        <v>758</v>
      </c>
      <c r="F162" s="67" t="s">
        <v>1643</v>
      </c>
      <c r="G162" s="71">
        <v>39965</v>
      </c>
      <c r="H162" s="72">
        <v>40178</v>
      </c>
      <c r="I162" s="133">
        <v>2850271.66</v>
      </c>
      <c r="J162" s="134">
        <v>429147.71</v>
      </c>
      <c r="K162" s="125"/>
      <c r="L162" s="74">
        <v>6.13E-2</v>
      </c>
      <c r="M162" s="75">
        <v>244975</v>
      </c>
      <c r="N162" s="76">
        <v>14</v>
      </c>
      <c r="O162" s="76"/>
      <c r="P162" s="76"/>
      <c r="Q162" s="76"/>
      <c r="R162" s="67" t="s">
        <v>1544</v>
      </c>
      <c r="S162" s="68">
        <v>890201900</v>
      </c>
      <c r="T162" s="77"/>
      <c r="U162" s="78"/>
      <c r="V162" s="81"/>
      <c r="W162" s="80">
        <v>1124866</v>
      </c>
    </row>
    <row r="163" spans="1:23" ht="15.6" x14ac:dyDescent="0.3">
      <c r="A163" s="67" t="s">
        <v>893</v>
      </c>
      <c r="B163" s="69">
        <v>13814022</v>
      </c>
      <c r="C163" s="69" t="s">
        <v>894</v>
      </c>
      <c r="D163" s="69">
        <v>0</v>
      </c>
      <c r="E163" s="70" t="s">
        <v>19</v>
      </c>
      <c r="F163" s="67" t="s">
        <v>1643</v>
      </c>
      <c r="G163" s="71">
        <v>40299</v>
      </c>
      <c r="H163" s="72">
        <v>40178</v>
      </c>
      <c r="I163" s="133">
        <v>1995001.62</v>
      </c>
      <c r="J163" s="134">
        <v>300375.01</v>
      </c>
      <c r="K163" s="125"/>
      <c r="L163" s="74">
        <v>4.3799999999999999E-2</v>
      </c>
      <c r="M163" s="75">
        <v>43188</v>
      </c>
      <c r="N163" s="76">
        <v>14</v>
      </c>
      <c r="O163" s="76"/>
      <c r="P163" s="76"/>
      <c r="Q163" s="76"/>
      <c r="R163" s="67" t="s">
        <v>1544</v>
      </c>
      <c r="S163" s="68">
        <v>890201900</v>
      </c>
      <c r="T163" s="77">
        <v>37920358</v>
      </c>
      <c r="U163" s="78" t="s">
        <v>1700</v>
      </c>
      <c r="V163" s="81"/>
      <c r="W163" s="80">
        <v>1101905</v>
      </c>
    </row>
    <row r="164" spans="1:23" ht="15.6" x14ac:dyDescent="0.3">
      <c r="A164" s="67" t="s">
        <v>896</v>
      </c>
      <c r="B164" s="69">
        <v>5623671</v>
      </c>
      <c r="C164" s="69" t="s">
        <v>897</v>
      </c>
      <c r="D164" s="69">
        <v>0</v>
      </c>
      <c r="E164" s="70" t="s">
        <v>19</v>
      </c>
      <c r="F164" s="67" t="s">
        <v>1643</v>
      </c>
      <c r="G164" s="71">
        <v>38961</v>
      </c>
      <c r="H164" s="72">
        <v>40178</v>
      </c>
      <c r="I164" s="133">
        <v>1351300.48</v>
      </c>
      <c r="J164" s="134">
        <v>203456.92</v>
      </c>
      <c r="K164" s="125"/>
      <c r="L164" s="74">
        <v>7.3099999999999998E-2</v>
      </c>
      <c r="M164" s="75">
        <v>96733</v>
      </c>
      <c r="N164" s="76">
        <v>14</v>
      </c>
      <c r="O164" s="76"/>
      <c r="P164" s="76"/>
      <c r="Q164" s="76"/>
      <c r="R164" s="67" t="s">
        <v>1546</v>
      </c>
      <c r="S164" s="68">
        <v>890205063</v>
      </c>
      <c r="T164" s="77">
        <v>28097622</v>
      </c>
      <c r="U164" s="78" t="s">
        <v>1701</v>
      </c>
      <c r="V164" s="81"/>
      <c r="W164" s="80">
        <v>447208</v>
      </c>
    </row>
    <row r="165" spans="1:23" ht="15.6" x14ac:dyDescent="0.3">
      <c r="A165" s="67" t="s">
        <v>662</v>
      </c>
      <c r="B165" s="69">
        <v>37815104</v>
      </c>
      <c r="C165" s="69" t="s">
        <v>663</v>
      </c>
      <c r="D165" s="69">
        <v>0</v>
      </c>
      <c r="E165" s="70" t="s">
        <v>472</v>
      </c>
      <c r="F165" s="67" t="s">
        <v>1643</v>
      </c>
      <c r="G165" s="71">
        <v>39539</v>
      </c>
      <c r="H165" s="72">
        <v>40178</v>
      </c>
      <c r="I165" s="133">
        <v>2817426.24</v>
      </c>
      <c r="J165" s="134">
        <v>424202.38</v>
      </c>
      <c r="K165" s="125"/>
      <c r="L165" s="74">
        <v>0.1545</v>
      </c>
      <c r="M165" s="75">
        <v>265448</v>
      </c>
      <c r="N165" s="76">
        <v>13</v>
      </c>
      <c r="O165" s="76">
        <v>0</v>
      </c>
      <c r="P165" s="83">
        <v>288299</v>
      </c>
      <c r="Q165" s="83">
        <v>1429809</v>
      </c>
      <c r="R165" s="67" t="s">
        <v>1547</v>
      </c>
      <c r="S165" s="68">
        <v>890206167</v>
      </c>
      <c r="T165" s="77"/>
      <c r="U165" s="78"/>
      <c r="V165" s="81"/>
      <c r="W165" s="80">
        <v>441163</v>
      </c>
    </row>
    <row r="166" spans="1:23" ht="15.6" x14ac:dyDescent="0.3">
      <c r="A166" s="67" t="s">
        <v>891</v>
      </c>
      <c r="B166" s="69">
        <v>17060322</v>
      </c>
      <c r="C166" s="69" t="s">
        <v>892</v>
      </c>
      <c r="D166" s="69">
        <v>0</v>
      </c>
      <c r="E166" s="70" t="s">
        <v>19</v>
      </c>
      <c r="F166" s="67" t="s">
        <v>1643</v>
      </c>
      <c r="G166" s="71">
        <v>39965</v>
      </c>
      <c r="H166" s="72">
        <v>40178</v>
      </c>
      <c r="I166" s="133">
        <v>2850271.66</v>
      </c>
      <c r="J166" s="134">
        <v>429147.71</v>
      </c>
      <c r="K166" s="125"/>
      <c r="L166" s="74">
        <v>6.13E-2</v>
      </c>
      <c r="M166" s="75">
        <v>130213</v>
      </c>
      <c r="N166" s="76">
        <v>14</v>
      </c>
      <c r="O166" s="76"/>
      <c r="P166" s="76"/>
      <c r="Q166" s="76"/>
      <c r="R166" s="67" t="s">
        <v>1548</v>
      </c>
      <c r="S166" s="68">
        <v>890270833</v>
      </c>
      <c r="T166" s="77"/>
      <c r="U166" s="78"/>
      <c r="V166" s="81"/>
      <c r="W166" s="80">
        <v>1124866</v>
      </c>
    </row>
    <row r="167" spans="1:23" ht="15.6" x14ac:dyDescent="0.3">
      <c r="A167" s="67" t="s">
        <v>898</v>
      </c>
      <c r="B167" s="69">
        <v>29638027</v>
      </c>
      <c r="C167" s="69" t="s">
        <v>899</v>
      </c>
      <c r="D167" s="69">
        <v>0</v>
      </c>
      <c r="E167" s="70" t="s">
        <v>472</v>
      </c>
      <c r="F167" s="67" t="s">
        <v>1643</v>
      </c>
      <c r="G167" s="71">
        <v>32842</v>
      </c>
      <c r="H167" s="72">
        <v>40178</v>
      </c>
      <c r="I167" s="133">
        <v>11398286.220000001</v>
      </c>
      <c r="J167" s="134">
        <v>1716169.21</v>
      </c>
      <c r="K167" s="125"/>
      <c r="L167" s="74">
        <v>8.5300000000000001E-2</v>
      </c>
      <c r="M167" s="75">
        <v>14316</v>
      </c>
      <c r="N167" s="76">
        <v>14</v>
      </c>
      <c r="O167" s="76"/>
      <c r="P167" s="76"/>
      <c r="Q167" s="76"/>
      <c r="R167" s="67" t="s">
        <v>1549</v>
      </c>
      <c r="S167" s="68">
        <v>890303461</v>
      </c>
      <c r="T167" s="77"/>
      <c r="U167" s="78"/>
      <c r="V167" s="81"/>
      <c r="W167" s="80">
        <v>3232701</v>
      </c>
    </row>
    <row r="168" spans="1:23" ht="15.6" x14ac:dyDescent="0.3">
      <c r="A168" s="67" t="s">
        <v>900</v>
      </c>
      <c r="B168" s="69">
        <v>22353595</v>
      </c>
      <c r="C168" s="69" t="s">
        <v>901</v>
      </c>
      <c r="D168" s="69">
        <v>0</v>
      </c>
      <c r="E168" s="70" t="s">
        <v>472</v>
      </c>
      <c r="F168" s="67" t="s">
        <v>1643</v>
      </c>
      <c r="G168" s="71">
        <v>34912</v>
      </c>
      <c r="H168" s="72"/>
      <c r="I168" s="133">
        <v>88093.28</v>
      </c>
      <c r="J168" s="134">
        <v>13263.66</v>
      </c>
      <c r="K168" s="125"/>
      <c r="L168" s="74">
        <v>1.15E-2</v>
      </c>
      <c r="M168" s="75">
        <v>5561</v>
      </c>
      <c r="N168" s="76">
        <v>14</v>
      </c>
      <c r="O168" s="76"/>
      <c r="P168" s="76"/>
      <c r="Q168" s="76"/>
      <c r="R168" s="67" t="s">
        <v>1549</v>
      </c>
      <c r="S168" s="68">
        <v>890303461</v>
      </c>
      <c r="T168" s="77"/>
      <c r="U168" s="78"/>
      <c r="V168" s="81"/>
      <c r="W168" s="80">
        <v>185319</v>
      </c>
    </row>
    <row r="169" spans="1:23" ht="15.6" x14ac:dyDescent="0.3">
      <c r="A169" s="67" t="s">
        <v>902</v>
      </c>
      <c r="B169" s="69">
        <v>14955542</v>
      </c>
      <c r="C169" s="69" t="s">
        <v>903</v>
      </c>
      <c r="D169" s="69">
        <v>0</v>
      </c>
      <c r="E169" s="70" t="s">
        <v>472</v>
      </c>
      <c r="F169" s="67" t="s">
        <v>1643</v>
      </c>
      <c r="G169" s="71">
        <v>36494</v>
      </c>
      <c r="H169" s="72"/>
      <c r="I169" s="133">
        <v>39232027.18</v>
      </c>
      <c r="J169" s="134">
        <v>5906922.8399999999</v>
      </c>
      <c r="K169" s="125"/>
      <c r="L169" s="74">
        <v>0.4325</v>
      </c>
      <c r="M169" s="75">
        <v>470431</v>
      </c>
      <c r="N169" s="76">
        <v>14</v>
      </c>
      <c r="O169" s="76"/>
      <c r="P169" s="76"/>
      <c r="Q169" s="76"/>
      <c r="R169" s="67" t="s">
        <v>1549</v>
      </c>
      <c r="S169" s="68">
        <v>890303461</v>
      </c>
      <c r="T169" s="77"/>
      <c r="U169" s="78"/>
      <c r="V169" s="81"/>
      <c r="W169" s="80">
        <v>2194470</v>
      </c>
    </row>
    <row r="170" spans="1:23" ht="15.6" x14ac:dyDescent="0.3">
      <c r="A170" s="67" t="s">
        <v>906</v>
      </c>
      <c r="B170" s="69">
        <v>24906546</v>
      </c>
      <c r="C170" s="69" t="s">
        <v>907</v>
      </c>
      <c r="D170" s="69">
        <v>0</v>
      </c>
      <c r="E170" s="70" t="s">
        <v>472</v>
      </c>
      <c r="F170" s="67" t="s">
        <v>1643</v>
      </c>
      <c r="G170" s="71">
        <v>32264</v>
      </c>
      <c r="H170" s="72"/>
      <c r="I170" s="133">
        <v>61788149.68</v>
      </c>
      <c r="J170" s="134">
        <v>9303058.2100000009</v>
      </c>
      <c r="K170" s="125"/>
      <c r="L170" s="74">
        <v>0.44209999999999999</v>
      </c>
      <c r="M170" s="75">
        <v>45734</v>
      </c>
      <c r="N170" s="76">
        <v>14</v>
      </c>
      <c r="O170" s="76"/>
      <c r="P170" s="76"/>
      <c r="Q170" s="76"/>
      <c r="R170" s="67" t="s">
        <v>1550</v>
      </c>
      <c r="S170" s="68">
        <v>890304155</v>
      </c>
      <c r="T170" s="77"/>
      <c r="U170" s="78"/>
      <c r="V170" s="81"/>
      <c r="W170" s="80">
        <v>3381113</v>
      </c>
    </row>
    <row r="171" spans="1:23" ht="15.6" x14ac:dyDescent="0.3">
      <c r="A171" s="67" t="s">
        <v>908</v>
      </c>
      <c r="B171" s="69">
        <v>29028230</v>
      </c>
      <c r="C171" s="69" t="s">
        <v>909</v>
      </c>
      <c r="D171" s="69">
        <v>0</v>
      </c>
      <c r="E171" s="70" t="s">
        <v>472</v>
      </c>
      <c r="F171" s="67" t="s">
        <v>1643</v>
      </c>
      <c r="G171" s="71">
        <v>32264</v>
      </c>
      <c r="H171" s="72"/>
      <c r="I171" s="133">
        <v>23269472.140000001</v>
      </c>
      <c r="J171" s="134">
        <v>3503540</v>
      </c>
      <c r="K171" s="125"/>
      <c r="L171" s="74">
        <v>0.15670000000000001</v>
      </c>
      <c r="M171" s="75">
        <v>18808</v>
      </c>
      <c r="N171" s="76">
        <v>14</v>
      </c>
      <c r="O171" s="76"/>
      <c r="P171" s="76"/>
      <c r="Q171" s="76"/>
      <c r="R171" s="67" t="s">
        <v>1550</v>
      </c>
      <c r="S171" s="68">
        <v>890304155</v>
      </c>
      <c r="T171" s="77"/>
      <c r="U171" s="78"/>
      <c r="V171" s="81"/>
      <c r="W171" s="80">
        <v>3592465</v>
      </c>
    </row>
    <row r="172" spans="1:23" ht="15.6" x14ac:dyDescent="0.3">
      <c r="A172" s="67" t="s">
        <v>912</v>
      </c>
      <c r="B172" s="69">
        <v>38972862</v>
      </c>
      <c r="C172" s="69" t="s">
        <v>913</v>
      </c>
      <c r="D172" s="69">
        <v>0</v>
      </c>
      <c r="E172" s="70" t="s">
        <v>19</v>
      </c>
      <c r="F172" s="67" t="s">
        <v>1643</v>
      </c>
      <c r="G172" s="71">
        <v>34700</v>
      </c>
      <c r="H172" s="72">
        <v>45260</v>
      </c>
      <c r="I172" s="133">
        <v>2073573.01</v>
      </c>
      <c r="J172" s="134">
        <v>312205.02</v>
      </c>
      <c r="K172" s="125"/>
      <c r="L172" s="74">
        <v>2.6100000000000002E-2</v>
      </c>
      <c r="M172" s="75">
        <v>16397</v>
      </c>
      <c r="N172" s="76">
        <v>14</v>
      </c>
      <c r="O172" s="76"/>
      <c r="P172" s="76"/>
      <c r="Q172" s="76"/>
      <c r="R172" s="67" t="s">
        <v>1551</v>
      </c>
      <c r="S172" s="68">
        <v>890312840</v>
      </c>
      <c r="T172" s="77"/>
      <c r="U172" s="78"/>
      <c r="V172" s="81"/>
      <c r="W172" s="80">
        <v>1922002</v>
      </c>
    </row>
    <row r="173" spans="1:23" ht="15.6" x14ac:dyDescent="0.3">
      <c r="A173" s="67" t="s">
        <v>914</v>
      </c>
      <c r="B173" s="69">
        <v>29000055</v>
      </c>
      <c r="C173" s="69" t="s">
        <v>915</v>
      </c>
      <c r="D173" s="69">
        <v>0</v>
      </c>
      <c r="E173" s="70" t="s">
        <v>19</v>
      </c>
      <c r="F173" s="67" t="s">
        <v>1643</v>
      </c>
      <c r="G173" s="71">
        <v>29273</v>
      </c>
      <c r="H173" s="72">
        <v>44894</v>
      </c>
      <c r="I173" s="133">
        <v>7722079.3099999996</v>
      </c>
      <c r="J173" s="134">
        <v>1162665.56</v>
      </c>
      <c r="K173" s="125"/>
      <c r="L173" s="74">
        <v>9.35E-2</v>
      </c>
      <c r="M173" s="75">
        <v>1072</v>
      </c>
      <c r="N173" s="76">
        <v>14</v>
      </c>
      <c r="O173" s="76"/>
      <c r="P173" s="76"/>
      <c r="Q173" s="76"/>
      <c r="R173" s="67" t="s">
        <v>1552</v>
      </c>
      <c r="S173" s="68">
        <v>890399003</v>
      </c>
      <c r="T173" s="77"/>
      <c r="U173" s="78"/>
      <c r="V173" s="81"/>
      <c r="W173" s="80">
        <v>1998010</v>
      </c>
    </row>
    <row r="174" spans="1:23" ht="15.6" x14ac:dyDescent="0.3">
      <c r="A174" s="67" t="s">
        <v>916</v>
      </c>
      <c r="B174" s="69">
        <v>14957040</v>
      </c>
      <c r="C174" s="69" t="s">
        <v>917</v>
      </c>
      <c r="D174" s="69">
        <v>0</v>
      </c>
      <c r="E174" s="70" t="s">
        <v>19</v>
      </c>
      <c r="F174" s="67" t="s">
        <v>1643</v>
      </c>
      <c r="G174" s="71">
        <v>38458</v>
      </c>
      <c r="H174" s="72"/>
      <c r="I174" s="133">
        <v>224063.31</v>
      </c>
      <c r="J174" s="134">
        <v>33735.82</v>
      </c>
      <c r="K174" s="125"/>
      <c r="L174" s="74">
        <v>3.8199999999999998E-2</v>
      </c>
      <c r="M174" s="75">
        <v>54833</v>
      </c>
      <c r="N174" s="76">
        <v>14</v>
      </c>
      <c r="O174" s="76"/>
      <c r="P174" s="76"/>
      <c r="Q174" s="76"/>
      <c r="R174" s="67" t="s">
        <v>1552</v>
      </c>
      <c r="S174" s="68">
        <v>890399003</v>
      </c>
      <c r="T174" s="77"/>
      <c r="U174" s="78"/>
      <c r="V174" s="81"/>
      <c r="W174" s="80">
        <v>141900</v>
      </c>
    </row>
    <row r="175" spans="1:23" ht="15.6" x14ac:dyDescent="0.3">
      <c r="A175" s="67" t="s">
        <v>918</v>
      </c>
      <c r="B175" s="69">
        <v>14950647</v>
      </c>
      <c r="C175" s="69" t="s">
        <v>919</v>
      </c>
      <c r="D175" s="69">
        <v>0</v>
      </c>
      <c r="E175" s="70" t="s">
        <v>472</v>
      </c>
      <c r="F175" s="67" t="s">
        <v>1643</v>
      </c>
      <c r="G175" s="71">
        <v>38534</v>
      </c>
      <c r="H175" s="72">
        <v>41639</v>
      </c>
      <c r="I175" s="133">
        <v>334877.48</v>
      </c>
      <c r="J175" s="134">
        <v>50420.42</v>
      </c>
      <c r="K175" s="125"/>
      <c r="L175" s="74">
        <v>3.0800000000000001E-2</v>
      </c>
      <c r="M175" s="75">
        <v>66846</v>
      </c>
      <c r="N175" s="76">
        <v>14</v>
      </c>
      <c r="O175" s="76"/>
      <c r="P175" s="76"/>
      <c r="Q175" s="76"/>
      <c r="R175" s="67" t="s">
        <v>1552</v>
      </c>
      <c r="S175" s="68">
        <v>890399003</v>
      </c>
      <c r="T175" s="77"/>
      <c r="U175" s="78"/>
      <c r="V175" s="81"/>
      <c r="W175" s="80">
        <v>263033</v>
      </c>
    </row>
    <row r="176" spans="1:23" ht="15.6" x14ac:dyDescent="0.3">
      <c r="A176" s="67" t="s">
        <v>920</v>
      </c>
      <c r="B176" s="69">
        <v>14440334</v>
      </c>
      <c r="C176" s="69" t="s">
        <v>921</v>
      </c>
      <c r="D176" s="69">
        <v>0</v>
      </c>
      <c r="E176" s="70" t="s">
        <v>472</v>
      </c>
      <c r="F176" s="67" t="s">
        <v>1643</v>
      </c>
      <c r="G176" s="71">
        <v>39479</v>
      </c>
      <c r="H176" s="72">
        <v>41639</v>
      </c>
      <c r="I176" s="133">
        <v>1771156.64</v>
      </c>
      <c r="J176" s="134">
        <v>266672.06</v>
      </c>
      <c r="K176" s="125"/>
      <c r="L176" s="74">
        <v>9.3200000000000005E-2</v>
      </c>
      <c r="M176" s="75">
        <v>177715</v>
      </c>
      <c r="N176" s="76">
        <v>13</v>
      </c>
      <c r="O176" s="76"/>
      <c r="P176" s="76"/>
      <c r="Q176" s="76"/>
      <c r="R176" s="67" t="s">
        <v>1552</v>
      </c>
      <c r="S176" s="68">
        <v>890399003</v>
      </c>
      <c r="T176" s="77"/>
      <c r="U176" s="78"/>
      <c r="V176" s="81"/>
      <c r="W176" s="80">
        <v>459744</v>
      </c>
    </row>
    <row r="177" spans="1:23" ht="15.6" x14ac:dyDescent="0.3">
      <c r="A177" s="67" t="s">
        <v>908</v>
      </c>
      <c r="B177" s="69">
        <v>29028230</v>
      </c>
      <c r="C177" s="69" t="s">
        <v>909</v>
      </c>
      <c r="D177" s="69">
        <v>0</v>
      </c>
      <c r="E177" s="70" t="s">
        <v>472</v>
      </c>
      <c r="F177" s="67" t="s">
        <v>1643</v>
      </c>
      <c r="G177" s="71">
        <v>32264</v>
      </c>
      <c r="H177" s="72">
        <v>45034</v>
      </c>
      <c r="I177" s="133">
        <v>23269472.140000001</v>
      </c>
      <c r="J177" s="134">
        <v>3503540</v>
      </c>
      <c r="K177" s="125"/>
      <c r="L177" s="74">
        <v>0.15670000000000001</v>
      </c>
      <c r="M177" s="75">
        <v>48329</v>
      </c>
      <c r="N177" s="76">
        <v>14</v>
      </c>
      <c r="O177" s="76"/>
      <c r="P177" s="76"/>
      <c r="Q177" s="76"/>
      <c r="R177" s="67" t="s">
        <v>1553</v>
      </c>
      <c r="S177" s="68">
        <v>890399010</v>
      </c>
      <c r="T177" s="77"/>
      <c r="U177" s="78"/>
      <c r="V177" s="81"/>
      <c r="W177" s="80">
        <v>3592465</v>
      </c>
    </row>
    <row r="178" spans="1:23" ht="15.6" x14ac:dyDescent="0.3">
      <c r="A178" s="67" t="s">
        <v>924</v>
      </c>
      <c r="B178" s="69">
        <v>6072246</v>
      </c>
      <c r="C178" s="69" t="s">
        <v>925</v>
      </c>
      <c r="D178" s="69">
        <v>0</v>
      </c>
      <c r="E178" s="70" t="s">
        <v>19</v>
      </c>
      <c r="F178" s="67" t="s">
        <v>1643</v>
      </c>
      <c r="G178" s="71">
        <v>34700</v>
      </c>
      <c r="H178" s="72">
        <v>45034</v>
      </c>
      <c r="I178" s="133">
        <v>845751.29</v>
      </c>
      <c r="J178" s="134">
        <v>127339.52</v>
      </c>
      <c r="K178" s="125"/>
      <c r="L178" s="74">
        <v>1.6199999999999999E-2</v>
      </c>
      <c r="M178" s="75">
        <v>53771</v>
      </c>
      <c r="N178" s="76">
        <v>14</v>
      </c>
      <c r="O178" s="76"/>
      <c r="P178" s="76"/>
      <c r="Q178" s="76"/>
      <c r="R178" s="67" t="s">
        <v>1553</v>
      </c>
      <c r="S178" s="68">
        <v>890399010</v>
      </c>
      <c r="T178" s="77"/>
      <c r="U178" s="78"/>
      <c r="V178" s="81"/>
      <c r="W178" s="80">
        <v>1262998</v>
      </c>
    </row>
    <row r="179" spans="1:23" ht="15.6" x14ac:dyDescent="0.3">
      <c r="A179" s="67" t="s">
        <v>926</v>
      </c>
      <c r="B179" s="69">
        <v>29646891</v>
      </c>
      <c r="C179" s="69" t="s">
        <v>927</v>
      </c>
      <c r="D179" s="69">
        <v>0</v>
      </c>
      <c r="E179" s="70" t="s">
        <v>472</v>
      </c>
      <c r="F179" s="67" t="s">
        <v>1643</v>
      </c>
      <c r="G179" s="71">
        <v>35064</v>
      </c>
      <c r="H179" s="72">
        <v>45034</v>
      </c>
      <c r="I179" s="133">
        <v>909556.56</v>
      </c>
      <c r="J179" s="134">
        <v>136946.29</v>
      </c>
      <c r="K179" s="125"/>
      <c r="L179" s="74">
        <v>7.17E-2</v>
      </c>
      <c r="M179" s="75">
        <v>15873</v>
      </c>
      <c r="N179" s="76">
        <v>14</v>
      </c>
      <c r="O179" s="76"/>
      <c r="P179" s="76"/>
      <c r="Q179" s="76"/>
      <c r="R179" s="67" t="s">
        <v>1553</v>
      </c>
      <c r="S179" s="68">
        <v>890399010</v>
      </c>
      <c r="T179" s="77"/>
      <c r="U179" s="78"/>
      <c r="V179" s="81"/>
      <c r="W179" s="80">
        <v>306892</v>
      </c>
    </row>
    <row r="180" spans="1:23" ht="15.6" x14ac:dyDescent="0.3">
      <c r="A180" s="67" t="s">
        <v>930</v>
      </c>
      <c r="B180" s="69">
        <v>16581282</v>
      </c>
      <c r="C180" s="69" t="s">
        <v>931</v>
      </c>
      <c r="D180" s="69">
        <v>0</v>
      </c>
      <c r="E180" s="70" t="s">
        <v>472</v>
      </c>
      <c r="F180" s="67" t="s">
        <v>1643</v>
      </c>
      <c r="G180" s="71">
        <v>39992</v>
      </c>
      <c r="H180" s="72">
        <v>45034</v>
      </c>
      <c r="I180" s="133">
        <v>26356889.870000001</v>
      </c>
      <c r="J180" s="134">
        <v>3968393.32</v>
      </c>
      <c r="K180" s="125"/>
      <c r="L180" s="74">
        <v>0.20419999999999999</v>
      </c>
      <c r="M180" s="75">
        <v>732733</v>
      </c>
      <c r="N180" s="76">
        <v>13</v>
      </c>
      <c r="O180" s="76"/>
      <c r="P180" s="76"/>
      <c r="Q180" s="76"/>
      <c r="R180" s="67" t="s">
        <v>1553</v>
      </c>
      <c r="S180" s="68">
        <v>890399010</v>
      </c>
      <c r="T180" s="77"/>
      <c r="U180" s="78"/>
      <c r="V180" s="81"/>
      <c r="W180" s="80">
        <v>3122579</v>
      </c>
    </row>
    <row r="181" spans="1:23" ht="15.6" x14ac:dyDescent="0.3">
      <c r="A181" s="67" t="s">
        <v>932</v>
      </c>
      <c r="B181" s="69">
        <v>2408193</v>
      </c>
      <c r="C181" s="69" t="s">
        <v>933</v>
      </c>
      <c r="D181" s="69">
        <v>0</v>
      </c>
      <c r="E181" s="70" t="s">
        <v>19</v>
      </c>
      <c r="F181" s="67" t="s">
        <v>1643</v>
      </c>
      <c r="G181" s="71">
        <v>28307</v>
      </c>
      <c r="H181" s="72">
        <v>45034</v>
      </c>
      <c r="I181" s="133">
        <v>6299525.2999999998</v>
      </c>
      <c r="J181" s="134">
        <v>948480.43</v>
      </c>
      <c r="K181" s="125"/>
      <c r="L181" s="74">
        <v>0.2833</v>
      </c>
      <c r="M181" s="75">
        <v>1252</v>
      </c>
      <c r="N181" s="76">
        <v>14</v>
      </c>
      <c r="O181" s="76"/>
      <c r="P181" s="76"/>
      <c r="Q181" s="76"/>
      <c r="R181" s="67" t="s">
        <v>1554</v>
      </c>
      <c r="S181" s="68">
        <v>890399011</v>
      </c>
      <c r="T181" s="77">
        <v>16701502</v>
      </c>
      <c r="U181" s="78" t="s">
        <v>1704</v>
      </c>
      <c r="V181" s="81"/>
      <c r="W181" s="80">
        <v>537943</v>
      </c>
    </row>
    <row r="182" spans="1:23" ht="15.6" x14ac:dyDescent="0.3">
      <c r="A182" s="67" t="s">
        <v>936</v>
      </c>
      <c r="B182" s="69">
        <v>29000055</v>
      </c>
      <c r="C182" s="69" t="s">
        <v>915</v>
      </c>
      <c r="D182" s="69">
        <v>0</v>
      </c>
      <c r="E182" s="70" t="s">
        <v>472</v>
      </c>
      <c r="F182" s="67" t="s">
        <v>1643</v>
      </c>
      <c r="G182" s="71">
        <v>29273</v>
      </c>
      <c r="H182" s="72">
        <v>45034</v>
      </c>
      <c r="I182" s="133">
        <v>7722079.3099999996</v>
      </c>
      <c r="J182" s="134">
        <v>1162665.56</v>
      </c>
      <c r="K182" s="125"/>
      <c r="L182" s="74">
        <v>9.35E-2</v>
      </c>
      <c r="M182" s="75">
        <v>1311</v>
      </c>
      <c r="N182" s="76">
        <v>14</v>
      </c>
      <c r="O182" s="76"/>
      <c r="P182" s="76"/>
      <c r="Q182" s="76"/>
      <c r="R182" s="67" t="s">
        <v>1554</v>
      </c>
      <c r="S182" s="68">
        <v>890399011</v>
      </c>
      <c r="T182" s="77"/>
      <c r="U182" s="78"/>
      <c r="V182" s="81"/>
      <c r="W182" s="80">
        <v>1998010</v>
      </c>
    </row>
    <row r="183" spans="1:23" ht="15.6" x14ac:dyDescent="0.3">
      <c r="A183" s="67" t="s">
        <v>937</v>
      </c>
      <c r="B183" s="69">
        <v>6063390</v>
      </c>
      <c r="C183" s="69" t="s">
        <v>938</v>
      </c>
      <c r="D183" s="69">
        <v>0</v>
      </c>
      <c r="E183" s="70" t="s">
        <v>472</v>
      </c>
      <c r="F183" s="67" t="s">
        <v>1643</v>
      </c>
      <c r="G183" s="71">
        <v>30202</v>
      </c>
      <c r="H183" s="72">
        <v>45034</v>
      </c>
      <c r="I183" s="133">
        <v>4098888.05</v>
      </c>
      <c r="J183" s="134">
        <v>617144.13</v>
      </c>
      <c r="K183" s="125"/>
      <c r="L183" s="74">
        <v>6.6100000000000006E-2</v>
      </c>
      <c r="M183" s="75">
        <v>59110</v>
      </c>
      <c r="N183" s="76">
        <v>14</v>
      </c>
      <c r="O183" s="76"/>
      <c r="P183" s="76"/>
      <c r="Q183" s="76"/>
      <c r="R183" s="67" t="s">
        <v>1554</v>
      </c>
      <c r="S183" s="68">
        <v>890399011</v>
      </c>
      <c r="T183" s="77">
        <v>29273108</v>
      </c>
      <c r="U183" s="78" t="s">
        <v>1706</v>
      </c>
      <c r="V183" s="63"/>
      <c r="W183" s="80">
        <v>1500167</v>
      </c>
    </row>
    <row r="184" spans="1:23" ht="15.6" x14ac:dyDescent="0.3">
      <c r="A184" s="67" t="s">
        <v>941</v>
      </c>
      <c r="B184" s="69">
        <v>6546501</v>
      </c>
      <c r="C184" s="69" t="s">
        <v>942</v>
      </c>
      <c r="D184" s="69">
        <v>0</v>
      </c>
      <c r="E184" s="70" t="s">
        <v>19</v>
      </c>
      <c r="F184" s="67" t="s">
        <v>1643</v>
      </c>
      <c r="G184" s="71">
        <v>32509</v>
      </c>
      <c r="H184" s="72">
        <v>45034</v>
      </c>
      <c r="I184" s="133">
        <v>40976306.549999997</v>
      </c>
      <c r="J184" s="134">
        <v>6169548.1600000001</v>
      </c>
      <c r="K184" s="125"/>
      <c r="L184" s="74">
        <v>0.49390000000000001</v>
      </c>
      <c r="M184" s="75">
        <v>68054</v>
      </c>
      <c r="N184" s="76">
        <v>14</v>
      </c>
      <c r="O184" s="76"/>
      <c r="P184" s="76"/>
      <c r="Q184" s="76"/>
      <c r="R184" s="67" t="s">
        <v>1554</v>
      </c>
      <c r="S184" s="68">
        <v>890399011</v>
      </c>
      <c r="T184" s="77"/>
      <c r="U184" s="78"/>
      <c r="V184" s="65"/>
      <c r="W184" s="80">
        <v>2007099</v>
      </c>
    </row>
    <row r="185" spans="1:23" ht="15.6" x14ac:dyDescent="0.3">
      <c r="A185" s="67" t="s">
        <v>943</v>
      </c>
      <c r="B185" s="69">
        <v>2452641</v>
      </c>
      <c r="C185" s="69" t="s">
        <v>944</v>
      </c>
      <c r="D185" s="69">
        <v>0</v>
      </c>
      <c r="E185" s="70" t="s">
        <v>472</v>
      </c>
      <c r="F185" s="67" t="s">
        <v>1643</v>
      </c>
      <c r="G185" s="71">
        <v>33635</v>
      </c>
      <c r="H185" s="72">
        <v>45034</v>
      </c>
      <c r="I185" s="133">
        <v>9637285.5199999996</v>
      </c>
      <c r="J185" s="134">
        <v>1451026.27</v>
      </c>
      <c r="K185" s="125"/>
      <c r="L185" s="74">
        <v>0.36780000000000002</v>
      </c>
      <c r="M185" s="75">
        <v>23974</v>
      </c>
      <c r="N185" s="76">
        <v>14</v>
      </c>
      <c r="O185" s="76"/>
      <c r="P185" s="76"/>
      <c r="Q185" s="76"/>
      <c r="R185" s="67" t="s">
        <v>1554</v>
      </c>
      <c r="S185" s="68">
        <v>890399011</v>
      </c>
      <c r="T185" s="77">
        <v>29851266</v>
      </c>
      <c r="U185" s="78" t="s">
        <v>1708</v>
      </c>
      <c r="V185" s="81"/>
      <c r="W185" s="80">
        <v>633896</v>
      </c>
    </row>
    <row r="186" spans="1:23" ht="15.6" x14ac:dyDescent="0.3">
      <c r="A186" s="67" t="s">
        <v>945</v>
      </c>
      <c r="B186" s="69">
        <v>38991298</v>
      </c>
      <c r="C186" s="69" t="s">
        <v>946</v>
      </c>
      <c r="D186" s="69">
        <v>0</v>
      </c>
      <c r="E186" s="70" t="s">
        <v>472</v>
      </c>
      <c r="F186" s="67" t="s">
        <v>1643</v>
      </c>
      <c r="G186" s="71">
        <v>35431</v>
      </c>
      <c r="H186" s="72">
        <v>45034</v>
      </c>
      <c r="I186" s="133">
        <v>3385403.67</v>
      </c>
      <c r="J186" s="134">
        <v>509719.22</v>
      </c>
      <c r="K186" s="125"/>
      <c r="L186" s="74">
        <v>0.1255</v>
      </c>
      <c r="M186" s="75">
        <v>101804</v>
      </c>
      <c r="N186" s="76">
        <v>14</v>
      </c>
      <c r="O186" s="76"/>
      <c r="P186" s="76"/>
      <c r="Q186" s="76"/>
      <c r="R186" s="67" t="s">
        <v>1554</v>
      </c>
      <c r="S186" s="68">
        <v>890399011</v>
      </c>
      <c r="T186" s="77"/>
      <c r="U186" s="78"/>
      <c r="V186" s="81"/>
      <c r="W186" s="80">
        <v>652592</v>
      </c>
    </row>
    <row r="187" spans="1:23" ht="15.6" x14ac:dyDescent="0.3">
      <c r="A187" s="67" t="s">
        <v>947</v>
      </c>
      <c r="B187" s="69">
        <v>14959056</v>
      </c>
      <c r="C187" s="69" t="s">
        <v>948</v>
      </c>
      <c r="D187" s="69">
        <v>0</v>
      </c>
      <c r="E187" s="70" t="s">
        <v>19</v>
      </c>
      <c r="F187" s="67" t="s">
        <v>1643</v>
      </c>
      <c r="G187" s="71">
        <v>38353</v>
      </c>
      <c r="H187" s="72">
        <v>45034</v>
      </c>
      <c r="I187" s="133">
        <v>22090553.02</v>
      </c>
      <c r="J187" s="134">
        <v>3326037.46</v>
      </c>
      <c r="K187" s="125"/>
      <c r="L187" s="74">
        <v>0.32590000000000002</v>
      </c>
      <c r="M187" s="75">
        <v>600646</v>
      </c>
      <c r="N187" s="76">
        <v>14</v>
      </c>
      <c r="O187" s="76"/>
      <c r="P187" s="76"/>
      <c r="Q187" s="76"/>
      <c r="R187" s="67" t="s">
        <v>1554</v>
      </c>
      <c r="S187" s="68">
        <v>890399011</v>
      </c>
      <c r="T187" s="77"/>
      <c r="U187" s="78"/>
      <c r="V187" s="81"/>
      <c r="W187" s="80">
        <v>1639824</v>
      </c>
    </row>
    <row r="188" spans="1:23" ht="15.6" x14ac:dyDescent="0.3">
      <c r="A188" s="67" t="s">
        <v>949</v>
      </c>
      <c r="B188" s="69">
        <v>14970690</v>
      </c>
      <c r="C188" s="69" t="s">
        <v>950</v>
      </c>
      <c r="D188" s="69">
        <v>0</v>
      </c>
      <c r="E188" s="70" t="s">
        <v>472</v>
      </c>
      <c r="F188" s="67" t="s">
        <v>1643</v>
      </c>
      <c r="G188" s="71">
        <v>39753</v>
      </c>
      <c r="H188" s="72"/>
      <c r="I188" s="133">
        <v>1174164.46</v>
      </c>
      <c r="J188" s="134">
        <v>176786.66</v>
      </c>
      <c r="K188" s="125"/>
      <c r="L188" s="74">
        <v>2.1600000000000001E-2</v>
      </c>
      <c r="M188" s="75">
        <v>284716</v>
      </c>
      <c r="N188" s="76">
        <v>13</v>
      </c>
      <c r="O188" s="76"/>
      <c r="P188" s="76"/>
      <c r="Q188" s="76"/>
      <c r="R188" s="67" t="s">
        <v>1554</v>
      </c>
      <c r="S188" s="68">
        <v>890399011</v>
      </c>
      <c r="T188" s="77"/>
      <c r="U188" s="78"/>
      <c r="V188" s="81"/>
      <c r="W188" s="80">
        <v>1315074</v>
      </c>
    </row>
    <row r="189" spans="1:23" ht="15.6" x14ac:dyDescent="0.3">
      <c r="A189" s="67" t="s">
        <v>951</v>
      </c>
      <c r="B189" s="69">
        <v>38940912</v>
      </c>
      <c r="C189" s="69" t="s">
        <v>952</v>
      </c>
      <c r="D189" s="69">
        <v>0</v>
      </c>
      <c r="E189" s="70" t="s">
        <v>472</v>
      </c>
      <c r="F189" s="67" t="s">
        <v>1643</v>
      </c>
      <c r="G189" s="71">
        <v>40147</v>
      </c>
      <c r="H189" s="72"/>
      <c r="I189" s="133">
        <v>12702953.810000001</v>
      </c>
      <c r="J189" s="134">
        <v>1912604.91</v>
      </c>
      <c r="K189" s="125"/>
      <c r="L189" s="74">
        <v>0.12640000000000001</v>
      </c>
      <c r="M189" s="75">
        <v>358930</v>
      </c>
      <c r="N189" s="76">
        <v>13</v>
      </c>
      <c r="O189" s="76"/>
      <c r="P189" s="76"/>
      <c r="Q189" s="76"/>
      <c r="R189" s="67" t="s">
        <v>1554</v>
      </c>
      <c r="S189" s="68">
        <v>890399011</v>
      </c>
      <c r="T189" s="77"/>
      <c r="U189" s="78"/>
      <c r="V189" s="81"/>
      <c r="W189" s="80">
        <v>2431267</v>
      </c>
    </row>
    <row r="190" spans="1:23" ht="15.6" x14ac:dyDescent="0.3">
      <c r="A190" s="67" t="s">
        <v>955</v>
      </c>
      <c r="B190" s="69">
        <v>6043169</v>
      </c>
      <c r="C190" s="69" t="s">
        <v>956</v>
      </c>
      <c r="D190" s="69">
        <v>0</v>
      </c>
      <c r="E190" s="70" t="s">
        <v>472</v>
      </c>
      <c r="F190" s="67" t="s">
        <v>1643</v>
      </c>
      <c r="G190" s="71">
        <v>25674</v>
      </c>
      <c r="H190" s="72">
        <v>44889</v>
      </c>
      <c r="I190" s="133">
        <v>198838628.94999999</v>
      </c>
      <c r="J190" s="134">
        <v>29937898.260000002</v>
      </c>
      <c r="K190" s="125"/>
      <c r="L190" s="74">
        <v>0.65439999999999998</v>
      </c>
      <c r="M190" s="75">
        <v>4193</v>
      </c>
      <c r="N190" s="76">
        <v>14</v>
      </c>
      <c r="O190" s="76"/>
      <c r="P190" s="76"/>
      <c r="Q190" s="76"/>
      <c r="R190" s="67" t="s">
        <v>1556</v>
      </c>
      <c r="S190" s="68">
        <v>890399029</v>
      </c>
      <c r="T190" s="77">
        <v>38959134</v>
      </c>
      <c r="U190" s="78" t="s">
        <v>1709</v>
      </c>
      <c r="V190" s="81"/>
      <c r="W190" s="80">
        <v>7350764</v>
      </c>
    </row>
    <row r="191" spans="1:23" ht="15.6" x14ac:dyDescent="0.3">
      <c r="A191" s="67" t="s">
        <v>961</v>
      </c>
      <c r="B191" s="69">
        <v>2419662</v>
      </c>
      <c r="C191" s="69" t="s">
        <v>962</v>
      </c>
      <c r="D191" s="69">
        <v>0</v>
      </c>
      <c r="E191" s="70" t="s">
        <v>472</v>
      </c>
      <c r="F191" s="67" t="s">
        <v>1643</v>
      </c>
      <c r="G191" s="71">
        <v>26846</v>
      </c>
      <c r="H191" s="72">
        <v>44889</v>
      </c>
      <c r="I191" s="133">
        <v>28040752.899999999</v>
      </c>
      <c r="J191" s="134">
        <v>4221922.13</v>
      </c>
      <c r="K191" s="125"/>
      <c r="L191" s="74">
        <v>0.25140000000000001</v>
      </c>
      <c r="M191" s="75">
        <v>1495</v>
      </c>
      <c r="N191" s="76">
        <v>14</v>
      </c>
      <c r="O191" s="76"/>
      <c r="P191" s="76"/>
      <c r="Q191" s="76"/>
      <c r="R191" s="67" t="s">
        <v>1556</v>
      </c>
      <c r="S191" s="68">
        <v>890399029</v>
      </c>
      <c r="T191" s="77">
        <v>29071625</v>
      </c>
      <c r="U191" s="78" t="s">
        <v>1712</v>
      </c>
      <c r="V191" s="81"/>
      <c r="W191" s="80">
        <v>2698357</v>
      </c>
    </row>
    <row r="192" spans="1:23" ht="15.6" x14ac:dyDescent="0.3">
      <c r="A192" s="67" t="s">
        <v>971</v>
      </c>
      <c r="B192" s="69">
        <v>2539131</v>
      </c>
      <c r="C192" s="69" t="s">
        <v>972</v>
      </c>
      <c r="D192" s="69">
        <v>0</v>
      </c>
      <c r="E192" s="70" t="s">
        <v>472</v>
      </c>
      <c r="F192" s="67" t="s">
        <v>1643</v>
      </c>
      <c r="G192" s="71">
        <v>32599</v>
      </c>
      <c r="H192" s="72">
        <v>44889</v>
      </c>
      <c r="I192" s="133">
        <v>93230061.629999995</v>
      </c>
      <c r="J192" s="134">
        <v>14037071.75</v>
      </c>
      <c r="K192" s="125"/>
      <c r="L192" s="74">
        <v>0.95699999999999996</v>
      </c>
      <c r="M192" s="75">
        <v>106584</v>
      </c>
      <c r="N192" s="76">
        <v>14</v>
      </c>
      <c r="O192" s="76"/>
      <c r="P192" s="76"/>
      <c r="Q192" s="76"/>
      <c r="R192" s="67" t="s">
        <v>1556</v>
      </c>
      <c r="S192" s="68">
        <v>890399029</v>
      </c>
      <c r="T192" s="77">
        <v>38971272</v>
      </c>
      <c r="U192" s="78" t="s">
        <v>1716</v>
      </c>
      <c r="V192" s="81"/>
      <c r="W192" s="80">
        <v>2356780</v>
      </c>
    </row>
    <row r="193" spans="1:23" ht="16.2" thickBot="1" x14ac:dyDescent="0.35">
      <c r="A193" s="67" t="s">
        <v>973</v>
      </c>
      <c r="B193" s="69">
        <v>2504613</v>
      </c>
      <c r="C193" s="69" t="s">
        <v>974</v>
      </c>
      <c r="D193" s="69">
        <v>0</v>
      </c>
      <c r="E193" s="70" t="s">
        <v>472</v>
      </c>
      <c r="F193" s="67" t="s">
        <v>1643</v>
      </c>
      <c r="G193" s="71">
        <v>32842</v>
      </c>
      <c r="H193" s="86">
        <v>44889</v>
      </c>
      <c r="I193" s="133">
        <v>32784500.68</v>
      </c>
      <c r="J193" s="134">
        <v>4936158.79</v>
      </c>
      <c r="K193" s="125"/>
      <c r="L193" s="74">
        <v>0.2326</v>
      </c>
      <c r="M193" s="75">
        <v>37375</v>
      </c>
      <c r="N193" s="76">
        <v>14</v>
      </c>
      <c r="O193" s="76"/>
      <c r="P193" s="76"/>
      <c r="Q193" s="76"/>
      <c r="R193" s="67" t="s">
        <v>1556</v>
      </c>
      <c r="S193" s="68">
        <v>890399029</v>
      </c>
      <c r="T193" s="77">
        <v>38858741</v>
      </c>
      <c r="U193" s="78" t="s">
        <v>1717</v>
      </c>
      <c r="V193" s="63"/>
      <c r="W193" s="80">
        <v>3409839</v>
      </c>
    </row>
    <row r="194" spans="1:23" ht="15.6" x14ac:dyDescent="0.3">
      <c r="A194" s="67" t="s">
        <v>975</v>
      </c>
      <c r="B194" s="69">
        <v>2444430</v>
      </c>
      <c r="C194" s="69" t="s">
        <v>976</v>
      </c>
      <c r="D194" s="69">
        <v>0</v>
      </c>
      <c r="E194" s="70" t="s">
        <v>19</v>
      </c>
      <c r="F194" s="67" t="s">
        <v>1643</v>
      </c>
      <c r="G194" s="71">
        <v>33938</v>
      </c>
      <c r="H194" s="87">
        <v>44889</v>
      </c>
      <c r="I194" s="133">
        <v>21422508.969999999</v>
      </c>
      <c r="J194" s="134">
        <v>3225454.22</v>
      </c>
      <c r="K194" s="125"/>
      <c r="L194" s="74">
        <v>0.18779999999999999</v>
      </c>
      <c r="M194" s="75">
        <v>35181</v>
      </c>
      <c r="N194" s="76">
        <v>14</v>
      </c>
      <c r="O194" s="76"/>
      <c r="P194" s="76"/>
      <c r="Q194" s="76"/>
      <c r="R194" s="67" t="s">
        <v>1556</v>
      </c>
      <c r="S194" s="68">
        <v>890399029</v>
      </c>
      <c r="T194" s="77">
        <v>31850755</v>
      </c>
      <c r="U194" s="78" t="s">
        <v>1718</v>
      </c>
      <c r="V194" s="81"/>
      <c r="W194" s="80">
        <v>2759623</v>
      </c>
    </row>
    <row r="195" spans="1:23" ht="15.6" x14ac:dyDescent="0.3">
      <c r="A195" s="67" t="s">
        <v>977</v>
      </c>
      <c r="B195" s="69">
        <v>6366164</v>
      </c>
      <c r="C195" s="69" t="s">
        <v>978</v>
      </c>
      <c r="D195" s="69">
        <v>0</v>
      </c>
      <c r="E195" s="70" t="s">
        <v>472</v>
      </c>
      <c r="F195" s="67" t="s">
        <v>1643</v>
      </c>
      <c r="G195" s="71">
        <v>34700</v>
      </c>
      <c r="H195" s="72">
        <v>44889</v>
      </c>
      <c r="I195" s="133">
        <v>1910089</v>
      </c>
      <c r="J195" s="134">
        <v>287590.25</v>
      </c>
      <c r="K195" s="125"/>
      <c r="L195" s="74">
        <v>6.7500000000000004E-2</v>
      </c>
      <c r="M195" s="75">
        <v>26236</v>
      </c>
      <c r="N195" s="76">
        <v>14</v>
      </c>
      <c r="O195" s="76"/>
      <c r="P195" s="76"/>
      <c r="Q195" s="76"/>
      <c r="R195" s="67" t="s">
        <v>1556</v>
      </c>
      <c r="S195" s="68">
        <v>890399029</v>
      </c>
      <c r="T195" s="77"/>
      <c r="U195" s="78"/>
      <c r="V195" s="81"/>
      <c r="W195" s="80">
        <v>684581</v>
      </c>
    </row>
    <row r="196" spans="1:23" ht="15.6" x14ac:dyDescent="0.3">
      <c r="A196" s="67" t="s">
        <v>979</v>
      </c>
      <c r="B196" s="69">
        <v>29278635</v>
      </c>
      <c r="C196" s="69" t="s">
        <v>980</v>
      </c>
      <c r="D196" s="69">
        <v>0</v>
      </c>
      <c r="E196" s="70" t="s">
        <v>472</v>
      </c>
      <c r="F196" s="67" t="s">
        <v>1643</v>
      </c>
      <c r="G196" s="71">
        <v>36739</v>
      </c>
      <c r="H196" s="72">
        <v>44889</v>
      </c>
      <c r="I196" s="133">
        <v>3887225.39</v>
      </c>
      <c r="J196" s="134">
        <v>585275.4</v>
      </c>
      <c r="K196" s="125"/>
      <c r="L196" s="74">
        <v>0.13919999999999999</v>
      </c>
      <c r="M196" s="75">
        <v>62877</v>
      </c>
      <c r="N196" s="76">
        <v>14</v>
      </c>
      <c r="O196" s="76"/>
      <c r="P196" s="76"/>
      <c r="Q196" s="76"/>
      <c r="R196" s="67" t="s">
        <v>1556</v>
      </c>
      <c r="S196" s="68">
        <v>890399029</v>
      </c>
      <c r="T196" s="77"/>
      <c r="U196" s="78"/>
      <c r="V196" s="81"/>
      <c r="W196" s="80">
        <v>675578</v>
      </c>
    </row>
    <row r="197" spans="1:23" ht="15.6" x14ac:dyDescent="0.3">
      <c r="A197" s="67" t="s">
        <v>981</v>
      </c>
      <c r="B197" s="69">
        <v>29655686</v>
      </c>
      <c r="C197" s="69" t="s">
        <v>982</v>
      </c>
      <c r="D197" s="69">
        <v>0</v>
      </c>
      <c r="E197" s="70" t="s">
        <v>472</v>
      </c>
      <c r="F197" s="67" t="s">
        <v>1643</v>
      </c>
      <c r="G197" s="71">
        <v>35064</v>
      </c>
      <c r="H197" s="108">
        <v>44889</v>
      </c>
      <c r="I197" s="133">
        <v>6142281.8499999996</v>
      </c>
      <c r="J197" s="134">
        <v>924805.25</v>
      </c>
      <c r="K197" s="125"/>
      <c r="L197" s="74">
        <v>0.14199999999999999</v>
      </c>
      <c r="M197" s="75">
        <v>54103</v>
      </c>
      <c r="N197" s="76">
        <v>14</v>
      </c>
      <c r="O197" s="76"/>
      <c r="P197" s="76"/>
      <c r="Q197" s="76"/>
      <c r="R197" s="67" t="s">
        <v>1556</v>
      </c>
      <c r="S197" s="68">
        <v>890399029</v>
      </c>
      <c r="T197" s="77"/>
      <c r="U197" s="78"/>
      <c r="V197" s="81"/>
      <c r="W197" s="80">
        <v>1046445</v>
      </c>
    </row>
    <row r="198" spans="1:23" ht="16.2" thickBot="1" x14ac:dyDescent="0.35">
      <c r="A198" s="67" t="s">
        <v>983</v>
      </c>
      <c r="B198" s="69">
        <v>29184246</v>
      </c>
      <c r="C198" s="69" t="s">
        <v>984</v>
      </c>
      <c r="D198" s="69">
        <v>0</v>
      </c>
      <c r="E198" s="70" t="s">
        <v>472</v>
      </c>
      <c r="F198" s="67" t="s">
        <v>1643</v>
      </c>
      <c r="G198" s="71">
        <v>34700</v>
      </c>
      <c r="H198" s="86">
        <v>44889</v>
      </c>
      <c r="I198" s="133">
        <v>6321913.3700000001</v>
      </c>
      <c r="J198" s="134">
        <v>951851.26</v>
      </c>
      <c r="K198" s="125"/>
      <c r="L198" s="74">
        <v>0.23949999999999999</v>
      </c>
      <c r="M198" s="75">
        <v>80466</v>
      </c>
      <c r="N198" s="76">
        <v>14</v>
      </c>
      <c r="O198" s="76"/>
      <c r="P198" s="76"/>
      <c r="Q198" s="76"/>
      <c r="R198" s="67" t="s">
        <v>1556</v>
      </c>
      <c r="S198" s="68">
        <v>890399029</v>
      </c>
      <c r="T198" s="77"/>
      <c r="U198" s="78"/>
      <c r="V198" s="81"/>
      <c r="W198" s="80">
        <v>638584</v>
      </c>
    </row>
    <row r="199" spans="1:23" ht="15.6" x14ac:dyDescent="0.3">
      <c r="A199" s="67" t="s">
        <v>985</v>
      </c>
      <c r="B199" s="69">
        <v>20161316</v>
      </c>
      <c r="C199" s="69" t="s">
        <v>986</v>
      </c>
      <c r="D199" s="69">
        <v>0</v>
      </c>
      <c r="E199" s="70" t="s">
        <v>472</v>
      </c>
      <c r="F199" s="67" t="s">
        <v>1643</v>
      </c>
      <c r="G199" s="71">
        <v>73815</v>
      </c>
      <c r="H199" s="87">
        <v>44889</v>
      </c>
      <c r="I199" s="133">
        <v>5293244.3099999996</v>
      </c>
      <c r="J199" s="134">
        <v>796970.94</v>
      </c>
      <c r="K199" s="125"/>
      <c r="L199" s="74">
        <v>0.1244</v>
      </c>
      <c r="M199" s="75">
        <v>14202</v>
      </c>
      <c r="N199" s="76">
        <v>14</v>
      </c>
      <c r="O199" s="76"/>
      <c r="P199" s="76"/>
      <c r="Q199" s="76"/>
      <c r="R199" s="67" t="s">
        <v>1556</v>
      </c>
      <c r="S199" s="68">
        <v>890399029</v>
      </c>
      <c r="T199" s="77"/>
      <c r="U199" s="78"/>
      <c r="V199" s="81"/>
      <c r="W199" s="80">
        <v>1029382</v>
      </c>
    </row>
    <row r="200" spans="1:23" ht="16.2" thickBot="1" x14ac:dyDescent="0.35">
      <c r="A200" s="67" t="s">
        <v>987</v>
      </c>
      <c r="B200" s="69">
        <v>2514674</v>
      </c>
      <c r="C200" s="69" t="s">
        <v>988</v>
      </c>
      <c r="D200" s="69">
        <v>0</v>
      </c>
      <c r="E200" s="70" t="s">
        <v>472</v>
      </c>
      <c r="F200" s="67" t="s">
        <v>1643</v>
      </c>
      <c r="G200" s="71">
        <v>36494</v>
      </c>
      <c r="H200" s="86">
        <v>44889</v>
      </c>
      <c r="I200" s="133">
        <v>20067459.489999998</v>
      </c>
      <c r="J200" s="134">
        <v>3021432.83</v>
      </c>
      <c r="K200" s="125"/>
      <c r="L200" s="74">
        <v>0.67179999999999995</v>
      </c>
      <c r="M200" s="75">
        <v>336982</v>
      </c>
      <c r="N200" s="76">
        <v>14</v>
      </c>
      <c r="O200" s="76"/>
      <c r="P200" s="76"/>
      <c r="Q200" s="76"/>
      <c r="R200" s="67" t="s">
        <v>1556</v>
      </c>
      <c r="S200" s="68">
        <v>890399029</v>
      </c>
      <c r="T200" s="77"/>
      <c r="U200" s="78"/>
      <c r="V200" s="81"/>
      <c r="W200" s="80">
        <v>722649</v>
      </c>
    </row>
    <row r="201" spans="1:23" ht="16.2" thickBot="1" x14ac:dyDescent="0.35">
      <c r="A201" s="67" t="s">
        <v>989</v>
      </c>
      <c r="B201" s="69">
        <v>14939907</v>
      </c>
      <c r="C201" s="69" t="s">
        <v>990</v>
      </c>
      <c r="D201" s="69">
        <v>0</v>
      </c>
      <c r="E201" s="70" t="s">
        <v>472</v>
      </c>
      <c r="F201" s="67" t="s">
        <v>1643</v>
      </c>
      <c r="G201" s="71">
        <v>37378</v>
      </c>
      <c r="H201" s="109">
        <v>44889</v>
      </c>
      <c r="I201" s="133">
        <v>11799197</v>
      </c>
      <c r="J201" s="134">
        <v>1776531.86</v>
      </c>
      <c r="K201" s="125"/>
      <c r="L201" s="74">
        <v>0.12509999999999999</v>
      </c>
      <c r="M201" s="75">
        <v>267108</v>
      </c>
      <c r="N201" s="76">
        <v>14</v>
      </c>
      <c r="O201" s="76"/>
      <c r="P201" s="76"/>
      <c r="Q201" s="76"/>
      <c r="R201" s="67" t="s">
        <v>1556</v>
      </c>
      <c r="S201" s="68">
        <v>890399029</v>
      </c>
      <c r="T201" s="77">
        <v>38999764</v>
      </c>
      <c r="U201" s="78" t="s">
        <v>1719</v>
      </c>
      <c r="V201" s="81"/>
      <c r="W201" s="80">
        <v>2281761</v>
      </c>
    </row>
    <row r="202" spans="1:23" ht="15.6" x14ac:dyDescent="0.3">
      <c r="A202" s="67" t="s">
        <v>991</v>
      </c>
      <c r="B202" s="69">
        <v>6095114</v>
      </c>
      <c r="C202" s="69" t="s">
        <v>992</v>
      </c>
      <c r="D202" s="69">
        <v>0</v>
      </c>
      <c r="E202" s="70" t="s">
        <v>472</v>
      </c>
      <c r="F202" s="67" t="s">
        <v>1643</v>
      </c>
      <c r="G202" s="71">
        <v>37469</v>
      </c>
      <c r="H202" s="87">
        <v>44889</v>
      </c>
      <c r="I202" s="133">
        <v>2077537.51</v>
      </c>
      <c r="J202" s="134">
        <v>312801.93</v>
      </c>
      <c r="K202" s="125"/>
      <c r="L202" s="74">
        <v>3.8800000000000001E-2</v>
      </c>
      <c r="M202" s="75">
        <v>67805</v>
      </c>
      <c r="N202" s="76">
        <v>14</v>
      </c>
      <c r="O202" s="76"/>
      <c r="P202" s="76"/>
      <c r="Q202" s="76"/>
      <c r="R202" s="67" t="s">
        <v>1556</v>
      </c>
      <c r="S202" s="68">
        <v>890399029</v>
      </c>
      <c r="T202" s="77">
        <v>31297710</v>
      </c>
      <c r="U202" s="78" t="s">
        <v>1720</v>
      </c>
      <c r="V202" s="81"/>
      <c r="W202" s="80">
        <v>1295365</v>
      </c>
    </row>
    <row r="203" spans="1:23" ht="15.6" x14ac:dyDescent="0.3">
      <c r="A203" s="67" t="s">
        <v>993</v>
      </c>
      <c r="B203" s="69">
        <v>31258545</v>
      </c>
      <c r="C203" s="69" t="s">
        <v>994</v>
      </c>
      <c r="D203" s="69">
        <v>0</v>
      </c>
      <c r="E203" s="70" t="s">
        <v>19</v>
      </c>
      <c r="F203" s="67" t="s">
        <v>1643</v>
      </c>
      <c r="G203" s="71">
        <v>39479</v>
      </c>
      <c r="H203" s="72">
        <v>44889</v>
      </c>
      <c r="I203" s="133">
        <v>6069610.5599999996</v>
      </c>
      <c r="J203" s="134">
        <v>913863.59</v>
      </c>
      <c r="K203" s="125"/>
      <c r="L203" s="74">
        <v>0.16789999999999999</v>
      </c>
      <c r="M203" s="75">
        <v>369405</v>
      </c>
      <c r="N203" s="76">
        <v>13</v>
      </c>
      <c r="O203" s="76"/>
      <c r="P203" s="76"/>
      <c r="Q203" s="76"/>
      <c r="R203" s="67" t="s">
        <v>1556</v>
      </c>
      <c r="S203" s="68">
        <v>890399029</v>
      </c>
      <c r="T203" s="77"/>
      <c r="U203" s="78"/>
      <c r="V203" s="81"/>
      <c r="W203" s="80">
        <v>874551</v>
      </c>
    </row>
    <row r="204" spans="1:23" ht="15.6" x14ac:dyDescent="0.3">
      <c r="A204" s="67" t="s">
        <v>949</v>
      </c>
      <c r="B204" s="69">
        <v>14970690</v>
      </c>
      <c r="C204" s="69" t="s">
        <v>950</v>
      </c>
      <c r="D204" s="69">
        <v>0</v>
      </c>
      <c r="E204" s="70" t="s">
        <v>472</v>
      </c>
      <c r="F204" s="67" t="s">
        <v>1643</v>
      </c>
      <c r="G204" s="71">
        <v>39753</v>
      </c>
      <c r="H204" s="72">
        <v>44889</v>
      </c>
      <c r="I204" s="133">
        <v>1174164.46</v>
      </c>
      <c r="J204" s="134">
        <v>176786.66</v>
      </c>
      <c r="K204" s="125"/>
      <c r="L204" s="74">
        <v>2.1600000000000001E-2</v>
      </c>
      <c r="M204" s="75">
        <v>71677</v>
      </c>
      <c r="N204" s="76">
        <v>13</v>
      </c>
      <c r="O204" s="76"/>
      <c r="P204" s="76"/>
      <c r="Q204" s="76"/>
      <c r="R204" s="67" t="s">
        <v>1556</v>
      </c>
      <c r="S204" s="68">
        <v>890399029</v>
      </c>
      <c r="T204" s="77"/>
      <c r="U204" s="78"/>
      <c r="V204" s="81"/>
      <c r="W204" s="80">
        <v>1315074</v>
      </c>
    </row>
    <row r="205" spans="1:23" ht="15.6" x14ac:dyDescent="0.3">
      <c r="A205" s="67" t="s">
        <v>997</v>
      </c>
      <c r="B205" s="69">
        <v>19163606</v>
      </c>
      <c r="C205" s="69" t="s">
        <v>998</v>
      </c>
      <c r="D205" s="69">
        <v>0</v>
      </c>
      <c r="E205" s="70" t="s">
        <v>19</v>
      </c>
      <c r="F205" s="67" t="s">
        <v>1643</v>
      </c>
      <c r="G205" s="71">
        <v>39814</v>
      </c>
      <c r="H205" s="72">
        <v>44889</v>
      </c>
      <c r="I205" s="133">
        <v>57006.95</v>
      </c>
      <c r="J205" s="134">
        <v>8583.18</v>
      </c>
      <c r="K205" s="125"/>
      <c r="L205" s="74">
        <v>5.2499999999999998E-2</v>
      </c>
      <c r="M205" s="75">
        <v>71865</v>
      </c>
      <c r="N205" s="76">
        <v>14</v>
      </c>
      <c r="O205" s="76"/>
      <c r="P205" s="76"/>
      <c r="Q205" s="76"/>
      <c r="R205" s="67" t="s">
        <v>1556</v>
      </c>
      <c r="S205" s="68">
        <v>890399029</v>
      </c>
      <c r="T205" s="77"/>
      <c r="U205" s="78"/>
      <c r="V205" s="81"/>
      <c r="W205" s="80">
        <v>26269</v>
      </c>
    </row>
    <row r="206" spans="1:23" ht="15.6" x14ac:dyDescent="0.3">
      <c r="A206" s="67" t="s">
        <v>987</v>
      </c>
      <c r="B206" s="69">
        <v>2514674</v>
      </c>
      <c r="C206" s="69" t="s">
        <v>988</v>
      </c>
      <c r="D206" s="69">
        <v>0</v>
      </c>
      <c r="E206" s="70" t="s">
        <v>472</v>
      </c>
      <c r="F206" s="67" t="s">
        <v>1643</v>
      </c>
      <c r="G206" s="71">
        <v>36494</v>
      </c>
      <c r="H206" s="72">
        <v>44889</v>
      </c>
      <c r="I206" s="133">
        <v>20067459.489999998</v>
      </c>
      <c r="J206" s="134">
        <v>3021432.83</v>
      </c>
      <c r="K206" s="125"/>
      <c r="L206" s="74">
        <v>0.67179999999999995</v>
      </c>
      <c r="M206" s="75">
        <v>29795</v>
      </c>
      <c r="N206" s="76">
        <v>14</v>
      </c>
      <c r="O206" s="76"/>
      <c r="P206" s="76"/>
      <c r="Q206" s="76"/>
      <c r="R206" s="67" t="s">
        <v>1557</v>
      </c>
      <c r="S206" s="68">
        <v>890399030</v>
      </c>
      <c r="T206" s="77"/>
      <c r="U206" s="78"/>
      <c r="V206" s="81"/>
      <c r="W206" s="80">
        <v>722649</v>
      </c>
    </row>
    <row r="207" spans="1:23" ht="15.6" x14ac:dyDescent="0.3">
      <c r="A207" s="67" t="s">
        <v>1001</v>
      </c>
      <c r="B207" s="69">
        <v>885309</v>
      </c>
      <c r="C207" s="69" t="s">
        <v>1002</v>
      </c>
      <c r="D207" s="69">
        <v>0</v>
      </c>
      <c r="E207" s="70" t="s">
        <v>19</v>
      </c>
      <c r="F207" s="67" t="s">
        <v>1643</v>
      </c>
      <c r="G207" s="71">
        <v>30233</v>
      </c>
      <c r="H207" s="72">
        <v>44889</v>
      </c>
      <c r="I207" s="133">
        <v>38549179.369999997</v>
      </c>
      <c r="J207" s="134">
        <v>5804110.6799999997</v>
      </c>
      <c r="K207" s="125"/>
      <c r="L207" s="74">
        <v>0.47039999999999998</v>
      </c>
      <c r="M207" s="75">
        <v>3002</v>
      </c>
      <c r="N207" s="76">
        <v>14</v>
      </c>
      <c r="O207" s="105">
        <v>0.08</v>
      </c>
      <c r="P207" s="76">
        <v>0</v>
      </c>
      <c r="Q207" s="76">
        <v>0</v>
      </c>
      <c r="R207" s="67" t="s">
        <v>1559</v>
      </c>
      <c r="S207" s="68">
        <v>890480059</v>
      </c>
      <c r="T207" s="77">
        <v>22776903</v>
      </c>
      <c r="U207" s="78" t="s">
        <v>1722</v>
      </c>
      <c r="V207" s="97"/>
      <c r="W207" s="80">
        <v>1982544</v>
      </c>
    </row>
    <row r="208" spans="1:23" ht="15.6" x14ac:dyDescent="0.3">
      <c r="A208" s="67" t="s">
        <v>1005</v>
      </c>
      <c r="B208" s="69">
        <v>879733</v>
      </c>
      <c r="C208" s="69" t="s">
        <v>1006</v>
      </c>
      <c r="D208" s="69">
        <v>0</v>
      </c>
      <c r="E208" s="70" t="s">
        <v>19</v>
      </c>
      <c r="F208" s="67" t="s">
        <v>1643</v>
      </c>
      <c r="G208" s="71">
        <v>28856</v>
      </c>
      <c r="H208" s="72">
        <v>44889</v>
      </c>
      <c r="I208" s="133">
        <v>2971248.42</v>
      </c>
      <c r="J208" s="134">
        <v>447362.44</v>
      </c>
      <c r="K208" s="125"/>
      <c r="L208" s="74">
        <v>4.9299999999999997E-2</v>
      </c>
      <c r="M208" s="85">
        <v>658</v>
      </c>
      <c r="N208" s="76">
        <v>14</v>
      </c>
      <c r="O208" s="76">
        <v>0</v>
      </c>
      <c r="P208" s="76">
        <v>0</v>
      </c>
      <c r="Q208" s="76">
        <v>0</v>
      </c>
      <c r="R208" s="67" t="s">
        <v>1559</v>
      </c>
      <c r="S208" s="68">
        <v>890480059</v>
      </c>
      <c r="T208" s="77">
        <v>9081650</v>
      </c>
      <c r="U208" s="78" t="s">
        <v>1723</v>
      </c>
      <c r="V208" s="81"/>
      <c r="W208" s="80">
        <v>1458032</v>
      </c>
    </row>
    <row r="209" spans="1:23" ht="15.6" x14ac:dyDescent="0.3">
      <c r="A209" s="67" t="s">
        <v>1007</v>
      </c>
      <c r="B209" s="69">
        <v>3785112</v>
      </c>
      <c r="C209" s="69" t="s">
        <v>1008</v>
      </c>
      <c r="D209" s="69">
        <v>0</v>
      </c>
      <c r="E209" s="70" t="s">
        <v>19</v>
      </c>
      <c r="F209" s="67" t="s">
        <v>1643</v>
      </c>
      <c r="G209" s="71">
        <v>29582</v>
      </c>
      <c r="H209" s="72">
        <v>44889</v>
      </c>
      <c r="I209" s="133">
        <v>19339988.539999999</v>
      </c>
      <c r="J209" s="134">
        <v>2911902.04</v>
      </c>
      <c r="K209" s="125"/>
      <c r="L209" s="74">
        <v>0.52629999999999999</v>
      </c>
      <c r="M209" s="75">
        <v>7195</v>
      </c>
      <c r="N209" s="76">
        <v>14</v>
      </c>
      <c r="O209" s="76">
        <v>0</v>
      </c>
      <c r="P209" s="76">
        <v>0</v>
      </c>
      <c r="Q209" s="76">
        <v>0</v>
      </c>
      <c r="R209" s="67" t="s">
        <v>1559</v>
      </c>
      <c r="S209" s="68">
        <v>890480059</v>
      </c>
      <c r="T209" s="77">
        <v>22774337</v>
      </c>
      <c r="U209" s="78" t="s">
        <v>1724</v>
      </c>
      <c r="V209" s="81"/>
      <c r="W209" s="80">
        <v>888992</v>
      </c>
    </row>
    <row r="210" spans="1:23" ht="15.6" x14ac:dyDescent="0.3">
      <c r="A210" s="67" t="s">
        <v>1013</v>
      </c>
      <c r="B210" s="69">
        <v>22756862</v>
      </c>
      <c r="C210" s="69" t="s">
        <v>1014</v>
      </c>
      <c r="D210" s="69">
        <v>0</v>
      </c>
      <c r="E210" s="70" t="s">
        <v>722</v>
      </c>
      <c r="F210" s="67" t="s">
        <v>1643</v>
      </c>
      <c r="G210" s="71">
        <v>31758</v>
      </c>
      <c r="H210" s="72">
        <v>44889</v>
      </c>
      <c r="I210" s="133">
        <v>39386479.950000003</v>
      </c>
      <c r="J210" s="134">
        <v>5930177.8300000001</v>
      </c>
      <c r="K210" s="125"/>
      <c r="L210" s="74">
        <v>0.20630000000000001</v>
      </c>
      <c r="M210" s="75">
        <v>28469</v>
      </c>
      <c r="N210" s="76">
        <v>14</v>
      </c>
      <c r="O210" s="76">
        <v>0</v>
      </c>
      <c r="P210" s="76">
        <v>0</v>
      </c>
      <c r="Q210" s="76">
        <v>0</v>
      </c>
      <c r="R210" s="67" t="s">
        <v>1559</v>
      </c>
      <c r="S210" s="68">
        <v>890480059</v>
      </c>
      <c r="T210" s="77"/>
      <c r="U210" s="78"/>
      <c r="V210" s="81"/>
      <c r="W210" s="80">
        <v>4618734</v>
      </c>
    </row>
    <row r="211" spans="1:23" ht="15.6" x14ac:dyDescent="0.3">
      <c r="A211" s="67" t="s">
        <v>1013</v>
      </c>
      <c r="B211" s="69">
        <v>22756862</v>
      </c>
      <c r="C211" s="69" t="s">
        <v>1014</v>
      </c>
      <c r="D211" s="69">
        <v>0</v>
      </c>
      <c r="E211" s="70" t="s">
        <v>722</v>
      </c>
      <c r="F211" s="67" t="s">
        <v>1643</v>
      </c>
      <c r="G211" s="71">
        <v>31758</v>
      </c>
      <c r="H211" s="72">
        <v>44889</v>
      </c>
      <c r="I211" s="133">
        <v>39386479.950000003</v>
      </c>
      <c r="J211" s="134">
        <v>5930177.8300000001</v>
      </c>
      <c r="K211" s="125"/>
      <c r="L211" s="74">
        <v>0.20630000000000001</v>
      </c>
      <c r="M211" s="75">
        <v>336345</v>
      </c>
      <c r="N211" s="76">
        <v>14</v>
      </c>
      <c r="O211" s="76">
        <v>0</v>
      </c>
      <c r="P211" s="76">
        <v>0</v>
      </c>
      <c r="Q211" s="76">
        <v>0</v>
      </c>
      <c r="R211" s="67" t="s">
        <v>1559</v>
      </c>
      <c r="S211" s="68">
        <v>890480059</v>
      </c>
      <c r="T211" s="77"/>
      <c r="U211" s="78"/>
      <c r="V211" s="81"/>
      <c r="W211" s="80">
        <v>4618734</v>
      </c>
    </row>
    <row r="212" spans="1:23" ht="15.6" x14ac:dyDescent="0.3">
      <c r="A212" s="67" t="s">
        <v>1015</v>
      </c>
      <c r="B212" s="69">
        <v>33111862</v>
      </c>
      <c r="C212" s="69" t="s">
        <v>1016</v>
      </c>
      <c r="D212" s="69">
        <v>0</v>
      </c>
      <c r="E212" s="70" t="s">
        <v>19</v>
      </c>
      <c r="F212" s="67" t="s">
        <v>1643</v>
      </c>
      <c r="G212" s="71">
        <v>33938</v>
      </c>
      <c r="H212" s="72">
        <v>44889</v>
      </c>
      <c r="I212" s="133">
        <v>2192634.39</v>
      </c>
      <c r="J212" s="134">
        <v>330131.34999999998</v>
      </c>
      <c r="K212" s="125"/>
      <c r="L212" s="74">
        <v>0.1226</v>
      </c>
      <c r="M212" s="75">
        <v>30681</v>
      </c>
      <c r="N212" s="76">
        <v>14</v>
      </c>
      <c r="O212" s="76">
        <v>0</v>
      </c>
      <c r="P212" s="76">
        <v>0</v>
      </c>
      <c r="Q212" s="76">
        <v>0</v>
      </c>
      <c r="R212" s="67" t="s">
        <v>1559</v>
      </c>
      <c r="S212" s="68">
        <v>890480059</v>
      </c>
      <c r="T212" s="77"/>
      <c r="U212" s="78"/>
      <c r="V212" s="81"/>
      <c r="W212" s="80">
        <v>432664</v>
      </c>
    </row>
    <row r="213" spans="1:23" ht="15.6" x14ac:dyDescent="0.3">
      <c r="A213" s="67" t="s">
        <v>900</v>
      </c>
      <c r="B213" s="69">
        <v>22353595</v>
      </c>
      <c r="C213" s="69" t="s">
        <v>901</v>
      </c>
      <c r="D213" s="69">
        <v>0</v>
      </c>
      <c r="E213" s="70" t="s">
        <v>19</v>
      </c>
      <c r="F213" s="67" t="s">
        <v>1643</v>
      </c>
      <c r="G213" s="71">
        <v>34912</v>
      </c>
      <c r="H213" s="72">
        <v>44889</v>
      </c>
      <c r="I213" s="133">
        <v>176186.56</v>
      </c>
      <c r="J213" s="134">
        <v>26527.32</v>
      </c>
      <c r="K213" s="125"/>
      <c r="L213" s="74">
        <v>2.3E-2</v>
      </c>
      <c r="M213" s="75">
        <v>11080</v>
      </c>
      <c r="N213" s="76">
        <v>14</v>
      </c>
      <c r="O213" s="76">
        <v>0</v>
      </c>
      <c r="P213" s="76">
        <v>0</v>
      </c>
      <c r="Q213" s="76">
        <v>0</v>
      </c>
      <c r="R213" s="67" t="s">
        <v>1559</v>
      </c>
      <c r="S213" s="68">
        <v>890480059</v>
      </c>
      <c r="T213" s="77"/>
      <c r="U213" s="78"/>
      <c r="V213" s="81"/>
      <c r="W213" s="80">
        <v>185319</v>
      </c>
    </row>
    <row r="214" spans="1:23" ht="15.6" x14ac:dyDescent="0.3">
      <c r="A214" s="67" t="s">
        <v>1017</v>
      </c>
      <c r="B214" s="69">
        <v>22994575</v>
      </c>
      <c r="C214" s="69" t="s">
        <v>1018</v>
      </c>
      <c r="D214" s="69">
        <v>0</v>
      </c>
      <c r="E214" s="70" t="s">
        <v>472</v>
      </c>
      <c r="F214" s="67" t="s">
        <v>1643</v>
      </c>
      <c r="G214" s="71">
        <v>27813</v>
      </c>
      <c r="H214" s="72">
        <v>44889</v>
      </c>
      <c r="I214" s="133">
        <v>2470268.5699999998</v>
      </c>
      <c r="J214" s="134">
        <v>371933.01</v>
      </c>
      <c r="K214" s="125"/>
      <c r="L214" s="74">
        <v>0.24779999999999999</v>
      </c>
      <c r="M214" s="75">
        <v>265028</v>
      </c>
      <c r="N214" s="76">
        <v>14</v>
      </c>
      <c r="O214" s="76">
        <v>0</v>
      </c>
      <c r="P214" s="76">
        <v>0</v>
      </c>
      <c r="Q214" s="76">
        <v>0</v>
      </c>
      <c r="R214" s="67" t="s">
        <v>1559</v>
      </c>
      <c r="S214" s="68">
        <v>890480059</v>
      </c>
      <c r="T214" s="77"/>
      <c r="U214" s="78"/>
      <c r="V214" s="81"/>
      <c r="W214" s="80">
        <v>241167</v>
      </c>
    </row>
    <row r="215" spans="1:23" ht="15.6" x14ac:dyDescent="0.3">
      <c r="A215" s="67" t="s">
        <v>1019</v>
      </c>
      <c r="B215" s="69">
        <v>33145334</v>
      </c>
      <c r="C215" s="69" t="s">
        <v>1020</v>
      </c>
      <c r="D215" s="69">
        <v>0</v>
      </c>
      <c r="E215" s="70" t="s">
        <v>722</v>
      </c>
      <c r="F215" s="67" t="s">
        <v>1643</v>
      </c>
      <c r="G215" s="71">
        <v>37834</v>
      </c>
      <c r="H215" s="72">
        <v>44889</v>
      </c>
      <c r="I215" s="133">
        <v>18902888.289999999</v>
      </c>
      <c r="J215" s="134">
        <v>2846090.57</v>
      </c>
      <c r="K215" s="125"/>
      <c r="L215" s="74">
        <v>0.1449</v>
      </c>
      <c r="M215" s="75">
        <v>302671</v>
      </c>
      <c r="N215" s="76">
        <v>14</v>
      </c>
      <c r="O215" s="76">
        <v>0</v>
      </c>
      <c r="P215" s="76">
        <v>0</v>
      </c>
      <c r="Q215" s="76">
        <v>0</v>
      </c>
      <c r="R215" s="67" t="s">
        <v>1559</v>
      </c>
      <c r="S215" s="68">
        <v>890480059</v>
      </c>
      <c r="T215" s="77">
        <v>9063518</v>
      </c>
      <c r="U215" s="78" t="s">
        <v>1725</v>
      </c>
      <c r="V215" s="81"/>
      <c r="W215" s="80">
        <v>3155984</v>
      </c>
    </row>
    <row r="216" spans="1:23" ht="15.6" x14ac:dyDescent="0.3">
      <c r="A216" s="67" t="s">
        <v>1021</v>
      </c>
      <c r="B216" s="69">
        <v>33126409</v>
      </c>
      <c r="C216" s="69" t="s">
        <v>1022</v>
      </c>
      <c r="D216" s="69">
        <v>0</v>
      </c>
      <c r="E216" s="70" t="s">
        <v>21</v>
      </c>
      <c r="F216" s="67" t="s">
        <v>1643</v>
      </c>
      <c r="G216" s="71">
        <v>38224</v>
      </c>
      <c r="H216" s="72"/>
      <c r="I216" s="133">
        <v>4052836.64</v>
      </c>
      <c r="J216" s="134">
        <v>610210.46</v>
      </c>
      <c r="K216" s="125"/>
      <c r="L216" s="74">
        <v>0.12859999999999999</v>
      </c>
      <c r="M216" s="75">
        <v>239600</v>
      </c>
      <c r="N216" s="76">
        <v>14</v>
      </c>
      <c r="O216" s="76">
        <v>0</v>
      </c>
      <c r="P216" s="76">
        <v>0</v>
      </c>
      <c r="Q216" s="76">
        <v>0</v>
      </c>
      <c r="R216" s="67" t="s">
        <v>1559</v>
      </c>
      <c r="S216" s="68">
        <v>890480059</v>
      </c>
      <c r="T216" s="77"/>
      <c r="U216" s="78"/>
      <c r="V216" s="81"/>
      <c r="W216" s="80">
        <v>762418</v>
      </c>
    </row>
    <row r="217" spans="1:23" ht="15.6" x14ac:dyDescent="0.3">
      <c r="A217" s="67" t="s">
        <v>1023</v>
      </c>
      <c r="B217" s="69">
        <v>7448758</v>
      </c>
      <c r="C217" s="69" t="s">
        <v>1024</v>
      </c>
      <c r="D217" s="69">
        <v>0</v>
      </c>
      <c r="E217" s="70" t="s">
        <v>722</v>
      </c>
      <c r="F217" s="67" t="s">
        <v>1643</v>
      </c>
      <c r="G217" s="71">
        <v>38869</v>
      </c>
      <c r="H217" s="72">
        <v>44550</v>
      </c>
      <c r="I217" s="133">
        <v>1032024.96</v>
      </c>
      <c r="J217" s="134">
        <v>155385.59</v>
      </c>
      <c r="K217" s="125"/>
      <c r="L217" s="74">
        <v>7.3999999999999996E-2</v>
      </c>
      <c r="M217" s="75">
        <v>41210</v>
      </c>
      <c r="N217" s="76">
        <v>14</v>
      </c>
      <c r="O217" s="76">
        <v>0</v>
      </c>
      <c r="P217" s="76">
        <v>0</v>
      </c>
      <c r="Q217" s="76">
        <v>0</v>
      </c>
      <c r="R217" s="67" t="s">
        <v>1559</v>
      </c>
      <c r="S217" s="68">
        <v>890480059</v>
      </c>
      <c r="T217" s="77"/>
      <c r="U217" s="78"/>
      <c r="V217" s="81"/>
      <c r="W217" s="80">
        <v>337391</v>
      </c>
    </row>
    <row r="218" spans="1:23" ht="15.6" x14ac:dyDescent="0.3">
      <c r="A218" s="67" t="s">
        <v>1025</v>
      </c>
      <c r="B218" s="69">
        <v>9057951</v>
      </c>
      <c r="C218" s="69" t="s">
        <v>1026</v>
      </c>
      <c r="D218" s="69">
        <v>0</v>
      </c>
      <c r="E218" s="70" t="s">
        <v>722</v>
      </c>
      <c r="F218" s="67" t="s">
        <v>1643</v>
      </c>
      <c r="G218" s="71">
        <v>38899</v>
      </c>
      <c r="H218" s="72">
        <v>44550</v>
      </c>
      <c r="I218" s="133">
        <v>320366.18</v>
      </c>
      <c r="J218" s="134">
        <v>48235.55</v>
      </c>
      <c r="K218" s="125"/>
      <c r="L218" s="74">
        <v>9.4000000000000004E-3</v>
      </c>
      <c r="M218" s="75">
        <v>20024</v>
      </c>
      <c r="N218" s="76">
        <v>14</v>
      </c>
      <c r="O218" s="76">
        <v>0</v>
      </c>
      <c r="P218" s="76">
        <v>0</v>
      </c>
      <c r="Q218" s="76">
        <v>0</v>
      </c>
      <c r="R218" s="67" t="s">
        <v>1559</v>
      </c>
      <c r="S218" s="68">
        <v>890480059</v>
      </c>
      <c r="T218" s="77"/>
      <c r="U218" s="78"/>
      <c r="V218" s="81"/>
      <c r="W218" s="80">
        <v>824506</v>
      </c>
    </row>
    <row r="219" spans="1:23" ht="15.6" x14ac:dyDescent="0.3">
      <c r="A219" s="67" t="s">
        <v>1029</v>
      </c>
      <c r="B219" s="69">
        <v>8273847</v>
      </c>
      <c r="C219" s="69" t="s">
        <v>1030</v>
      </c>
      <c r="D219" s="69">
        <v>0</v>
      </c>
      <c r="E219" s="70" t="s">
        <v>722</v>
      </c>
      <c r="F219" s="67" t="s">
        <v>1643</v>
      </c>
      <c r="G219" s="71">
        <v>38976</v>
      </c>
      <c r="H219" s="72">
        <v>44550</v>
      </c>
      <c r="I219" s="133">
        <v>207959.76</v>
      </c>
      <c r="J219" s="134">
        <v>31311.21</v>
      </c>
      <c r="K219" s="125"/>
      <c r="L219" s="74">
        <v>3.44E-2</v>
      </c>
      <c r="M219" s="75">
        <v>56099</v>
      </c>
      <c r="N219" s="76">
        <v>14</v>
      </c>
      <c r="O219" s="76">
        <v>0</v>
      </c>
      <c r="P219" s="76">
        <v>0</v>
      </c>
      <c r="Q219" s="76">
        <v>0</v>
      </c>
      <c r="R219" s="67" t="s">
        <v>1559</v>
      </c>
      <c r="S219" s="68">
        <v>890480059</v>
      </c>
      <c r="T219" s="77"/>
      <c r="U219" s="78"/>
      <c r="V219" s="81"/>
      <c r="W219" s="80">
        <v>146250</v>
      </c>
    </row>
    <row r="220" spans="1:23" ht="15.6" x14ac:dyDescent="0.3">
      <c r="A220" s="67" t="s">
        <v>1031</v>
      </c>
      <c r="B220" s="69">
        <v>9061063</v>
      </c>
      <c r="C220" s="69" t="s">
        <v>1032</v>
      </c>
      <c r="D220" s="69">
        <v>0</v>
      </c>
      <c r="E220" s="70" t="s">
        <v>722</v>
      </c>
      <c r="F220" s="67" t="s">
        <v>1643</v>
      </c>
      <c r="G220" s="71">
        <v>38991</v>
      </c>
      <c r="H220" s="72"/>
      <c r="I220" s="133">
        <v>6323908.9500000002</v>
      </c>
      <c r="J220" s="134">
        <v>952151.72</v>
      </c>
      <c r="K220" s="125"/>
      <c r="L220" s="74">
        <v>0.18329999999999999</v>
      </c>
      <c r="M220" s="75">
        <v>373426</v>
      </c>
      <c r="N220" s="76">
        <v>14</v>
      </c>
      <c r="O220" s="76">
        <v>0</v>
      </c>
      <c r="P220" s="76">
        <v>0</v>
      </c>
      <c r="Q220" s="76">
        <v>0</v>
      </c>
      <c r="R220" s="67" t="s">
        <v>1559</v>
      </c>
      <c r="S220" s="68">
        <v>890480059</v>
      </c>
      <c r="T220" s="77"/>
      <c r="U220" s="78"/>
      <c r="V220" s="81"/>
      <c r="W220" s="80">
        <v>834638</v>
      </c>
    </row>
    <row r="221" spans="1:23" ht="15.6" x14ac:dyDescent="0.3">
      <c r="A221" s="67" t="s">
        <v>538</v>
      </c>
      <c r="B221" s="69">
        <v>9063135</v>
      </c>
      <c r="C221" s="69" t="s">
        <v>539</v>
      </c>
      <c r="D221" s="69">
        <v>0</v>
      </c>
      <c r="E221" s="70" t="s">
        <v>19</v>
      </c>
      <c r="F221" s="67" t="s">
        <v>1643</v>
      </c>
      <c r="G221" s="71">
        <v>39052</v>
      </c>
      <c r="H221" s="72">
        <v>43949</v>
      </c>
      <c r="I221" s="133">
        <v>4945455.93</v>
      </c>
      <c r="J221" s="134">
        <v>744606.61</v>
      </c>
      <c r="K221" s="125"/>
      <c r="L221" s="74">
        <v>0.11360000000000001</v>
      </c>
      <c r="M221" s="75">
        <v>248344</v>
      </c>
      <c r="N221" s="76">
        <v>14</v>
      </c>
      <c r="O221" s="76">
        <v>0</v>
      </c>
      <c r="P221" s="76">
        <v>0</v>
      </c>
      <c r="Q221" s="76">
        <v>0</v>
      </c>
      <c r="R221" s="67" t="s">
        <v>1559</v>
      </c>
      <c r="S221" s="68">
        <v>890480059</v>
      </c>
      <c r="T221" s="77"/>
      <c r="U221" s="78"/>
      <c r="V221" s="81"/>
      <c r="W221" s="80">
        <v>1053181</v>
      </c>
    </row>
    <row r="222" spans="1:23" ht="15.6" x14ac:dyDescent="0.3">
      <c r="A222" s="67" t="s">
        <v>1033</v>
      </c>
      <c r="B222" s="69">
        <v>9072868</v>
      </c>
      <c r="C222" s="69" t="s">
        <v>1034</v>
      </c>
      <c r="D222" s="69">
        <v>0</v>
      </c>
      <c r="E222" s="70" t="s">
        <v>19</v>
      </c>
      <c r="F222" s="67" t="s">
        <v>1643</v>
      </c>
      <c r="G222" s="71">
        <v>39315</v>
      </c>
      <c r="H222" s="72"/>
      <c r="I222" s="133">
        <v>1303669.83</v>
      </c>
      <c r="J222" s="134">
        <v>196285.48</v>
      </c>
      <c r="K222" s="125"/>
      <c r="L222" s="74">
        <v>0.44350000000000001</v>
      </c>
      <c r="M222" s="75">
        <v>735025</v>
      </c>
      <c r="N222" s="76">
        <v>14</v>
      </c>
      <c r="O222" s="76">
        <v>0</v>
      </c>
      <c r="P222" s="76">
        <v>0</v>
      </c>
      <c r="Q222" s="76">
        <v>0</v>
      </c>
      <c r="R222" s="67" t="s">
        <v>1559</v>
      </c>
      <c r="S222" s="68">
        <v>890480059</v>
      </c>
      <c r="T222" s="77"/>
      <c r="U222" s="78"/>
      <c r="V222" s="81"/>
      <c r="W222" s="80">
        <v>71113</v>
      </c>
    </row>
    <row r="223" spans="1:23" ht="15.6" x14ac:dyDescent="0.3">
      <c r="A223" s="67" t="s">
        <v>1013</v>
      </c>
      <c r="B223" s="69">
        <v>22756862</v>
      </c>
      <c r="C223" s="69" t="s">
        <v>1014</v>
      </c>
      <c r="D223" s="69">
        <v>0</v>
      </c>
      <c r="E223" s="70" t="s">
        <v>19</v>
      </c>
      <c r="F223" s="67" t="s">
        <v>1643</v>
      </c>
      <c r="G223" s="71">
        <v>31758</v>
      </c>
      <c r="H223" s="72"/>
      <c r="I223" s="133">
        <v>39386479.950000003</v>
      </c>
      <c r="J223" s="134">
        <v>5930177.8300000001</v>
      </c>
      <c r="K223" s="125"/>
      <c r="L223" s="74">
        <v>0.20630000000000001</v>
      </c>
      <c r="M223" s="75">
        <v>14378</v>
      </c>
      <c r="N223" s="76">
        <v>14</v>
      </c>
      <c r="O223" s="76"/>
      <c r="P223" s="76"/>
      <c r="Q223" s="76"/>
      <c r="R223" s="67" t="s">
        <v>1560</v>
      </c>
      <c r="S223" s="68">
        <v>890480123</v>
      </c>
      <c r="T223" s="77"/>
      <c r="U223" s="78"/>
      <c r="V223" s="81"/>
      <c r="W223" s="80">
        <v>4618734</v>
      </c>
    </row>
    <row r="224" spans="1:23" ht="15.6" x14ac:dyDescent="0.3">
      <c r="A224" s="67" t="s">
        <v>538</v>
      </c>
      <c r="B224" s="69">
        <v>9063135</v>
      </c>
      <c r="C224" s="69" t="s">
        <v>539</v>
      </c>
      <c r="D224" s="69">
        <v>0</v>
      </c>
      <c r="E224" s="70" t="s">
        <v>19</v>
      </c>
      <c r="F224" s="67" t="s">
        <v>1643</v>
      </c>
      <c r="G224" s="71">
        <v>39052</v>
      </c>
      <c r="H224" s="72"/>
      <c r="I224" s="133">
        <v>4945455.93</v>
      </c>
      <c r="J224" s="134">
        <v>744606.61</v>
      </c>
      <c r="K224" s="125"/>
      <c r="L224" s="74">
        <v>0.11360000000000001</v>
      </c>
      <c r="M224" s="75">
        <v>96190</v>
      </c>
      <c r="N224" s="76">
        <v>14</v>
      </c>
      <c r="O224" s="76"/>
      <c r="P224" s="76"/>
      <c r="Q224" s="76"/>
      <c r="R224" s="67" t="s">
        <v>1560</v>
      </c>
      <c r="S224" s="68">
        <v>890480123</v>
      </c>
      <c r="T224" s="77"/>
      <c r="U224" s="78"/>
      <c r="V224" s="81"/>
      <c r="W224" s="80">
        <v>1053181</v>
      </c>
    </row>
    <row r="225" spans="1:23" ht="15.6" x14ac:dyDescent="0.3">
      <c r="A225" s="67" t="s">
        <v>1037</v>
      </c>
      <c r="B225" s="69">
        <v>29655504</v>
      </c>
      <c r="C225" s="69" t="s">
        <v>1038</v>
      </c>
      <c r="D225" s="69">
        <v>0</v>
      </c>
      <c r="E225" s="70" t="s">
        <v>722</v>
      </c>
      <c r="F225" s="67" t="s">
        <v>1643</v>
      </c>
      <c r="G225" s="71">
        <v>34326</v>
      </c>
      <c r="H225" s="72"/>
      <c r="I225" s="133">
        <v>1144747.17</v>
      </c>
      <c r="J225" s="134">
        <v>172357.48</v>
      </c>
      <c r="K225" s="125"/>
      <c r="L225" s="74">
        <v>2.2100000000000002E-2</v>
      </c>
      <c r="M225" s="75">
        <v>13746</v>
      </c>
      <c r="N225" s="76">
        <v>14</v>
      </c>
      <c r="O225" s="76"/>
      <c r="P225" s="76"/>
      <c r="Q225" s="76"/>
      <c r="R225" s="67" t="s">
        <v>1561</v>
      </c>
      <c r="S225" s="68">
        <v>890481149</v>
      </c>
      <c r="T225" s="77"/>
      <c r="U225" s="78"/>
      <c r="V225" s="81"/>
      <c r="W225" s="80">
        <v>1253119</v>
      </c>
    </row>
    <row r="226" spans="1:23" ht="15.6" x14ac:dyDescent="0.3">
      <c r="A226" s="67" t="s">
        <v>1041</v>
      </c>
      <c r="B226" s="69">
        <v>17061815</v>
      </c>
      <c r="C226" s="69" t="s">
        <v>1042</v>
      </c>
      <c r="D226" s="69">
        <v>0</v>
      </c>
      <c r="E226" s="70" t="s">
        <v>592</v>
      </c>
      <c r="F226" s="67" t="s">
        <v>1643</v>
      </c>
      <c r="G226" s="71">
        <v>35431</v>
      </c>
      <c r="H226" s="72"/>
      <c r="I226" s="133">
        <v>2769659.78</v>
      </c>
      <c r="J226" s="134">
        <v>417010.48</v>
      </c>
      <c r="K226" s="125"/>
      <c r="L226" s="74">
        <v>7.9699999999999993E-2</v>
      </c>
      <c r="M226" s="75">
        <v>66448</v>
      </c>
      <c r="N226" s="76">
        <v>14</v>
      </c>
      <c r="O226" s="76"/>
      <c r="P226" s="76"/>
      <c r="Q226" s="76"/>
      <c r="R226" s="67" t="s">
        <v>1562</v>
      </c>
      <c r="S226" s="68">
        <v>890500622</v>
      </c>
      <c r="T226" s="77"/>
      <c r="U226" s="78"/>
      <c r="V226" s="81"/>
      <c r="W226" s="80">
        <v>840704</v>
      </c>
    </row>
    <row r="227" spans="1:23" ht="15.6" x14ac:dyDescent="0.3">
      <c r="A227" s="67" t="s">
        <v>1043</v>
      </c>
      <c r="B227" s="69">
        <v>37217740</v>
      </c>
      <c r="C227" s="69" t="s">
        <v>1044</v>
      </c>
      <c r="D227" s="69">
        <v>0</v>
      </c>
      <c r="E227" s="70" t="s">
        <v>592</v>
      </c>
      <c r="F227" s="67" t="s">
        <v>1643</v>
      </c>
      <c r="G227" s="71">
        <v>35431</v>
      </c>
      <c r="H227" s="72"/>
      <c r="I227" s="133">
        <v>941031.08</v>
      </c>
      <c r="J227" s="134">
        <v>141685.21</v>
      </c>
      <c r="K227" s="125"/>
      <c r="L227" s="74">
        <v>0.1152</v>
      </c>
      <c r="M227" s="75">
        <v>81710</v>
      </c>
      <c r="N227" s="76">
        <v>14</v>
      </c>
      <c r="O227" s="76"/>
      <c r="P227" s="76"/>
      <c r="Q227" s="76"/>
      <c r="R227" s="67" t="s">
        <v>1563</v>
      </c>
      <c r="S227" s="68">
        <v>890500641</v>
      </c>
      <c r="T227" s="77"/>
      <c r="U227" s="78"/>
      <c r="V227" s="81"/>
      <c r="W227" s="80">
        <v>197618</v>
      </c>
    </row>
    <row r="228" spans="1:23" ht="15.6" x14ac:dyDescent="0.3">
      <c r="A228" s="67" t="s">
        <v>1047</v>
      </c>
      <c r="B228" s="69">
        <v>5392125</v>
      </c>
      <c r="C228" s="69" t="s">
        <v>1048</v>
      </c>
      <c r="D228" s="69">
        <v>0</v>
      </c>
      <c r="E228" s="70" t="s">
        <v>472</v>
      </c>
      <c r="F228" s="67" t="s">
        <v>1643</v>
      </c>
      <c r="G228" s="71">
        <v>38614</v>
      </c>
      <c r="H228" s="72"/>
      <c r="I228" s="133">
        <v>2431774.5099999998</v>
      </c>
      <c r="J228" s="134">
        <v>366137.2</v>
      </c>
      <c r="K228" s="125"/>
      <c r="L228" s="74">
        <v>3.2599999999999997E-2</v>
      </c>
      <c r="M228" s="75">
        <v>24171</v>
      </c>
      <c r="N228" s="76">
        <v>14</v>
      </c>
      <c r="O228" s="76"/>
      <c r="P228" s="76"/>
      <c r="Q228" s="76"/>
      <c r="R228" s="67" t="s">
        <v>1565</v>
      </c>
      <c r="S228" s="68">
        <v>890501434</v>
      </c>
      <c r="T228" s="77">
        <v>37223760</v>
      </c>
      <c r="U228" s="78" t="s">
        <v>1726</v>
      </c>
      <c r="V228" s="81"/>
      <c r="W228" s="80">
        <v>1804599</v>
      </c>
    </row>
    <row r="229" spans="1:23" ht="15.6" x14ac:dyDescent="0.3">
      <c r="A229" s="67" t="s">
        <v>486</v>
      </c>
      <c r="B229" s="69">
        <v>2244039</v>
      </c>
      <c r="C229" s="69" t="s">
        <v>487</v>
      </c>
      <c r="D229" s="69">
        <v>0</v>
      </c>
      <c r="E229" s="70" t="s">
        <v>472</v>
      </c>
      <c r="F229" s="67" t="s">
        <v>1643</v>
      </c>
      <c r="G229" s="71">
        <v>25797</v>
      </c>
      <c r="H229" s="72"/>
      <c r="I229" s="133">
        <v>8022865.5099999998</v>
      </c>
      <c r="J229" s="134">
        <v>1207953.06</v>
      </c>
      <c r="K229" s="125"/>
      <c r="L229" s="74">
        <v>7.9200000000000007E-2</v>
      </c>
      <c r="M229" s="75">
        <v>3209</v>
      </c>
      <c r="N229" s="76">
        <v>14</v>
      </c>
      <c r="O229" s="76"/>
      <c r="P229" s="76"/>
      <c r="Q229" s="76"/>
      <c r="R229" s="67" t="s">
        <v>1566</v>
      </c>
      <c r="S229" s="68">
        <v>890700961</v>
      </c>
      <c r="T229" s="77">
        <v>28971602</v>
      </c>
      <c r="U229" s="78" t="s">
        <v>1654</v>
      </c>
      <c r="V229" s="81"/>
      <c r="W229" s="80">
        <v>2450639</v>
      </c>
    </row>
    <row r="230" spans="1:23" ht="15.6" x14ac:dyDescent="0.3">
      <c r="A230" s="67" t="s">
        <v>486</v>
      </c>
      <c r="B230" s="69">
        <v>2244039</v>
      </c>
      <c r="C230" s="69" t="s">
        <v>487</v>
      </c>
      <c r="D230" s="69">
        <v>0</v>
      </c>
      <c r="E230" s="70" t="s">
        <v>19</v>
      </c>
      <c r="F230" s="67" t="s">
        <v>1643</v>
      </c>
      <c r="G230" s="71">
        <v>25797</v>
      </c>
      <c r="H230" s="72"/>
      <c r="I230" s="133">
        <v>8022865.5099999998</v>
      </c>
      <c r="J230" s="134">
        <v>1207953.06</v>
      </c>
      <c r="K230" s="125"/>
      <c r="L230" s="74">
        <v>7.9200000000000007E-2</v>
      </c>
      <c r="M230" s="104">
        <v>19948</v>
      </c>
      <c r="N230" s="76">
        <v>14</v>
      </c>
      <c r="O230" s="76"/>
      <c r="P230" s="76"/>
      <c r="Q230" s="76"/>
      <c r="R230" s="67" t="s">
        <v>1567</v>
      </c>
      <c r="S230" s="68">
        <v>890702015</v>
      </c>
      <c r="T230" s="77">
        <v>28971602</v>
      </c>
      <c r="U230" s="78" t="s">
        <v>1654</v>
      </c>
      <c r="V230" s="81"/>
      <c r="W230" s="80">
        <v>2450639</v>
      </c>
    </row>
    <row r="231" spans="1:23" ht="15.6" x14ac:dyDescent="0.3">
      <c r="A231" s="67" t="s">
        <v>486</v>
      </c>
      <c r="B231" s="69">
        <v>2244039</v>
      </c>
      <c r="C231" s="69" t="s">
        <v>487</v>
      </c>
      <c r="D231" s="69">
        <v>0</v>
      </c>
      <c r="E231" s="70" t="s">
        <v>19</v>
      </c>
      <c r="F231" s="67" t="s">
        <v>1643</v>
      </c>
      <c r="G231" s="71">
        <v>25797</v>
      </c>
      <c r="H231" s="72"/>
      <c r="I231" s="133">
        <v>8022865.5099999998</v>
      </c>
      <c r="J231" s="134">
        <v>1207953.06</v>
      </c>
      <c r="K231" s="125"/>
      <c r="L231" s="74">
        <v>7.9200000000000007E-2</v>
      </c>
      <c r="M231" s="75">
        <v>6080</v>
      </c>
      <c r="N231" s="76">
        <v>14</v>
      </c>
      <c r="O231" s="76"/>
      <c r="P231" s="76"/>
      <c r="Q231" s="76"/>
      <c r="R231" s="67" t="s">
        <v>1568</v>
      </c>
      <c r="S231" s="68">
        <v>890702034</v>
      </c>
      <c r="T231" s="77">
        <v>28971602</v>
      </c>
      <c r="U231" s="78" t="s">
        <v>1654</v>
      </c>
      <c r="V231" s="63"/>
      <c r="W231" s="80">
        <v>2450639</v>
      </c>
    </row>
    <row r="232" spans="1:23" ht="15.6" x14ac:dyDescent="0.3">
      <c r="A232" s="67" t="s">
        <v>613</v>
      </c>
      <c r="B232" s="69">
        <v>28505549</v>
      </c>
      <c r="C232" s="69" t="s">
        <v>1053</v>
      </c>
      <c r="D232" s="69">
        <v>0</v>
      </c>
      <c r="E232" s="70" t="s">
        <v>472</v>
      </c>
      <c r="F232" s="67" t="s">
        <v>1643</v>
      </c>
      <c r="G232" s="71">
        <v>28897</v>
      </c>
      <c r="H232" s="72"/>
      <c r="I232" s="133">
        <v>34911051.200000003</v>
      </c>
      <c r="J232" s="134">
        <v>5256340.3</v>
      </c>
      <c r="K232" s="130"/>
      <c r="L232" s="74">
        <v>0.35099999999999998</v>
      </c>
      <c r="M232" s="85">
        <v>596</v>
      </c>
      <c r="N232" s="76">
        <v>14</v>
      </c>
      <c r="O232" s="76"/>
      <c r="P232" s="76"/>
      <c r="Q232" s="76"/>
      <c r="R232" s="67" t="s">
        <v>1513</v>
      </c>
      <c r="S232" s="68">
        <v>890706355</v>
      </c>
      <c r="T232" s="77">
        <v>1796134</v>
      </c>
      <c r="U232" s="78" t="s">
        <v>1671</v>
      </c>
      <c r="V232" s="81"/>
      <c r="W232" s="80">
        <v>2406195</v>
      </c>
    </row>
    <row r="233" spans="1:23" ht="15.6" x14ac:dyDescent="0.3">
      <c r="A233" s="67" t="s">
        <v>1054</v>
      </c>
      <c r="B233" s="69">
        <v>4311170</v>
      </c>
      <c r="C233" s="69" t="s">
        <v>1055</v>
      </c>
      <c r="D233" s="69">
        <v>0</v>
      </c>
      <c r="E233" s="70" t="s">
        <v>472</v>
      </c>
      <c r="F233" s="67" t="s">
        <v>1643</v>
      </c>
      <c r="G233" s="71">
        <v>33298</v>
      </c>
      <c r="H233" s="72"/>
      <c r="I233" s="133">
        <v>6211727</v>
      </c>
      <c r="J233" s="134">
        <v>935261.18</v>
      </c>
      <c r="K233" s="125"/>
      <c r="L233" s="74">
        <v>0.12429999999999999</v>
      </c>
      <c r="M233" s="75">
        <v>44094</v>
      </c>
      <c r="N233" s="76">
        <v>14</v>
      </c>
      <c r="O233" s="105">
        <v>0.08</v>
      </c>
      <c r="P233" s="83">
        <v>354851</v>
      </c>
      <c r="Q233" s="76">
        <v>0</v>
      </c>
      <c r="R233" s="67" t="s">
        <v>1569</v>
      </c>
      <c r="S233" s="68">
        <v>890800128</v>
      </c>
      <c r="T233" s="77">
        <v>24282839</v>
      </c>
      <c r="U233" s="78" t="s">
        <v>1727</v>
      </c>
      <c r="V233" s="63"/>
      <c r="W233" s="80">
        <v>1208972</v>
      </c>
    </row>
    <row r="234" spans="1:23" ht="15.6" x14ac:dyDescent="0.3">
      <c r="A234" s="67" t="s">
        <v>1057</v>
      </c>
      <c r="B234" s="69">
        <v>19095432</v>
      </c>
      <c r="C234" s="69" t="s">
        <v>1058</v>
      </c>
      <c r="D234" s="69">
        <v>0</v>
      </c>
      <c r="E234" s="70" t="s">
        <v>472</v>
      </c>
      <c r="F234" s="67" t="s">
        <v>1643</v>
      </c>
      <c r="G234" s="71">
        <v>38783</v>
      </c>
      <c r="H234" s="72"/>
      <c r="I234" s="133">
        <v>6245278.1900000004</v>
      </c>
      <c r="J234" s="134">
        <v>940312.78</v>
      </c>
      <c r="K234" s="125"/>
      <c r="L234" s="74">
        <v>6.0299999999999999E-2</v>
      </c>
      <c r="M234" s="75">
        <v>177516</v>
      </c>
      <c r="N234" s="76">
        <v>14</v>
      </c>
      <c r="O234" s="76">
        <v>0</v>
      </c>
      <c r="P234" s="83">
        <v>2943878</v>
      </c>
      <c r="Q234" s="83">
        <v>4349057</v>
      </c>
      <c r="R234" s="67" t="s">
        <v>1569</v>
      </c>
      <c r="S234" s="68">
        <v>890800128</v>
      </c>
      <c r="T234" s="77"/>
      <c r="U234" s="78"/>
      <c r="V234" s="81"/>
      <c r="W234" s="80">
        <v>2505587</v>
      </c>
    </row>
    <row r="235" spans="1:23" ht="15.6" x14ac:dyDescent="0.3">
      <c r="A235" s="67" t="s">
        <v>1072</v>
      </c>
      <c r="B235" s="146">
        <v>1195034</v>
      </c>
      <c r="C235" s="69" t="s">
        <v>1073</v>
      </c>
      <c r="D235" s="69">
        <v>0</v>
      </c>
      <c r="E235" s="70" t="s">
        <v>472</v>
      </c>
      <c r="F235" s="67" t="s">
        <v>1643</v>
      </c>
      <c r="G235" s="71">
        <v>29561</v>
      </c>
      <c r="H235" s="72"/>
      <c r="I235" s="133">
        <v>15273033.16</v>
      </c>
      <c r="J235" s="134">
        <v>2299565.81</v>
      </c>
      <c r="K235" s="125"/>
      <c r="L235" s="74">
        <v>0.23599999999999999</v>
      </c>
      <c r="M235" s="75">
        <v>4537</v>
      </c>
      <c r="N235" s="76">
        <v>14</v>
      </c>
      <c r="O235" s="76">
        <v>0</v>
      </c>
      <c r="P235" s="83">
        <v>19229</v>
      </c>
      <c r="Q235" s="76">
        <v>0</v>
      </c>
      <c r="R235" s="67" t="s">
        <v>1571</v>
      </c>
      <c r="S235" s="68">
        <v>890801052</v>
      </c>
      <c r="T235" s="77">
        <v>24251761</v>
      </c>
      <c r="U235" s="78" t="s">
        <v>1733</v>
      </c>
      <c r="V235" s="81"/>
      <c r="W235" s="80">
        <v>1565627</v>
      </c>
    </row>
    <row r="236" spans="1:23" ht="15.6" x14ac:dyDescent="0.3">
      <c r="A236" s="67" t="s">
        <v>684</v>
      </c>
      <c r="B236" s="146">
        <v>144109</v>
      </c>
      <c r="C236" s="69" t="s">
        <v>685</v>
      </c>
      <c r="D236" s="69">
        <v>0</v>
      </c>
      <c r="E236" s="70" t="s">
        <v>19</v>
      </c>
      <c r="F236" s="67" t="s">
        <v>1643</v>
      </c>
      <c r="G236" s="71">
        <v>30162</v>
      </c>
      <c r="H236" s="72"/>
      <c r="I236" s="133">
        <v>3793003.64</v>
      </c>
      <c r="J236" s="134">
        <v>571089.02</v>
      </c>
      <c r="K236" s="125"/>
      <c r="L236" s="74">
        <v>6.3200000000000006E-2</v>
      </c>
      <c r="M236" s="75">
        <v>15720</v>
      </c>
      <c r="N236" s="76">
        <v>14</v>
      </c>
      <c r="O236" s="76">
        <v>0</v>
      </c>
      <c r="P236" s="83">
        <v>15720</v>
      </c>
      <c r="Q236" s="76">
        <v>0</v>
      </c>
      <c r="R236" s="67" t="s">
        <v>1571</v>
      </c>
      <c r="S236" s="68">
        <v>890801052</v>
      </c>
      <c r="T236" s="77">
        <v>20128658</v>
      </c>
      <c r="U236" s="78" t="s">
        <v>1680</v>
      </c>
      <c r="V236" s="81"/>
      <c r="W236" s="80">
        <v>1451915</v>
      </c>
    </row>
    <row r="237" spans="1:23" ht="15.6" x14ac:dyDescent="0.3">
      <c r="A237" s="67" t="s">
        <v>1074</v>
      </c>
      <c r="B237" s="146">
        <v>1386374</v>
      </c>
      <c r="C237" s="69" t="s">
        <v>1075</v>
      </c>
      <c r="D237" s="69">
        <v>0</v>
      </c>
      <c r="E237" s="70" t="s">
        <v>19</v>
      </c>
      <c r="F237" s="67" t="s">
        <v>1643</v>
      </c>
      <c r="G237" s="71">
        <v>23676</v>
      </c>
      <c r="H237" s="72"/>
      <c r="I237" s="133">
        <v>15637221.109999999</v>
      </c>
      <c r="J237" s="134">
        <v>2354399.33</v>
      </c>
      <c r="K237" s="125"/>
      <c r="L237" s="74">
        <v>0.17749999999999999</v>
      </c>
      <c r="M237" s="75">
        <v>8624</v>
      </c>
      <c r="N237" s="76">
        <v>14</v>
      </c>
      <c r="O237" s="76">
        <v>0</v>
      </c>
      <c r="P237" s="83">
        <v>48586</v>
      </c>
      <c r="Q237" s="76">
        <v>0</v>
      </c>
      <c r="R237" s="67" t="s">
        <v>1571</v>
      </c>
      <c r="S237" s="68">
        <v>890801052</v>
      </c>
      <c r="T237" s="77">
        <v>41471964</v>
      </c>
      <c r="U237" s="78" t="s">
        <v>1734</v>
      </c>
      <c r="V237" s="81"/>
      <c r="W237" s="80">
        <v>2131259</v>
      </c>
    </row>
    <row r="238" spans="1:23" ht="15.6" x14ac:dyDescent="0.3">
      <c r="A238" s="67" t="s">
        <v>644</v>
      </c>
      <c r="B238" s="146">
        <v>4316056</v>
      </c>
      <c r="C238" s="69" t="s">
        <v>645</v>
      </c>
      <c r="D238" s="69">
        <v>0</v>
      </c>
      <c r="E238" s="70" t="s">
        <v>472</v>
      </c>
      <c r="F238" s="67" t="s">
        <v>1643</v>
      </c>
      <c r="G238" s="71">
        <v>32629</v>
      </c>
      <c r="H238" s="72"/>
      <c r="I238" s="133">
        <v>32237731.760000002</v>
      </c>
      <c r="J238" s="134">
        <v>4853835.1900000004</v>
      </c>
      <c r="K238" s="125"/>
      <c r="L238" s="74">
        <v>0.28439999999999999</v>
      </c>
      <c r="M238" s="75">
        <v>3410</v>
      </c>
      <c r="N238" s="76">
        <v>14</v>
      </c>
      <c r="O238" s="76">
        <v>0</v>
      </c>
      <c r="P238" s="83">
        <v>132270</v>
      </c>
      <c r="Q238" s="76">
        <v>0</v>
      </c>
      <c r="R238" s="67" t="s">
        <v>1571</v>
      </c>
      <c r="S238" s="68">
        <v>890801052</v>
      </c>
      <c r="T238" s="77"/>
      <c r="U238" s="78"/>
      <c r="V238" s="81"/>
      <c r="W238" s="80">
        <v>2742268</v>
      </c>
    </row>
    <row r="239" spans="1:23" ht="15.6" x14ac:dyDescent="0.3">
      <c r="A239" s="67" t="s">
        <v>1076</v>
      </c>
      <c r="B239" s="146">
        <v>29371609</v>
      </c>
      <c r="C239" s="69" t="s">
        <v>1077</v>
      </c>
      <c r="D239" s="69">
        <v>0</v>
      </c>
      <c r="E239" s="70" t="s">
        <v>19</v>
      </c>
      <c r="F239" s="67" t="s">
        <v>1643</v>
      </c>
      <c r="G239" s="71">
        <v>32752</v>
      </c>
      <c r="H239" s="72"/>
      <c r="I239" s="133">
        <v>9925847.3200000003</v>
      </c>
      <c r="J239" s="134">
        <v>1494473.23</v>
      </c>
      <c r="K239" s="125"/>
      <c r="L239" s="74">
        <v>7.1499999999999994E-2</v>
      </c>
      <c r="M239" s="75">
        <v>14762</v>
      </c>
      <c r="N239" s="76">
        <v>14</v>
      </c>
      <c r="O239" s="76">
        <v>0</v>
      </c>
      <c r="P239" s="83">
        <v>206347</v>
      </c>
      <c r="Q239" s="76">
        <v>0</v>
      </c>
      <c r="R239" s="67" t="s">
        <v>1571</v>
      </c>
      <c r="S239" s="68">
        <v>890801052</v>
      </c>
      <c r="T239" s="77"/>
      <c r="U239" s="78"/>
      <c r="V239" s="81"/>
      <c r="W239" s="80">
        <v>3358432</v>
      </c>
    </row>
    <row r="240" spans="1:23" ht="15.6" x14ac:dyDescent="0.3">
      <c r="A240" s="67" t="s">
        <v>1078</v>
      </c>
      <c r="B240" s="146">
        <v>1267414</v>
      </c>
      <c r="C240" s="69" t="s">
        <v>1079</v>
      </c>
      <c r="D240" s="69">
        <v>0</v>
      </c>
      <c r="E240" s="70" t="s">
        <v>19</v>
      </c>
      <c r="F240" s="67" t="s">
        <v>1643</v>
      </c>
      <c r="G240" s="71">
        <v>32874</v>
      </c>
      <c r="H240" s="72"/>
      <c r="I240" s="133">
        <v>16905011.489999998</v>
      </c>
      <c r="J240" s="134">
        <v>2545282.66</v>
      </c>
      <c r="K240" s="125"/>
      <c r="L240" s="74">
        <v>0.19059999999999999</v>
      </c>
      <c r="M240" s="75">
        <v>21783</v>
      </c>
      <c r="N240" s="76">
        <v>14</v>
      </c>
      <c r="O240" s="76">
        <v>0</v>
      </c>
      <c r="P240" s="83">
        <v>114293</v>
      </c>
      <c r="Q240" s="76">
        <v>0</v>
      </c>
      <c r="R240" s="67" t="s">
        <v>1571</v>
      </c>
      <c r="S240" s="68">
        <v>890801052</v>
      </c>
      <c r="T240" s="77">
        <v>24565754</v>
      </c>
      <c r="U240" s="78" t="s">
        <v>1735</v>
      </c>
      <c r="V240" s="81"/>
      <c r="W240" s="80">
        <v>2145693</v>
      </c>
    </row>
    <row r="241" spans="1:23" ht="15.6" x14ac:dyDescent="0.3">
      <c r="A241" s="67" t="s">
        <v>1080</v>
      </c>
      <c r="B241" s="69">
        <v>24446657</v>
      </c>
      <c r="C241" s="69" t="s">
        <v>1081</v>
      </c>
      <c r="D241" s="69">
        <v>0</v>
      </c>
      <c r="E241" s="70" t="s">
        <v>472</v>
      </c>
      <c r="F241" s="67" t="s">
        <v>1643</v>
      </c>
      <c r="G241" s="71">
        <v>34351</v>
      </c>
      <c r="H241" s="72"/>
      <c r="I241" s="133">
        <v>3649654.05</v>
      </c>
      <c r="J241" s="134">
        <v>549505.76</v>
      </c>
      <c r="K241" s="125"/>
      <c r="L241" s="74">
        <v>0.1172</v>
      </c>
      <c r="M241" s="75">
        <v>27579</v>
      </c>
      <c r="N241" s="76">
        <v>14</v>
      </c>
      <c r="O241" s="76">
        <v>0</v>
      </c>
      <c r="P241" s="83">
        <v>79868</v>
      </c>
      <c r="Q241" s="83">
        <v>155429</v>
      </c>
      <c r="R241" s="67" t="s">
        <v>1571</v>
      </c>
      <c r="S241" s="68">
        <v>890801052</v>
      </c>
      <c r="T241" s="77"/>
      <c r="U241" s="78"/>
      <c r="V241" s="81"/>
      <c r="W241" s="80">
        <v>753354</v>
      </c>
    </row>
    <row r="242" spans="1:23" ht="16.2" thickBot="1" x14ac:dyDescent="0.35">
      <c r="A242" s="67" t="s">
        <v>1082</v>
      </c>
      <c r="B242" s="146">
        <v>24297360</v>
      </c>
      <c r="C242" s="69" t="s">
        <v>1083</v>
      </c>
      <c r="D242" s="69">
        <v>0</v>
      </c>
      <c r="E242" s="70" t="s">
        <v>19</v>
      </c>
      <c r="F242" s="67" t="s">
        <v>1643</v>
      </c>
      <c r="G242" s="71">
        <v>35431</v>
      </c>
      <c r="H242" s="86">
        <v>41425</v>
      </c>
      <c r="I242" s="133">
        <v>23465357.109999999</v>
      </c>
      <c r="J242" s="134">
        <v>3533033.18</v>
      </c>
      <c r="K242" s="125"/>
      <c r="L242" s="74">
        <v>0.11700000000000001</v>
      </c>
      <c r="M242" s="75">
        <v>103881</v>
      </c>
      <c r="N242" s="76">
        <v>14</v>
      </c>
      <c r="O242" s="76">
        <v>0</v>
      </c>
      <c r="P242" s="83">
        <v>888238</v>
      </c>
      <c r="Q242" s="76">
        <v>0</v>
      </c>
      <c r="R242" s="67" t="s">
        <v>1571</v>
      </c>
      <c r="S242" s="68">
        <v>890801052</v>
      </c>
      <c r="T242" s="77">
        <v>4296224</v>
      </c>
      <c r="U242" s="78" t="s">
        <v>1572</v>
      </c>
      <c r="V242" s="81"/>
      <c r="W242" s="80">
        <v>4851950</v>
      </c>
    </row>
    <row r="243" spans="1:23" ht="15.6" x14ac:dyDescent="0.3">
      <c r="A243" s="67" t="s">
        <v>1096</v>
      </c>
      <c r="B243" s="69">
        <v>26252932</v>
      </c>
      <c r="C243" s="69" t="s">
        <v>1097</v>
      </c>
      <c r="D243" s="69">
        <v>0</v>
      </c>
      <c r="E243" s="70" t="s">
        <v>1061</v>
      </c>
      <c r="F243" s="67" t="s">
        <v>1643</v>
      </c>
      <c r="G243" s="71">
        <v>31413</v>
      </c>
      <c r="H243" s="72"/>
      <c r="I243" s="133">
        <v>10961674.789999999</v>
      </c>
      <c r="J243" s="134">
        <v>1650431.34</v>
      </c>
      <c r="K243" s="125"/>
      <c r="L243" s="74">
        <v>0.17080000000000001</v>
      </c>
      <c r="M243" s="75">
        <v>7942</v>
      </c>
      <c r="N243" s="76">
        <v>14</v>
      </c>
      <c r="O243" s="105">
        <v>0.08</v>
      </c>
      <c r="P243" s="83">
        <v>46499</v>
      </c>
      <c r="Q243" s="76">
        <v>0</v>
      </c>
      <c r="R243" s="67" t="s">
        <v>1574</v>
      </c>
      <c r="S243" s="68">
        <v>890900286</v>
      </c>
      <c r="T243" s="77"/>
      <c r="U243" s="78"/>
      <c r="V243" s="81"/>
      <c r="W243" s="80">
        <v>1552616</v>
      </c>
    </row>
    <row r="244" spans="1:23" ht="15.6" x14ac:dyDescent="0.3">
      <c r="A244" s="67" t="s">
        <v>1098</v>
      </c>
      <c r="B244" s="69">
        <v>541693</v>
      </c>
      <c r="C244" s="69" t="s">
        <v>1099</v>
      </c>
      <c r="D244" s="69">
        <v>0</v>
      </c>
      <c r="E244" s="70" t="s">
        <v>1100</v>
      </c>
      <c r="F244" s="67" t="s">
        <v>1643</v>
      </c>
      <c r="G244" s="71">
        <v>31671</v>
      </c>
      <c r="H244" s="72"/>
      <c r="I244" s="133">
        <v>11998853.33</v>
      </c>
      <c r="J244" s="134">
        <v>1806592.87</v>
      </c>
      <c r="K244" s="125"/>
      <c r="L244" s="74">
        <v>9.2200000000000004E-2</v>
      </c>
      <c r="M244" s="75">
        <v>74099</v>
      </c>
      <c r="N244" s="76">
        <v>14</v>
      </c>
      <c r="O244" s="105">
        <v>0.08</v>
      </c>
      <c r="P244" s="83">
        <v>65434</v>
      </c>
      <c r="Q244" s="83">
        <v>10493</v>
      </c>
      <c r="R244" s="67" t="s">
        <v>1574</v>
      </c>
      <c r="S244" s="68">
        <v>890900286</v>
      </c>
      <c r="T244" s="77">
        <v>71600185</v>
      </c>
      <c r="U244" s="78" t="s">
        <v>1738</v>
      </c>
      <c r="V244" s="81"/>
      <c r="W244" s="80">
        <v>3148356</v>
      </c>
    </row>
    <row r="245" spans="1:23" ht="16.2" thickBot="1" x14ac:dyDescent="0.35">
      <c r="A245" s="67" t="s">
        <v>1101</v>
      </c>
      <c r="B245" s="69">
        <v>21263379</v>
      </c>
      <c r="C245" s="69" t="s">
        <v>1102</v>
      </c>
      <c r="D245" s="69">
        <v>0</v>
      </c>
      <c r="E245" s="70" t="s">
        <v>472</v>
      </c>
      <c r="F245" s="67" t="s">
        <v>1643</v>
      </c>
      <c r="G245" s="71">
        <v>31778</v>
      </c>
      <c r="H245" s="72"/>
      <c r="I245" s="133">
        <v>42484571.329999998</v>
      </c>
      <c r="J245" s="134">
        <v>6396638.2199999997</v>
      </c>
      <c r="K245" s="128"/>
      <c r="L245" s="74">
        <v>0.72009999999999996</v>
      </c>
      <c r="M245" s="75">
        <v>49175</v>
      </c>
      <c r="N245" s="76">
        <v>14</v>
      </c>
      <c r="O245" s="76"/>
      <c r="P245" s="76"/>
      <c r="Q245" s="76"/>
      <c r="R245" s="67" t="s">
        <v>1574</v>
      </c>
      <c r="S245" s="68">
        <v>890900286</v>
      </c>
      <c r="T245" s="77"/>
      <c r="U245" s="78"/>
      <c r="V245" s="81"/>
      <c r="W245" s="80">
        <v>1427294</v>
      </c>
    </row>
    <row r="246" spans="1:23" ht="15.6" x14ac:dyDescent="0.3">
      <c r="A246" s="67" t="s">
        <v>1103</v>
      </c>
      <c r="B246" s="69">
        <v>21320864</v>
      </c>
      <c r="C246" s="69" t="s">
        <v>1104</v>
      </c>
      <c r="D246" s="69">
        <v>0</v>
      </c>
      <c r="E246" s="70" t="s">
        <v>472</v>
      </c>
      <c r="F246" s="67" t="s">
        <v>1643</v>
      </c>
      <c r="G246" s="71">
        <v>31778</v>
      </c>
      <c r="H246" s="72"/>
      <c r="I246" s="133">
        <v>42392198.369999997</v>
      </c>
      <c r="J246" s="134">
        <v>6382730.2000000002</v>
      </c>
      <c r="K246" s="127"/>
      <c r="L246" s="74">
        <v>0.53069999999999995</v>
      </c>
      <c r="M246" s="75">
        <v>36348</v>
      </c>
      <c r="N246" s="76">
        <v>14</v>
      </c>
      <c r="O246" s="76"/>
      <c r="P246" s="76"/>
      <c r="Q246" s="76"/>
      <c r="R246" s="67" t="s">
        <v>1574</v>
      </c>
      <c r="S246" s="68">
        <v>890900286</v>
      </c>
      <c r="T246" s="77"/>
      <c r="U246" s="78"/>
      <c r="V246" s="81"/>
      <c r="W246" s="80">
        <v>1932466</v>
      </c>
    </row>
    <row r="247" spans="1:23" ht="15.6" x14ac:dyDescent="0.3">
      <c r="A247" s="67" t="s">
        <v>1105</v>
      </c>
      <c r="B247" s="69">
        <v>21261483</v>
      </c>
      <c r="C247" s="69" t="s">
        <v>1106</v>
      </c>
      <c r="D247" s="69">
        <v>0</v>
      </c>
      <c r="E247" s="70" t="s">
        <v>1100</v>
      </c>
      <c r="F247" s="67" t="s">
        <v>1643</v>
      </c>
      <c r="G247" s="71">
        <v>32082</v>
      </c>
      <c r="H247" s="72"/>
      <c r="I247" s="133">
        <v>2594374.16</v>
      </c>
      <c r="J247" s="134">
        <v>390618.82</v>
      </c>
      <c r="K247" s="125"/>
      <c r="L247" s="74">
        <v>5.21E-2</v>
      </c>
      <c r="M247" s="75">
        <v>46807</v>
      </c>
      <c r="N247" s="76">
        <v>14</v>
      </c>
      <c r="O247" s="105">
        <v>0.08</v>
      </c>
      <c r="P247" s="83">
        <v>79888</v>
      </c>
      <c r="Q247" s="76">
        <v>0</v>
      </c>
      <c r="R247" s="67" t="s">
        <v>1574</v>
      </c>
      <c r="S247" s="68">
        <v>890900286</v>
      </c>
      <c r="T247" s="77"/>
      <c r="U247" s="78"/>
      <c r="V247" s="81"/>
      <c r="W247" s="80">
        <v>1204675</v>
      </c>
    </row>
    <row r="248" spans="1:23" ht="16.2" thickBot="1" x14ac:dyDescent="0.35">
      <c r="A248" s="67" t="s">
        <v>1109</v>
      </c>
      <c r="B248" s="69">
        <v>504838</v>
      </c>
      <c r="C248" s="69" t="s">
        <v>1110</v>
      </c>
      <c r="D248" s="69">
        <v>0</v>
      </c>
      <c r="E248" s="70" t="s">
        <v>1061</v>
      </c>
      <c r="F248" s="67" t="s">
        <v>1643</v>
      </c>
      <c r="G248" s="71">
        <v>32520</v>
      </c>
      <c r="H248" s="72"/>
      <c r="I248" s="133">
        <v>17237188.09</v>
      </c>
      <c r="J248" s="134">
        <v>2595296.4300000002</v>
      </c>
      <c r="K248" s="128"/>
      <c r="L248" s="74">
        <v>0.22459999999999999</v>
      </c>
      <c r="M248" s="75">
        <v>11107</v>
      </c>
      <c r="N248" s="76">
        <v>14</v>
      </c>
      <c r="O248" s="105">
        <v>0.08</v>
      </c>
      <c r="P248" s="83">
        <v>49457</v>
      </c>
      <c r="Q248" s="76">
        <v>0</v>
      </c>
      <c r="R248" s="67" t="s">
        <v>1574</v>
      </c>
      <c r="S248" s="68">
        <v>890900286</v>
      </c>
      <c r="T248" s="77">
        <v>32408190</v>
      </c>
      <c r="U248" s="78" t="s">
        <v>1739</v>
      </c>
      <c r="V248" s="81"/>
      <c r="W248" s="80">
        <v>1856657</v>
      </c>
    </row>
    <row r="249" spans="1:23" ht="16.2" thickBot="1" x14ac:dyDescent="0.35">
      <c r="A249" s="67" t="s">
        <v>644</v>
      </c>
      <c r="B249" s="69">
        <v>4316056</v>
      </c>
      <c r="C249" s="69" t="s">
        <v>645</v>
      </c>
      <c r="D249" s="69">
        <v>0</v>
      </c>
      <c r="E249" s="70" t="s">
        <v>472</v>
      </c>
      <c r="F249" s="67" t="s">
        <v>1643</v>
      </c>
      <c r="G249" s="71">
        <v>32629</v>
      </c>
      <c r="H249" s="72"/>
      <c r="I249" s="133">
        <v>32237731.760000002</v>
      </c>
      <c r="J249" s="134">
        <v>4853835.1900000004</v>
      </c>
      <c r="K249" s="128"/>
      <c r="L249" s="74">
        <v>0.28439999999999999</v>
      </c>
      <c r="M249" s="75">
        <v>37618</v>
      </c>
      <c r="N249" s="76">
        <v>14</v>
      </c>
      <c r="O249" s="105">
        <v>0.08</v>
      </c>
      <c r="P249" s="83">
        <v>132270</v>
      </c>
      <c r="Q249" s="76">
        <v>0</v>
      </c>
      <c r="R249" s="67" t="s">
        <v>1574</v>
      </c>
      <c r="S249" s="68">
        <v>890900286</v>
      </c>
      <c r="T249" s="77"/>
      <c r="U249" s="78"/>
      <c r="V249" s="81"/>
      <c r="W249" s="80">
        <v>2742268</v>
      </c>
    </row>
    <row r="250" spans="1:23" ht="15.6" x14ac:dyDescent="0.3">
      <c r="A250" s="67" t="s">
        <v>1111</v>
      </c>
      <c r="B250" s="69">
        <v>3332029</v>
      </c>
      <c r="C250" s="69" t="s">
        <v>1112</v>
      </c>
      <c r="D250" s="69">
        <v>0</v>
      </c>
      <c r="E250" s="70" t="s">
        <v>1100</v>
      </c>
      <c r="F250" s="67" t="s">
        <v>1643</v>
      </c>
      <c r="G250" s="71">
        <v>33600</v>
      </c>
      <c r="H250" s="72"/>
      <c r="I250" s="133">
        <v>21007196.920000002</v>
      </c>
      <c r="J250" s="134">
        <v>3162923.26</v>
      </c>
      <c r="K250" s="127"/>
      <c r="L250" s="74">
        <v>0.1187</v>
      </c>
      <c r="M250" s="75">
        <v>33808</v>
      </c>
      <c r="N250" s="76">
        <v>14</v>
      </c>
      <c r="O250" s="105">
        <v>0.08</v>
      </c>
      <c r="P250" s="83">
        <v>284813</v>
      </c>
      <c r="Q250" s="76">
        <v>0</v>
      </c>
      <c r="R250" s="67" t="s">
        <v>1574</v>
      </c>
      <c r="S250" s="68">
        <v>890900286</v>
      </c>
      <c r="T250" s="77"/>
      <c r="U250" s="78"/>
      <c r="V250" s="81"/>
      <c r="W250" s="80">
        <v>4281465</v>
      </c>
    </row>
    <row r="251" spans="1:23" ht="16.2" thickBot="1" x14ac:dyDescent="0.35">
      <c r="A251" s="89" t="s">
        <v>1113</v>
      </c>
      <c r="B251" s="147">
        <v>3404834</v>
      </c>
      <c r="C251" s="69" t="s">
        <v>1114</v>
      </c>
      <c r="D251" s="69">
        <v>0</v>
      </c>
      <c r="E251" s="91" t="s">
        <v>1100</v>
      </c>
      <c r="F251" s="67" t="s">
        <v>1643</v>
      </c>
      <c r="G251" s="71">
        <v>33795</v>
      </c>
      <c r="H251" s="86"/>
      <c r="I251" s="133">
        <v>16393124.699999999</v>
      </c>
      <c r="J251" s="134">
        <v>2468211.04</v>
      </c>
      <c r="K251" s="128"/>
      <c r="L251" s="74">
        <v>0.3402</v>
      </c>
      <c r="M251" s="100">
        <v>22179</v>
      </c>
      <c r="N251" s="76">
        <v>14</v>
      </c>
      <c r="O251" s="105">
        <v>0.08</v>
      </c>
      <c r="P251" s="83">
        <v>65190</v>
      </c>
      <c r="Q251" s="76">
        <v>0</v>
      </c>
      <c r="R251" s="67" t="s">
        <v>1574</v>
      </c>
      <c r="S251" s="68">
        <v>890900286</v>
      </c>
      <c r="T251" s="77"/>
      <c r="U251" s="78"/>
      <c r="V251" s="81"/>
      <c r="W251" s="80">
        <v>1165742</v>
      </c>
    </row>
    <row r="252" spans="1:23" ht="16.2" thickBot="1" x14ac:dyDescent="0.35">
      <c r="A252" s="93" t="s">
        <v>1115</v>
      </c>
      <c r="B252" s="148">
        <v>21365573</v>
      </c>
      <c r="C252" s="69" t="s">
        <v>1116</v>
      </c>
      <c r="D252" s="69">
        <v>0</v>
      </c>
      <c r="E252" s="95" t="s">
        <v>19</v>
      </c>
      <c r="F252" s="67" t="s">
        <v>1643</v>
      </c>
      <c r="G252" s="71">
        <v>33938</v>
      </c>
      <c r="H252" s="72"/>
      <c r="I252" s="133">
        <v>4779404.22</v>
      </c>
      <c r="J252" s="134">
        <v>719605.23</v>
      </c>
      <c r="K252" s="132"/>
      <c r="L252" s="74">
        <v>0.31069999999999998</v>
      </c>
      <c r="M252" s="96">
        <v>61473</v>
      </c>
      <c r="N252" s="76">
        <v>14</v>
      </c>
      <c r="O252" s="105">
        <v>0.08</v>
      </c>
      <c r="P252" s="83">
        <v>252828</v>
      </c>
      <c r="Q252" s="76">
        <v>0</v>
      </c>
      <c r="R252" s="67" t="s">
        <v>1574</v>
      </c>
      <c r="S252" s="68">
        <v>890900286</v>
      </c>
      <c r="T252" s="77"/>
      <c r="U252" s="78"/>
      <c r="V252" s="81"/>
      <c r="W252" s="80">
        <v>372141</v>
      </c>
    </row>
    <row r="253" spans="1:23" ht="15.6" x14ac:dyDescent="0.3">
      <c r="A253" s="67" t="s">
        <v>1120</v>
      </c>
      <c r="B253" s="69">
        <v>3329674</v>
      </c>
      <c r="C253" s="69" t="s">
        <v>1121</v>
      </c>
      <c r="D253" s="69">
        <v>0</v>
      </c>
      <c r="E253" s="70" t="s">
        <v>1100</v>
      </c>
      <c r="F253" s="67" t="s">
        <v>1643</v>
      </c>
      <c r="G253" s="71">
        <v>34303</v>
      </c>
      <c r="H253" s="72">
        <v>39447</v>
      </c>
      <c r="I253" s="133">
        <v>15776061.43</v>
      </c>
      <c r="J253" s="134">
        <v>2375303.65</v>
      </c>
      <c r="K253" s="125"/>
      <c r="L253" s="74">
        <v>0.1095</v>
      </c>
      <c r="M253" s="75">
        <v>63161</v>
      </c>
      <c r="N253" s="76">
        <v>14</v>
      </c>
      <c r="O253" s="105">
        <v>0.08</v>
      </c>
      <c r="P253" s="83">
        <v>581773</v>
      </c>
      <c r="Q253" s="76">
        <v>0</v>
      </c>
      <c r="R253" s="67" t="s">
        <v>1574</v>
      </c>
      <c r="S253" s="68">
        <v>890900286</v>
      </c>
      <c r="T253" s="77"/>
      <c r="U253" s="78"/>
      <c r="V253" s="81"/>
      <c r="W253" s="80">
        <v>3485455</v>
      </c>
    </row>
    <row r="254" spans="1:23" ht="15.6" x14ac:dyDescent="0.3">
      <c r="A254" s="67" t="s">
        <v>1122</v>
      </c>
      <c r="B254" s="69">
        <v>21335503</v>
      </c>
      <c r="C254" s="69" t="s">
        <v>1123</v>
      </c>
      <c r="D254" s="69">
        <v>0</v>
      </c>
      <c r="E254" s="70" t="s">
        <v>1061</v>
      </c>
      <c r="F254" s="67" t="s">
        <v>1643</v>
      </c>
      <c r="G254" s="71">
        <v>34700</v>
      </c>
      <c r="H254" s="87"/>
      <c r="I254" s="133">
        <v>2478688.2400000002</v>
      </c>
      <c r="J254" s="134">
        <v>373200.7</v>
      </c>
      <c r="K254" s="125"/>
      <c r="L254" s="74">
        <v>2.41E-2</v>
      </c>
      <c r="M254" s="112">
        <v>15531</v>
      </c>
      <c r="N254" s="76">
        <v>14</v>
      </c>
      <c r="O254" s="76">
        <v>0</v>
      </c>
      <c r="P254" s="83">
        <v>790325</v>
      </c>
      <c r="Q254" s="76">
        <v>0</v>
      </c>
      <c r="R254" s="67" t="s">
        <v>1574</v>
      </c>
      <c r="S254" s="68">
        <v>890900286</v>
      </c>
      <c r="T254" s="77"/>
      <c r="U254" s="78"/>
      <c r="V254" s="81"/>
      <c r="W254" s="80">
        <v>2488169</v>
      </c>
    </row>
    <row r="255" spans="1:23" ht="16.2" thickBot="1" x14ac:dyDescent="0.35">
      <c r="A255" s="113" t="s">
        <v>642</v>
      </c>
      <c r="B255" s="149">
        <v>32412374</v>
      </c>
      <c r="C255" s="69" t="s">
        <v>643</v>
      </c>
      <c r="D255" s="69">
        <v>0</v>
      </c>
      <c r="E255" s="114" t="s">
        <v>472</v>
      </c>
      <c r="F255" s="67" t="s">
        <v>1643</v>
      </c>
      <c r="G255" s="71">
        <v>34700</v>
      </c>
      <c r="H255" s="72">
        <v>39146</v>
      </c>
      <c r="I255" s="133">
        <v>92066.04</v>
      </c>
      <c r="J255" s="134">
        <v>13861.81</v>
      </c>
      <c r="K255" s="125"/>
      <c r="L255" s="74">
        <v>6.1100000000000002E-2</v>
      </c>
      <c r="M255" s="100">
        <v>8420</v>
      </c>
      <c r="N255" s="76">
        <v>14</v>
      </c>
      <c r="O255" s="76"/>
      <c r="P255" s="76"/>
      <c r="Q255" s="76"/>
      <c r="R255" s="67" t="s">
        <v>1574</v>
      </c>
      <c r="S255" s="68">
        <v>890900286</v>
      </c>
      <c r="T255" s="77"/>
      <c r="U255" s="78"/>
      <c r="V255" s="81"/>
      <c r="W255" s="80">
        <v>36453</v>
      </c>
    </row>
    <row r="256" spans="1:23" ht="15.6" x14ac:dyDescent="0.3">
      <c r="A256" s="93" t="s">
        <v>1124</v>
      </c>
      <c r="B256" s="148">
        <v>32402612</v>
      </c>
      <c r="C256" s="69" t="s">
        <v>1125</v>
      </c>
      <c r="D256" s="69">
        <v>0</v>
      </c>
      <c r="E256" s="95" t="s">
        <v>1100</v>
      </c>
      <c r="F256" s="67" t="s">
        <v>1643</v>
      </c>
      <c r="G256" s="71">
        <v>35399</v>
      </c>
      <c r="H256" s="72">
        <v>39447</v>
      </c>
      <c r="I256" s="133">
        <v>24453383.030000001</v>
      </c>
      <c r="J256" s="134">
        <v>3681794.11</v>
      </c>
      <c r="K256" s="125"/>
      <c r="L256" s="74">
        <v>0.48720000000000002</v>
      </c>
      <c r="M256" s="96">
        <v>182762</v>
      </c>
      <c r="N256" s="76">
        <v>14</v>
      </c>
      <c r="O256" s="76">
        <v>0</v>
      </c>
      <c r="P256" s="83">
        <v>375118</v>
      </c>
      <c r="Q256" s="76">
        <v>0</v>
      </c>
      <c r="R256" s="67" t="s">
        <v>1574</v>
      </c>
      <c r="S256" s="68">
        <v>890900286</v>
      </c>
      <c r="T256" s="77"/>
      <c r="U256" s="78"/>
      <c r="V256" s="81"/>
      <c r="W256" s="80">
        <v>1214246</v>
      </c>
    </row>
    <row r="257" spans="1:23" ht="16.2" thickBot="1" x14ac:dyDescent="0.35">
      <c r="A257" s="89" t="s">
        <v>1126</v>
      </c>
      <c r="B257" s="147">
        <v>3478568</v>
      </c>
      <c r="C257" s="69" t="s">
        <v>1127</v>
      </c>
      <c r="D257" s="69">
        <v>0</v>
      </c>
      <c r="E257" s="91" t="s">
        <v>1128</v>
      </c>
      <c r="F257" s="67" t="s">
        <v>1643</v>
      </c>
      <c r="G257" s="71">
        <v>35431</v>
      </c>
      <c r="H257" s="72">
        <v>39447</v>
      </c>
      <c r="I257" s="133">
        <v>48329919.229999997</v>
      </c>
      <c r="J257" s="134">
        <v>7276735.9800000004</v>
      </c>
      <c r="K257" s="125"/>
      <c r="L257" s="74">
        <v>0.46989999999999998</v>
      </c>
      <c r="M257" s="100">
        <v>717633</v>
      </c>
      <c r="N257" s="76">
        <v>14</v>
      </c>
      <c r="O257" s="76">
        <v>0</v>
      </c>
      <c r="P257" s="83">
        <v>1527358</v>
      </c>
      <c r="Q257" s="76">
        <v>0</v>
      </c>
      <c r="R257" s="67" t="s">
        <v>1574</v>
      </c>
      <c r="S257" s="68">
        <v>890900286</v>
      </c>
      <c r="T257" s="77"/>
      <c r="U257" s="78"/>
      <c r="V257" s="81"/>
      <c r="W257" s="80">
        <v>2488202</v>
      </c>
    </row>
    <row r="258" spans="1:23" ht="16.2" thickBot="1" x14ac:dyDescent="0.35">
      <c r="A258" s="115" t="s">
        <v>1129</v>
      </c>
      <c r="B258" s="150">
        <v>32422337</v>
      </c>
      <c r="C258" s="69" t="s">
        <v>1130</v>
      </c>
      <c r="D258" s="69">
        <v>0</v>
      </c>
      <c r="E258" s="116" t="s">
        <v>1100</v>
      </c>
      <c r="F258" s="67" t="s">
        <v>1643</v>
      </c>
      <c r="G258" s="71">
        <v>35436</v>
      </c>
      <c r="H258" s="72"/>
      <c r="I258" s="133">
        <v>3919680.42</v>
      </c>
      <c r="J258" s="134">
        <v>590161.94999999995</v>
      </c>
      <c r="K258" s="125"/>
      <c r="L258" s="74">
        <v>0.1477</v>
      </c>
      <c r="M258" s="117">
        <v>117497</v>
      </c>
      <c r="N258" s="76">
        <v>14</v>
      </c>
      <c r="O258" s="76">
        <v>0</v>
      </c>
      <c r="P258" s="83">
        <v>795736</v>
      </c>
      <c r="Q258" s="76">
        <v>0</v>
      </c>
      <c r="R258" s="67" t="s">
        <v>1574</v>
      </c>
      <c r="S258" s="68">
        <v>890900286</v>
      </c>
      <c r="T258" s="77"/>
      <c r="U258" s="78"/>
      <c r="V258" s="81"/>
      <c r="W258" s="80">
        <v>642015</v>
      </c>
    </row>
    <row r="259" spans="1:23" ht="15.6" x14ac:dyDescent="0.3">
      <c r="A259" s="93" t="s">
        <v>1131</v>
      </c>
      <c r="B259" s="148">
        <v>32400861</v>
      </c>
      <c r="C259" s="69" t="s">
        <v>1132</v>
      </c>
      <c r="D259" s="69">
        <v>0</v>
      </c>
      <c r="E259" s="95" t="s">
        <v>472</v>
      </c>
      <c r="F259" s="67" t="s">
        <v>1643</v>
      </c>
      <c r="G259" s="71">
        <v>35796</v>
      </c>
      <c r="H259" s="72"/>
      <c r="I259" s="133">
        <v>11324078.550000001</v>
      </c>
      <c r="J259" s="134">
        <v>1704996.22</v>
      </c>
      <c r="K259" s="125"/>
      <c r="L259" s="74">
        <v>0.45900000000000002</v>
      </c>
      <c r="M259" s="96">
        <v>280848</v>
      </c>
      <c r="N259" s="76">
        <v>14</v>
      </c>
      <c r="O259" s="76"/>
      <c r="P259" s="76"/>
      <c r="Q259" s="76"/>
      <c r="R259" s="67" t="s">
        <v>1574</v>
      </c>
      <c r="S259" s="68">
        <v>890900286</v>
      </c>
      <c r="T259" s="77"/>
      <c r="U259" s="78"/>
      <c r="V259" s="81"/>
      <c r="W259" s="80">
        <v>596850</v>
      </c>
    </row>
    <row r="260" spans="1:23" ht="15.6" x14ac:dyDescent="0.3">
      <c r="A260" s="67" t="s">
        <v>1133</v>
      </c>
      <c r="B260" s="69">
        <v>6781718</v>
      </c>
      <c r="C260" s="69" t="s">
        <v>1134</v>
      </c>
      <c r="D260" s="69">
        <v>0</v>
      </c>
      <c r="E260" s="70" t="s">
        <v>1061</v>
      </c>
      <c r="F260" s="67" t="s">
        <v>1643</v>
      </c>
      <c r="G260" s="71">
        <v>35905</v>
      </c>
      <c r="H260" s="72"/>
      <c r="I260" s="133">
        <v>38488866.799999997</v>
      </c>
      <c r="J260" s="134">
        <v>5795029.79</v>
      </c>
      <c r="K260" s="125"/>
      <c r="L260" s="74">
        <v>0.23730000000000001</v>
      </c>
      <c r="M260" s="75">
        <v>326826</v>
      </c>
      <c r="N260" s="76">
        <v>14</v>
      </c>
      <c r="O260" s="76">
        <v>0</v>
      </c>
      <c r="P260" s="83">
        <v>2420096</v>
      </c>
      <c r="Q260" s="76">
        <v>0</v>
      </c>
      <c r="R260" s="67" t="s">
        <v>1574</v>
      </c>
      <c r="S260" s="68">
        <v>890900286</v>
      </c>
      <c r="T260" s="77">
        <v>32338646</v>
      </c>
      <c r="U260" s="78" t="s">
        <v>1791</v>
      </c>
      <c r="V260" s="81"/>
      <c r="W260" s="80">
        <v>3923850</v>
      </c>
    </row>
    <row r="261" spans="1:23" ht="15.6" x14ac:dyDescent="0.3">
      <c r="A261" s="67" t="s">
        <v>1135</v>
      </c>
      <c r="B261" s="69">
        <v>8238115</v>
      </c>
      <c r="C261" s="69" t="s">
        <v>1136</v>
      </c>
      <c r="D261" s="69">
        <v>0</v>
      </c>
      <c r="E261" s="70" t="s">
        <v>1061</v>
      </c>
      <c r="F261" s="67" t="s">
        <v>1643</v>
      </c>
      <c r="G261" s="71">
        <v>36860</v>
      </c>
      <c r="H261" s="87">
        <v>45635</v>
      </c>
      <c r="I261" s="133">
        <v>5604902.0899999999</v>
      </c>
      <c r="J261" s="134">
        <v>843895.32</v>
      </c>
      <c r="K261" s="125"/>
      <c r="L261" s="74">
        <v>7.9100000000000004E-2</v>
      </c>
      <c r="M261" s="75">
        <v>146141</v>
      </c>
      <c r="N261" s="76">
        <v>14</v>
      </c>
      <c r="O261" s="76">
        <v>0</v>
      </c>
      <c r="P261" s="83">
        <v>1846653</v>
      </c>
      <c r="Q261" s="76">
        <v>0</v>
      </c>
      <c r="R261" s="67" t="s">
        <v>1574</v>
      </c>
      <c r="S261" s="68">
        <v>890900286</v>
      </c>
      <c r="T261" s="77">
        <v>21547126</v>
      </c>
      <c r="U261" s="78" t="s">
        <v>1741</v>
      </c>
      <c r="V261" s="81"/>
      <c r="W261" s="80">
        <v>1714220</v>
      </c>
    </row>
    <row r="262" spans="1:23" ht="15.6" x14ac:dyDescent="0.3">
      <c r="A262" s="67" t="s">
        <v>1137</v>
      </c>
      <c r="B262" s="69">
        <v>32417836</v>
      </c>
      <c r="C262" s="69" t="s">
        <v>1138</v>
      </c>
      <c r="D262" s="69">
        <v>0</v>
      </c>
      <c r="E262" s="70" t="s">
        <v>472</v>
      </c>
      <c r="F262" s="67" t="s">
        <v>1643</v>
      </c>
      <c r="G262" s="71">
        <v>37590</v>
      </c>
      <c r="H262" s="72"/>
      <c r="I262" s="133">
        <v>5180429.1500000004</v>
      </c>
      <c r="J262" s="134">
        <v>779985.06</v>
      </c>
      <c r="K262" s="125"/>
      <c r="L262" s="74">
        <v>4.7E-2</v>
      </c>
      <c r="M262" s="75">
        <v>75650</v>
      </c>
      <c r="N262" s="76">
        <v>14</v>
      </c>
      <c r="O262" s="76">
        <v>0</v>
      </c>
      <c r="P262" s="83">
        <v>857261</v>
      </c>
      <c r="Q262" s="83">
        <v>974633</v>
      </c>
      <c r="R262" s="67" t="s">
        <v>1574</v>
      </c>
      <c r="S262" s="68">
        <v>890900286</v>
      </c>
      <c r="T262" s="77"/>
      <c r="U262" s="78"/>
      <c r="V262" s="81"/>
      <c r="W262" s="80">
        <v>2666508</v>
      </c>
    </row>
    <row r="263" spans="1:23" ht="15.6" x14ac:dyDescent="0.3">
      <c r="A263" s="67" t="s">
        <v>1139</v>
      </c>
      <c r="B263" s="69">
        <v>32445041</v>
      </c>
      <c r="C263" s="69" t="s">
        <v>1140</v>
      </c>
      <c r="D263" s="69">
        <v>0</v>
      </c>
      <c r="E263" s="70" t="s">
        <v>472</v>
      </c>
      <c r="F263" s="67" t="s">
        <v>1643</v>
      </c>
      <c r="G263" s="71">
        <v>38098</v>
      </c>
      <c r="H263" s="72"/>
      <c r="I263" s="133">
        <v>614070.57999999996</v>
      </c>
      <c r="J263" s="134">
        <v>92456.8</v>
      </c>
      <c r="K263" s="125"/>
      <c r="L263" s="74">
        <v>1.23E-2</v>
      </c>
      <c r="M263" s="75">
        <v>34595</v>
      </c>
      <c r="N263" s="76">
        <v>14</v>
      </c>
      <c r="O263" s="76"/>
      <c r="P263" s="76"/>
      <c r="Q263" s="76"/>
      <c r="R263" s="67" t="s">
        <v>1574</v>
      </c>
      <c r="S263" s="68">
        <v>890900286</v>
      </c>
      <c r="T263" s="77"/>
      <c r="U263" s="78"/>
      <c r="V263" s="81"/>
      <c r="W263" s="80">
        <v>1207781</v>
      </c>
    </row>
    <row r="264" spans="1:23" ht="15.6" x14ac:dyDescent="0.3">
      <c r="A264" s="67" t="s">
        <v>1141</v>
      </c>
      <c r="B264" s="69">
        <v>32433370</v>
      </c>
      <c r="C264" s="69" t="s">
        <v>1142</v>
      </c>
      <c r="D264" s="69">
        <v>0</v>
      </c>
      <c r="E264" s="70" t="s">
        <v>19</v>
      </c>
      <c r="F264" s="67" t="s">
        <v>1643</v>
      </c>
      <c r="G264" s="71">
        <v>38154</v>
      </c>
      <c r="H264" s="72"/>
      <c r="I264" s="133">
        <v>5257141.62</v>
      </c>
      <c r="J264" s="134">
        <v>791535.19</v>
      </c>
      <c r="K264" s="125"/>
      <c r="L264" s="74">
        <v>0.16919999999999999</v>
      </c>
      <c r="M264" s="75">
        <v>275322</v>
      </c>
      <c r="N264" s="76">
        <v>14</v>
      </c>
      <c r="O264" s="76"/>
      <c r="P264" s="76"/>
      <c r="Q264" s="76"/>
      <c r="R264" s="67" t="s">
        <v>1574</v>
      </c>
      <c r="S264" s="68">
        <v>890900286</v>
      </c>
      <c r="T264" s="77"/>
      <c r="U264" s="78"/>
      <c r="V264" s="81"/>
      <c r="W264" s="80">
        <v>751665</v>
      </c>
    </row>
    <row r="265" spans="1:23" ht="15.6" x14ac:dyDescent="0.3">
      <c r="A265" s="67" t="s">
        <v>1143</v>
      </c>
      <c r="B265" s="69">
        <v>32433371</v>
      </c>
      <c r="C265" s="69" t="s">
        <v>1144</v>
      </c>
      <c r="D265" s="69">
        <v>0</v>
      </c>
      <c r="E265" s="70" t="s">
        <v>1119</v>
      </c>
      <c r="F265" s="67" t="s">
        <v>1643</v>
      </c>
      <c r="G265" s="71">
        <v>38169</v>
      </c>
      <c r="H265" s="72"/>
      <c r="I265" s="133">
        <v>1420467.56</v>
      </c>
      <c r="J265" s="134">
        <v>213870.98</v>
      </c>
      <c r="K265" s="125"/>
      <c r="L265" s="74">
        <v>9.3899999999999997E-2</v>
      </c>
      <c r="M265" s="75">
        <v>134046</v>
      </c>
      <c r="N265" s="76">
        <v>14</v>
      </c>
      <c r="O265" s="76"/>
      <c r="P265" s="76"/>
      <c r="Q265" s="76"/>
      <c r="R265" s="67" t="s">
        <v>1574</v>
      </c>
      <c r="S265" s="68">
        <v>890900286</v>
      </c>
      <c r="T265" s="77"/>
      <c r="U265" s="78"/>
      <c r="V265" s="81"/>
      <c r="W265" s="80">
        <v>365966</v>
      </c>
    </row>
    <row r="266" spans="1:23" ht="15.6" x14ac:dyDescent="0.3">
      <c r="A266" s="67" t="s">
        <v>1145</v>
      </c>
      <c r="B266" s="69">
        <v>8387556</v>
      </c>
      <c r="C266" s="69" t="s">
        <v>1146</v>
      </c>
      <c r="D266" s="69">
        <v>0</v>
      </c>
      <c r="E266" s="70" t="s">
        <v>592</v>
      </c>
      <c r="F266" s="67" t="s">
        <v>1643</v>
      </c>
      <c r="G266" s="71">
        <v>38246</v>
      </c>
      <c r="H266" s="72"/>
      <c r="I266" s="133">
        <v>9541051.3699999992</v>
      </c>
      <c r="J266" s="134">
        <v>1436536.89</v>
      </c>
      <c r="K266" s="125"/>
      <c r="L266" s="74">
        <v>0.1313</v>
      </c>
      <c r="M266" s="75">
        <v>204316</v>
      </c>
      <c r="N266" s="76">
        <v>14</v>
      </c>
      <c r="O266" s="76">
        <v>0</v>
      </c>
      <c r="P266" s="83">
        <v>1556100</v>
      </c>
      <c r="Q266" s="76">
        <v>0</v>
      </c>
      <c r="R266" s="67" t="s">
        <v>1574</v>
      </c>
      <c r="S266" s="68">
        <v>890900286</v>
      </c>
      <c r="T266" s="77"/>
      <c r="U266" s="78"/>
      <c r="V266" s="81"/>
      <c r="W266" s="80">
        <v>1757950</v>
      </c>
    </row>
    <row r="267" spans="1:23" ht="15.6" x14ac:dyDescent="0.3">
      <c r="A267" s="67" t="s">
        <v>1147</v>
      </c>
      <c r="B267" s="69">
        <v>32426138</v>
      </c>
      <c r="C267" s="69" t="s">
        <v>1148</v>
      </c>
      <c r="D267" s="69">
        <v>0</v>
      </c>
      <c r="E267" s="70" t="s">
        <v>592</v>
      </c>
      <c r="F267" s="67" t="s">
        <v>1643</v>
      </c>
      <c r="G267" s="71">
        <v>38322</v>
      </c>
      <c r="H267" s="72"/>
      <c r="I267" s="133">
        <v>2031406.77</v>
      </c>
      <c r="J267" s="134">
        <v>305856.31</v>
      </c>
      <c r="K267" s="125"/>
      <c r="L267" s="74">
        <v>7.4700000000000003E-2</v>
      </c>
      <c r="M267" s="75">
        <v>18001</v>
      </c>
      <c r="N267" s="76">
        <v>14</v>
      </c>
      <c r="O267" s="76"/>
      <c r="P267" s="76"/>
      <c r="Q267" s="76"/>
      <c r="R267" s="67" t="s">
        <v>1574</v>
      </c>
      <c r="S267" s="68">
        <v>890900286</v>
      </c>
      <c r="T267" s="77"/>
      <c r="U267" s="78"/>
      <c r="V267" s="81"/>
      <c r="W267" s="80">
        <v>657887</v>
      </c>
    </row>
    <row r="268" spans="1:23" ht="15.6" x14ac:dyDescent="0.3">
      <c r="A268" s="67" t="s">
        <v>1149</v>
      </c>
      <c r="B268" s="69">
        <v>32441523</v>
      </c>
      <c r="C268" s="69" t="s">
        <v>1150</v>
      </c>
      <c r="D268" s="69">
        <v>0</v>
      </c>
      <c r="E268" s="70" t="s">
        <v>1119</v>
      </c>
      <c r="F268" s="67" t="s">
        <v>1643</v>
      </c>
      <c r="G268" s="71">
        <v>38363</v>
      </c>
      <c r="H268" s="72"/>
      <c r="I268" s="133">
        <v>1900390.38</v>
      </c>
      <c r="J268" s="134">
        <v>286129.98</v>
      </c>
      <c r="K268" s="125"/>
      <c r="L268" s="74">
        <v>4.36E-2</v>
      </c>
      <c r="M268" s="75">
        <v>76396</v>
      </c>
      <c r="N268" s="76">
        <v>14</v>
      </c>
      <c r="O268" s="76">
        <v>0</v>
      </c>
      <c r="P268" s="83">
        <v>407477</v>
      </c>
      <c r="Q268" s="76">
        <v>0</v>
      </c>
      <c r="R268" s="67" t="s">
        <v>1574</v>
      </c>
      <c r="S268" s="68">
        <v>890900286</v>
      </c>
      <c r="T268" s="77"/>
      <c r="U268" s="78"/>
      <c r="V268" s="63"/>
      <c r="W268" s="80">
        <v>1054463</v>
      </c>
    </row>
    <row r="269" spans="1:23" ht="15.6" x14ac:dyDescent="0.3">
      <c r="A269" s="67" t="s">
        <v>1151</v>
      </c>
      <c r="B269" s="69">
        <v>32445873</v>
      </c>
      <c r="C269" s="69" t="s">
        <v>1152</v>
      </c>
      <c r="D269" s="69">
        <v>0</v>
      </c>
      <c r="E269" s="70" t="s">
        <v>472</v>
      </c>
      <c r="F269" s="67" t="s">
        <v>1643</v>
      </c>
      <c r="G269" s="71">
        <v>38504</v>
      </c>
      <c r="H269" s="72"/>
      <c r="I269" s="133">
        <v>21766.54</v>
      </c>
      <c r="J269" s="134">
        <v>3277.25</v>
      </c>
      <c r="K269" s="125"/>
      <c r="L269" s="74">
        <v>1.1299999999999999E-2</v>
      </c>
      <c r="M269" s="75">
        <v>18005</v>
      </c>
      <c r="N269" s="76">
        <v>14</v>
      </c>
      <c r="O269" s="76"/>
      <c r="P269" s="76"/>
      <c r="Q269" s="76"/>
      <c r="R269" s="67" t="s">
        <v>1574</v>
      </c>
      <c r="S269" s="68">
        <v>890900286</v>
      </c>
      <c r="T269" s="77"/>
      <c r="U269" s="78"/>
      <c r="V269" s="81"/>
      <c r="W269" s="80">
        <v>46600</v>
      </c>
    </row>
    <row r="270" spans="1:23" ht="15.6" x14ac:dyDescent="0.3">
      <c r="A270" s="67" t="s">
        <v>1153</v>
      </c>
      <c r="B270" s="69">
        <v>32469969</v>
      </c>
      <c r="C270" s="69" t="s">
        <v>1154</v>
      </c>
      <c r="D270" s="69">
        <v>0</v>
      </c>
      <c r="E270" s="70" t="s">
        <v>758</v>
      </c>
      <c r="F270" s="67" t="s">
        <v>1643</v>
      </c>
      <c r="G270" s="71">
        <v>38538</v>
      </c>
      <c r="H270" s="72"/>
      <c r="I270" s="133">
        <v>2693502.99</v>
      </c>
      <c r="J270" s="134">
        <v>405544.03</v>
      </c>
      <c r="K270" s="125"/>
      <c r="L270" s="74">
        <v>0.123</v>
      </c>
      <c r="M270" s="75">
        <v>165638</v>
      </c>
      <c r="N270" s="76">
        <v>14</v>
      </c>
      <c r="O270" s="76">
        <v>0</v>
      </c>
      <c r="P270" s="83">
        <v>204717</v>
      </c>
      <c r="Q270" s="83">
        <v>1141934</v>
      </c>
      <c r="R270" s="67" t="s">
        <v>1574</v>
      </c>
      <c r="S270" s="68">
        <v>890900286</v>
      </c>
      <c r="T270" s="77"/>
      <c r="U270" s="78"/>
      <c r="V270" s="81"/>
      <c r="W270" s="80">
        <v>529770</v>
      </c>
    </row>
    <row r="271" spans="1:23" ht="15.6" x14ac:dyDescent="0.3">
      <c r="A271" s="67" t="s">
        <v>1155</v>
      </c>
      <c r="B271" s="69">
        <v>32453008</v>
      </c>
      <c r="C271" s="69" t="s">
        <v>1156</v>
      </c>
      <c r="D271" s="69">
        <v>0</v>
      </c>
      <c r="E271" s="70" t="s">
        <v>1119</v>
      </c>
      <c r="F271" s="67" t="s">
        <v>1643</v>
      </c>
      <c r="G271" s="71">
        <v>38777</v>
      </c>
      <c r="H271" s="72"/>
      <c r="I271" s="133">
        <v>894483.25</v>
      </c>
      <c r="J271" s="134">
        <v>134676.79</v>
      </c>
      <c r="K271" s="125"/>
      <c r="L271" s="74">
        <v>6.25E-2</v>
      </c>
      <c r="M271" s="75">
        <v>100303</v>
      </c>
      <c r="N271" s="76">
        <v>14</v>
      </c>
      <c r="O271" s="76">
        <v>0</v>
      </c>
      <c r="P271" s="83">
        <v>14280</v>
      </c>
      <c r="Q271" s="83">
        <v>1464562</v>
      </c>
      <c r="R271" s="67" t="s">
        <v>1574</v>
      </c>
      <c r="S271" s="68">
        <v>890900286</v>
      </c>
      <c r="T271" s="77"/>
      <c r="U271" s="78"/>
      <c r="V271" s="81"/>
      <c r="W271" s="80">
        <v>346232</v>
      </c>
    </row>
    <row r="272" spans="1:23" ht="15.6" x14ac:dyDescent="0.3">
      <c r="A272" s="67" t="s">
        <v>1163</v>
      </c>
      <c r="B272" s="69">
        <v>3351055</v>
      </c>
      <c r="C272" s="69" t="s">
        <v>1164</v>
      </c>
      <c r="D272" s="69">
        <v>0</v>
      </c>
      <c r="E272" s="70" t="s">
        <v>1128</v>
      </c>
      <c r="F272" s="67" t="s">
        <v>1643</v>
      </c>
      <c r="G272" s="71">
        <v>38922</v>
      </c>
      <c r="H272" s="72">
        <v>43606</v>
      </c>
      <c r="I272" s="133">
        <v>61691.11</v>
      </c>
      <c r="J272" s="134">
        <v>9288.4500000000007</v>
      </c>
      <c r="K272" s="125"/>
      <c r="L272" s="74">
        <v>5.5199999999999999E-2</v>
      </c>
      <c r="M272" s="75">
        <v>89270</v>
      </c>
      <c r="N272" s="76">
        <v>14</v>
      </c>
      <c r="O272" s="105">
        <v>0</v>
      </c>
      <c r="P272" s="83">
        <v>1788426</v>
      </c>
      <c r="Q272" s="76">
        <v>0</v>
      </c>
      <c r="R272" s="67" t="s">
        <v>1574</v>
      </c>
      <c r="S272" s="68">
        <v>890900286</v>
      </c>
      <c r="T272" s="77"/>
      <c r="U272" s="78"/>
      <c r="V272" s="118"/>
      <c r="W272" s="80">
        <v>27037</v>
      </c>
    </row>
    <row r="273" spans="1:23" ht="15.6" x14ac:dyDescent="0.3">
      <c r="A273" s="67" t="s">
        <v>1165</v>
      </c>
      <c r="B273" s="69">
        <v>3666660</v>
      </c>
      <c r="C273" s="69" t="s">
        <v>1166</v>
      </c>
      <c r="D273" s="69">
        <v>0</v>
      </c>
      <c r="E273" s="70" t="s">
        <v>1061</v>
      </c>
      <c r="F273" s="67" t="s">
        <v>1643</v>
      </c>
      <c r="G273" s="71">
        <v>38930</v>
      </c>
      <c r="H273" s="72"/>
      <c r="I273" s="133">
        <v>4631259.47</v>
      </c>
      <c r="J273" s="134">
        <v>697300</v>
      </c>
      <c r="K273" s="125"/>
      <c r="L273" s="74">
        <v>0.152</v>
      </c>
      <c r="M273" s="75">
        <v>258324</v>
      </c>
      <c r="N273" s="76">
        <v>14</v>
      </c>
      <c r="O273" s="76">
        <v>0</v>
      </c>
      <c r="P273" s="83">
        <v>1926096</v>
      </c>
      <c r="Q273" s="76">
        <v>0</v>
      </c>
      <c r="R273" s="67" t="s">
        <v>1574</v>
      </c>
      <c r="S273" s="68">
        <v>890900286</v>
      </c>
      <c r="T273" s="77"/>
      <c r="U273" s="78"/>
      <c r="V273" s="81"/>
      <c r="W273" s="80">
        <v>737107</v>
      </c>
    </row>
    <row r="274" spans="1:23" ht="15.6" x14ac:dyDescent="0.3">
      <c r="A274" s="67" t="s">
        <v>1167</v>
      </c>
      <c r="B274" s="69">
        <v>8289015</v>
      </c>
      <c r="C274" s="69" t="s">
        <v>1168</v>
      </c>
      <c r="D274" s="69">
        <v>0</v>
      </c>
      <c r="E274" s="70" t="s">
        <v>1128</v>
      </c>
      <c r="F274" s="67" t="s">
        <v>1643</v>
      </c>
      <c r="G274" s="71">
        <v>38930</v>
      </c>
      <c r="H274" s="87">
        <v>42004</v>
      </c>
      <c r="I274" s="133">
        <v>3485184.96</v>
      </c>
      <c r="J274" s="134">
        <v>524742.67000000004</v>
      </c>
      <c r="K274" s="125"/>
      <c r="L274" s="74">
        <v>9.4500000000000001E-2</v>
      </c>
      <c r="M274" s="75">
        <v>216847</v>
      </c>
      <c r="N274" s="76">
        <v>14</v>
      </c>
      <c r="O274" s="76">
        <v>0</v>
      </c>
      <c r="P274" s="83">
        <v>2294678</v>
      </c>
      <c r="Q274" s="76">
        <v>0</v>
      </c>
      <c r="R274" s="67" t="s">
        <v>1574</v>
      </c>
      <c r="S274" s="68">
        <v>890900286</v>
      </c>
      <c r="T274" s="77"/>
      <c r="U274" s="78"/>
      <c r="V274" s="81"/>
      <c r="W274" s="80">
        <v>892214</v>
      </c>
    </row>
    <row r="275" spans="1:23" ht="15.6" x14ac:dyDescent="0.3">
      <c r="A275" s="67" t="s">
        <v>1169</v>
      </c>
      <c r="B275" s="69">
        <v>3480157</v>
      </c>
      <c r="C275" s="69" t="s">
        <v>1170</v>
      </c>
      <c r="D275" s="69">
        <v>0</v>
      </c>
      <c r="E275" s="70" t="s">
        <v>1128</v>
      </c>
      <c r="F275" s="67" t="s">
        <v>1643</v>
      </c>
      <c r="G275" s="71">
        <v>38961</v>
      </c>
      <c r="H275" s="72">
        <v>42004</v>
      </c>
      <c r="I275" s="133">
        <v>10088314.560000001</v>
      </c>
      <c r="J275" s="134">
        <v>1518934.91</v>
      </c>
      <c r="K275" s="125"/>
      <c r="L275" s="74">
        <v>0.1744</v>
      </c>
      <c r="M275" s="75">
        <v>335091</v>
      </c>
      <c r="N275" s="76">
        <v>14</v>
      </c>
      <c r="O275" s="76">
        <v>0</v>
      </c>
      <c r="P275" s="83">
        <v>1927323</v>
      </c>
      <c r="Q275" s="76">
        <v>0</v>
      </c>
      <c r="R275" s="67" t="s">
        <v>1574</v>
      </c>
      <c r="S275" s="68">
        <v>890900286</v>
      </c>
      <c r="T275" s="77"/>
      <c r="U275" s="78"/>
      <c r="V275" s="81"/>
      <c r="W275" s="80">
        <v>1399417</v>
      </c>
    </row>
    <row r="276" spans="1:23" ht="15.6" x14ac:dyDescent="0.3">
      <c r="A276" s="67" t="s">
        <v>1171</v>
      </c>
      <c r="B276" s="69">
        <v>32487151</v>
      </c>
      <c r="C276" s="69" t="s">
        <v>1172</v>
      </c>
      <c r="D276" s="69">
        <v>0</v>
      </c>
      <c r="E276" s="70" t="s">
        <v>1100</v>
      </c>
      <c r="F276" s="67" t="s">
        <v>1643</v>
      </c>
      <c r="G276" s="71">
        <v>38985</v>
      </c>
      <c r="H276" s="72"/>
      <c r="I276" s="133">
        <v>8680397.6400000006</v>
      </c>
      <c r="J276" s="134">
        <v>1306953.6000000001</v>
      </c>
      <c r="K276" s="125"/>
      <c r="L276" s="74">
        <v>8.1100000000000005E-2</v>
      </c>
      <c r="M276" s="75">
        <v>246559</v>
      </c>
      <c r="N276" s="76">
        <v>13</v>
      </c>
      <c r="O276" s="76">
        <v>0</v>
      </c>
      <c r="P276" s="83">
        <v>1049149</v>
      </c>
      <c r="Q276" s="83">
        <v>1991042</v>
      </c>
      <c r="R276" s="67" t="s">
        <v>1574</v>
      </c>
      <c r="S276" s="68">
        <v>890900286</v>
      </c>
      <c r="T276" s="77"/>
      <c r="U276" s="78"/>
      <c r="V276" s="81"/>
      <c r="W276" s="80">
        <v>2589368</v>
      </c>
    </row>
    <row r="277" spans="1:23" ht="15.6" x14ac:dyDescent="0.3">
      <c r="A277" s="67" t="s">
        <v>650</v>
      </c>
      <c r="B277" s="69">
        <v>32492112</v>
      </c>
      <c r="C277" s="69" t="s">
        <v>651</v>
      </c>
      <c r="D277" s="69">
        <v>0</v>
      </c>
      <c r="E277" s="70" t="s">
        <v>472</v>
      </c>
      <c r="F277" s="67" t="s">
        <v>1643</v>
      </c>
      <c r="G277" s="71">
        <v>39416</v>
      </c>
      <c r="H277" s="72">
        <v>40543</v>
      </c>
      <c r="I277" s="133">
        <v>407604.22</v>
      </c>
      <c r="J277" s="134">
        <v>61370.44</v>
      </c>
      <c r="K277" s="125"/>
      <c r="L277" s="74">
        <v>3.2300000000000002E-2</v>
      </c>
      <c r="M277" s="75">
        <v>29061</v>
      </c>
      <c r="N277" s="76">
        <v>13</v>
      </c>
      <c r="O277" s="76"/>
      <c r="P277" s="76"/>
      <c r="Q277" s="76"/>
      <c r="R277" s="67" t="s">
        <v>1574</v>
      </c>
      <c r="S277" s="68">
        <v>890900286</v>
      </c>
      <c r="T277" s="77"/>
      <c r="U277" s="78"/>
      <c r="V277" s="81"/>
      <c r="W277" s="80">
        <v>305289</v>
      </c>
    </row>
    <row r="278" spans="1:23" ht="15.6" x14ac:dyDescent="0.3">
      <c r="A278" s="67" t="s">
        <v>1179</v>
      </c>
      <c r="B278" s="69">
        <v>22081149</v>
      </c>
      <c r="C278" s="69" t="s">
        <v>1180</v>
      </c>
      <c r="D278" s="69">
        <v>0</v>
      </c>
      <c r="E278" s="70" t="s">
        <v>1119</v>
      </c>
      <c r="F278" s="67" t="s">
        <v>1643</v>
      </c>
      <c r="G278" s="71">
        <v>39587</v>
      </c>
      <c r="H278" s="72">
        <v>40543</v>
      </c>
      <c r="I278" s="133">
        <v>613006.37</v>
      </c>
      <c r="J278" s="134">
        <v>92296.57</v>
      </c>
      <c r="K278" s="125"/>
      <c r="L278" s="74">
        <v>0.2051</v>
      </c>
      <c r="M278" s="75">
        <v>312331</v>
      </c>
      <c r="N278" s="76">
        <v>13</v>
      </c>
      <c r="O278" s="76">
        <v>0</v>
      </c>
      <c r="P278" s="83">
        <v>32346</v>
      </c>
      <c r="Q278" s="83">
        <v>1490477</v>
      </c>
      <c r="R278" s="67" t="s">
        <v>1574</v>
      </c>
      <c r="S278" s="68">
        <v>890900286</v>
      </c>
      <c r="T278" s="77"/>
      <c r="U278" s="78"/>
      <c r="V278" s="81"/>
      <c r="W278" s="80">
        <v>72306</v>
      </c>
    </row>
    <row r="279" spans="1:23" ht="15.6" x14ac:dyDescent="0.3">
      <c r="A279" s="67" t="s">
        <v>1181</v>
      </c>
      <c r="B279" s="69">
        <v>8286723</v>
      </c>
      <c r="C279" s="69" t="s">
        <v>1182</v>
      </c>
      <c r="D279" s="69">
        <v>0</v>
      </c>
      <c r="E279" s="70" t="s">
        <v>1061</v>
      </c>
      <c r="F279" s="67" t="s">
        <v>1643</v>
      </c>
      <c r="G279" s="71">
        <v>40026</v>
      </c>
      <c r="H279" s="72"/>
      <c r="I279" s="133">
        <v>2455280.9700000002</v>
      </c>
      <c r="J279" s="134">
        <v>369676.42</v>
      </c>
      <c r="K279" s="125"/>
      <c r="L279" s="74">
        <v>0.2</v>
      </c>
      <c r="M279" s="75">
        <v>241810</v>
      </c>
      <c r="N279" s="76">
        <v>14</v>
      </c>
      <c r="O279" s="76">
        <v>0</v>
      </c>
      <c r="P279" s="83">
        <v>143068</v>
      </c>
      <c r="Q279" s="83">
        <v>1065980</v>
      </c>
      <c r="R279" s="67" t="s">
        <v>1574</v>
      </c>
      <c r="S279" s="68">
        <v>890900286</v>
      </c>
      <c r="T279" s="77"/>
      <c r="U279" s="78"/>
      <c r="V279" s="81"/>
      <c r="W279" s="80">
        <v>296993</v>
      </c>
    </row>
    <row r="280" spans="1:23" ht="15.6" x14ac:dyDescent="0.3">
      <c r="A280" s="67" t="s">
        <v>642</v>
      </c>
      <c r="B280" s="69">
        <v>32412374</v>
      </c>
      <c r="C280" s="69" t="s">
        <v>643</v>
      </c>
      <c r="D280" s="69">
        <v>0</v>
      </c>
      <c r="E280" s="70" t="s">
        <v>472</v>
      </c>
      <c r="F280" s="67" t="s">
        <v>1643</v>
      </c>
      <c r="G280" s="71">
        <v>34700</v>
      </c>
      <c r="H280" s="72"/>
      <c r="I280" s="133">
        <v>92066.04</v>
      </c>
      <c r="J280" s="134">
        <v>13861.81</v>
      </c>
      <c r="K280" s="125"/>
      <c r="L280" s="74">
        <v>6.1100000000000002E-2</v>
      </c>
      <c r="M280" s="75">
        <v>45689</v>
      </c>
      <c r="N280" s="76">
        <v>14</v>
      </c>
      <c r="O280" s="76"/>
      <c r="P280" s="76"/>
      <c r="Q280" s="76"/>
      <c r="R280" s="67" t="s">
        <v>1575</v>
      </c>
      <c r="S280" s="68">
        <v>890904646</v>
      </c>
      <c r="T280" s="77"/>
      <c r="U280" s="78"/>
      <c r="V280" s="81"/>
      <c r="W280" s="80">
        <v>36453</v>
      </c>
    </row>
    <row r="281" spans="1:23" ht="15.6" x14ac:dyDescent="0.3">
      <c r="A281" s="67" t="s">
        <v>1185</v>
      </c>
      <c r="B281" s="69">
        <v>6435800</v>
      </c>
      <c r="C281" s="69" t="s">
        <v>1186</v>
      </c>
      <c r="D281" s="69">
        <v>0</v>
      </c>
      <c r="E281" s="70" t="s">
        <v>472</v>
      </c>
      <c r="F281" s="67" t="s">
        <v>1643</v>
      </c>
      <c r="G281" s="71">
        <v>35033</v>
      </c>
      <c r="H281" s="72">
        <v>44561</v>
      </c>
      <c r="I281" s="133">
        <v>716998.5</v>
      </c>
      <c r="J281" s="134">
        <v>107954.02</v>
      </c>
      <c r="K281" s="125"/>
      <c r="L281" s="74">
        <v>4.2900000000000001E-2</v>
      </c>
      <c r="M281" s="75">
        <v>14225</v>
      </c>
      <c r="N281" s="76">
        <v>14</v>
      </c>
      <c r="O281" s="76"/>
      <c r="P281" s="76"/>
      <c r="Q281" s="76"/>
      <c r="R281" s="67" t="s">
        <v>1576</v>
      </c>
      <c r="S281" s="68">
        <v>890904996</v>
      </c>
      <c r="T281" s="77"/>
      <c r="U281" s="78"/>
      <c r="V281" s="81"/>
      <c r="W281" s="80">
        <v>404330</v>
      </c>
    </row>
    <row r="282" spans="1:23" ht="15.6" x14ac:dyDescent="0.3">
      <c r="A282" s="67" t="s">
        <v>1187</v>
      </c>
      <c r="B282" s="69">
        <v>6781718</v>
      </c>
      <c r="C282" s="69" t="s">
        <v>1134</v>
      </c>
      <c r="D282" s="69">
        <v>0</v>
      </c>
      <c r="E282" s="70" t="s">
        <v>592</v>
      </c>
      <c r="F282" s="67" t="s">
        <v>1643</v>
      </c>
      <c r="G282" s="71">
        <v>35905</v>
      </c>
      <c r="H282" s="72">
        <v>44561</v>
      </c>
      <c r="I282" s="133">
        <v>38488866.799999997</v>
      </c>
      <c r="J282" s="134">
        <v>5795029.79</v>
      </c>
      <c r="K282" s="125"/>
      <c r="L282" s="74">
        <v>0.23730000000000001</v>
      </c>
      <c r="M282" s="96">
        <v>609757</v>
      </c>
      <c r="N282" s="76">
        <v>14</v>
      </c>
      <c r="O282" s="76"/>
      <c r="P282" s="76"/>
      <c r="Q282" s="76"/>
      <c r="R282" s="67" t="s">
        <v>1576</v>
      </c>
      <c r="S282" s="68">
        <v>890904996</v>
      </c>
      <c r="T282" s="77">
        <v>32338646</v>
      </c>
      <c r="U282" s="78" t="s">
        <v>1791</v>
      </c>
      <c r="V282" s="81"/>
      <c r="W282" s="80">
        <v>3923850</v>
      </c>
    </row>
    <row r="283" spans="1:23" ht="15.6" x14ac:dyDescent="0.3">
      <c r="A283" s="67" t="s">
        <v>1190</v>
      </c>
      <c r="B283" s="69">
        <v>8276654</v>
      </c>
      <c r="C283" s="69" t="s">
        <v>1191</v>
      </c>
      <c r="D283" s="69">
        <v>0</v>
      </c>
      <c r="E283" s="70" t="s">
        <v>472</v>
      </c>
      <c r="F283" s="67" t="s">
        <v>1643</v>
      </c>
      <c r="G283" s="71">
        <v>38991</v>
      </c>
      <c r="H283" s="72"/>
      <c r="I283" s="133">
        <v>15801798.83</v>
      </c>
      <c r="J283" s="134">
        <v>2379178.7799999998</v>
      </c>
      <c r="K283" s="125"/>
      <c r="L283" s="74">
        <v>0.52759999999999996</v>
      </c>
      <c r="M283" s="75">
        <v>358738</v>
      </c>
      <c r="N283" s="76">
        <v>14</v>
      </c>
      <c r="O283" s="76"/>
      <c r="P283" s="76"/>
      <c r="Q283" s="76"/>
      <c r="R283" s="67" t="s">
        <v>1576</v>
      </c>
      <c r="S283" s="68">
        <v>890904996</v>
      </c>
      <c r="T283" s="77"/>
      <c r="U283" s="78"/>
      <c r="V283" s="81"/>
      <c r="W283" s="80">
        <v>724564</v>
      </c>
    </row>
    <row r="284" spans="1:23" ht="15.6" x14ac:dyDescent="0.3">
      <c r="A284" s="67" t="s">
        <v>1192</v>
      </c>
      <c r="B284" s="69">
        <v>8301405</v>
      </c>
      <c r="C284" s="69" t="s">
        <v>1193</v>
      </c>
      <c r="D284" s="69">
        <v>0</v>
      </c>
      <c r="E284" s="70" t="s">
        <v>592</v>
      </c>
      <c r="F284" s="67" t="s">
        <v>1643</v>
      </c>
      <c r="G284" s="71">
        <v>39508</v>
      </c>
      <c r="H284" s="72">
        <v>44196</v>
      </c>
      <c r="I284" s="133">
        <v>104908613.40000001</v>
      </c>
      <c r="J284" s="134">
        <v>15795438.800000001</v>
      </c>
      <c r="K284" s="125"/>
      <c r="L284" s="74">
        <v>0.71530000000000005</v>
      </c>
      <c r="M284" s="75">
        <v>507299</v>
      </c>
      <c r="N284" s="76">
        <v>13</v>
      </c>
      <c r="O284" s="76"/>
      <c r="P284" s="76"/>
      <c r="Q284" s="76"/>
      <c r="R284" s="67" t="s">
        <v>1577</v>
      </c>
      <c r="S284" s="68">
        <v>890905055</v>
      </c>
      <c r="T284" s="77"/>
      <c r="U284" s="78"/>
      <c r="V284" s="81"/>
      <c r="W284" s="80">
        <v>3548117</v>
      </c>
    </row>
    <row r="285" spans="1:23" ht="15.6" x14ac:dyDescent="0.3">
      <c r="A285" s="67" t="s">
        <v>1120</v>
      </c>
      <c r="B285" s="69">
        <v>3329674</v>
      </c>
      <c r="C285" s="69" t="s">
        <v>1121</v>
      </c>
      <c r="D285" s="69">
        <v>0</v>
      </c>
      <c r="E285" s="70" t="s">
        <v>472</v>
      </c>
      <c r="F285" s="67" t="s">
        <v>1643</v>
      </c>
      <c r="G285" s="71">
        <v>34303</v>
      </c>
      <c r="H285" s="72">
        <v>44196</v>
      </c>
      <c r="I285" s="133">
        <v>15776061.43</v>
      </c>
      <c r="J285" s="134">
        <v>2375303.65</v>
      </c>
      <c r="K285" s="125"/>
      <c r="L285" s="74">
        <v>0.1095</v>
      </c>
      <c r="M285" s="75">
        <v>157187</v>
      </c>
      <c r="N285" s="76">
        <v>14</v>
      </c>
      <c r="O285" s="76"/>
      <c r="P285" s="76"/>
      <c r="Q285" s="76"/>
      <c r="R285" s="67" t="s">
        <v>1578</v>
      </c>
      <c r="S285" s="68">
        <v>890905065</v>
      </c>
      <c r="T285" s="77"/>
      <c r="U285" s="78"/>
      <c r="V285" s="81"/>
      <c r="W285" s="80">
        <v>3485455</v>
      </c>
    </row>
    <row r="286" spans="1:23" ht="15.6" x14ac:dyDescent="0.3">
      <c r="A286" s="67" t="s">
        <v>1194</v>
      </c>
      <c r="B286" s="69">
        <v>21264648</v>
      </c>
      <c r="C286" s="69" t="s">
        <v>1195</v>
      </c>
      <c r="D286" s="69">
        <v>0</v>
      </c>
      <c r="E286" s="70" t="s">
        <v>472</v>
      </c>
      <c r="F286" s="67" t="s">
        <v>1643</v>
      </c>
      <c r="G286" s="71">
        <v>30864</v>
      </c>
      <c r="H286" s="72">
        <v>44196</v>
      </c>
      <c r="I286" s="133">
        <v>18267210.260000002</v>
      </c>
      <c r="J286" s="134">
        <v>2750380.47</v>
      </c>
      <c r="K286" s="125"/>
      <c r="L286" s="74">
        <v>0.26540000000000002</v>
      </c>
      <c r="M286" s="75">
        <v>8604</v>
      </c>
      <c r="N286" s="76">
        <v>14</v>
      </c>
      <c r="O286" s="76"/>
      <c r="P286" s="76"/>
      <c r="Q286" s="76"/>
      <c r="R286" s="67" t="s">
        <v>1579</v>
      </c>
      <c r="S286" s="68">
        <v>890905166</v>
      </c>
      <c r="T286" s="77">
        <v>3335726</v>
      </c>
      <c r="U286" s="78" t="s">
        <v>1792</v>
      </c>
      <c r="V286" s="81"/>
      <c r="W286" s="80">
        <v>1665123</v>
      </c>
    </row>
    <row r="287" spans="1:23" ht="15.6" x14ac:dyDescent="0.3">
      <c r="A287" s="67" t="s">
        <v>1196</v>
      </c>
      <c r="B287" s="69">
        <v>32327708</v>
      </c>
      <c r="C287" s="69" t="s">
        <v>1197</v>
      </c>
      <c r="D287" s="69">
        <v>0</v>
      </c>
      <c r="E287" s="70" t="s">
        <v>592</v>
      </c>
      <c r="F287" s="67" t="s">
        <v>1643</v>
      </c>
      <c r="G287" s="71">
        <v>35431</v>
      </c>
      <c r="H287" s="87">
        <v>41274</v>
      </c>
      <c r="I287" s="133">
        <v>932716.21</v>
      </c>
      <c r="J287" s="134">
        <v>140433.29</v>
      </c>
      <c r="K287" s="125"/>
      <c r="L287" s="74">
        <v>0.1002</v>
      </c>
      <c r="M287" s="75">
        <v>70653</v>
      </c>
      <c r="N287" s="76">
        <v>14</v>
      </c>
      <c r="O287" s="76"/>
      <c r="P287" s="76"/>
      <c r="Q287" s="76"/>
      <c r="R287" s="67" t="s">
        <v>1579</v>
      </c>
      <c r="S287" s="68">
        <v>890905166</v>
      </c>
      <c r="T287" s="77"/>
      <c r="U287" s="78"/>
      <c r="V287" s="81"/>
      <c r="W287" s="80">
        <v>225194</v>
      </c>
    </row>
    <row r="288" spans="1:23" ht="15.6" x14ac:dyDescent="0.3">
      <c r="A288" s="67" t="s">
        <v>1131</v>
      </c>
      <c r="B288" s="69">
        <v>32400861</v>
      </c>
      <c r="C288" s="69" t="s">
        <v>1132</v>
      </c>
      <c r="D288" s="69">
        <v>0</v>
      </c>
      <c r="E288" s="70" t="s">
        <v>592</v>
      </c>
      <c r="F288" s="67" t="s">
        <v>1643</v>
      </c>
      <c r="G288" s="71">
        <v>35796</v>
      </c>
      <c r="H288" s="72">
        <v>44196</v>
      </c>
      <c r="I288" s="133">
        <v>11324078.550000001</v>
      </c>
      <c r="J288" s="134">
        <v>1704996.22</v>
      </c>
      <c r="K288" s="125"/>
      <c r="L288" s="74">
        <v>0.45900000000000002</v>
      </c>
      <c r="M288" s="75">
        <v>280848</v>
      </c>
      <c r="N288" s="76">
        <v>14</v>
      </c>
      <c r="O288" s="76"/>
      <c r="P288" s="76"/>
      <c r="Q288" s="76"/>
      <c r="R288" s="67" t="s">
        <v>1579</v>
      </c>
      <c r="S288" s="68">
        <v>890905166</v>
      </c>
      <c r="T288" s="77"/>
      <c r="U288" s="78"/>
      <c r="V288" s="81"/>
      <c r="W288" s="80">
        <v>596850</v>
      </c>
    </row>
    <row r="289" spans="1:23" ht="15.6" x14ac:dyDescent="0.3">
      <c r="A289" s="67" t="s">
        <v>1198</v>
      </c>
      <c r="B289" s="69">
        <v>32076761</v>
      </c>
      <c r="C289" s="69" t="s">
        <v>1199</v>
      </c>
      <c r="D289" s="69">
        <v>0</v>
      </c>
      <c r="E289" s="70" t="s">
        <v>592</v>
      </c>
      <c r="F289" s="67" t="s">
        <v>1643</v>
      </c>
      <c r="G289" s="71">
        <v>37073</v>
      </c>
      <c r="H289" s="72">
        <v>44196</v>
      </c>
      <c r="I289" s="133">
        <v>6623306.4900000002</v>
      </c>
      <c r="J289" s="134">
        <v>997230.15</v>
      </c>
      <c r="K289" s="125"/>
      <c r="L289" s="74">
        <v>0.1336</v>
      </c>
      <c r="M289" s="75">
        <v>142785</v>
      </c>
      <c r="N289" s="76">
        <v>14</v>
      </c>
      <c r="O289" s="76"/>
      <c r="P289" s="76"/>
      <c r="Q289" s="76"/>
      <c r="R289" s="67" t="s">
        <v>1579</v>
      </c>
      <c r="S289" s="68">
        <v>890905166</v>
      </c>
      <c r="T289" s="77"/>
      <c r="U289" s="78"/>
      <c r="V289" s="81"/>
      <c r="W289" s="80">
        <v>1199343</v>
      </c>
    </row>
    <row r="290" spans="1:23" ht="15.6" x14ac:dyDescent="0.3">
      <c r="A290" s="67" t="s">
        <v>1212</v>
      </c>
      <c r="B290" s="69">
        <v>2048069</v>
      </c>
      <c r="C290" s="69" t="s">
        <v>1213</v>
      </c>
      <c r="D290" s="69">
        <v>0</v>
      </c>
      <c r="E290" s="70" t="s">
        <v>472</v>
      </c>
      <c r="F290" s="67" t="s">
        <v>1643</v>
      </c>
      <c r="G290" s="71">
        <v>33832</v>
      </c>
      <c r="H290" s="72">
        <v>44196</v>
      </c>
      <c r="I290" s="133">
        <v>1642531.91</v>
      </c>
      <c r="J290" s="134">
        <v>247305.83</v>
      </c>
      <c r="K290" s="125"/>
      <c r="L290" s="74">
        <v>4.2599999999999999E-2</v>
      </c>
      <c r="M290" s="75">
        <v>9314</v>
      </c>
      <c r="N290" s="76">
        <v>14</v>
      </c>
      <c r="O290" s="76"/>
      <c r="P290" s="76"/>
      <c r="Q290" s="76"/>
      <c r="R290" s="67" t="s">
        <v>1580</v>
      </c>
      <c r="S290" s="68">
        <v>890905211</v>
      </c>
      <c r="T290" s="77">
        <v>32507885</v>
      </c>
      <c r="U290" s="78" t="s">
        <v>1747</v>
      </c>
      <c r="V290" s="81"/>
      <c r="W290" s="80">
        <v>932780</v>
      </c>
    </row>
    <row r="291" spans="1:23" ht="15.6" x14ac:dyDescent="0.3">
      <c r="A291" s="67" t="s">
        <v>1120</v>
      </c>
      <c r="B291" s="69">
        <v>3329674</v>
      </c>
      <c r="C291" s="69" t="s">
        <v>1121</v>
      </c>
      <c r="D291" s="69">
        <v>0</v>
      </c>
      <c r="E291" s="70" t="s">
        <v>472</v>
      </c>
      <c r="F291" s="67" t="s">
        <v>1643</v>
      </c>
      <c r="G291" s="71">
        <v>34303</v>
      </c>
      <c r="H291" s="72">
        <v>44196</v>
      </c>
      <c r="I291" s="133">
        <v>15776061.43</v>
      </c>
      <c r="J291" s="134">
        <v>2375303.65</v>
      </c>
      <c r="K291" s="125"/>
      <c r="L291" s="74">
        <v>0.1095</v>
      </c>
      <c r="M291" s="75">
        <v>72798</v>
      </c>
      <c r="N291" s="76">
        <v>14</v>
      </c>
      <c r="O291" s="76"/>
      <c r="P291" s="76"/>
      <c r="Q291" s="76"/>
      <c r="R291" s="67" t="s">
        <v>1580</v>
      </c>
      <c r="S291" s="68">
        <v>890905211</v>
      </c>
      <c r="T291" s="77"/>
      <c r="U291" s="78"/>
      <c r="V291" s="63"/>
      <c r="W291" s="80">
        <v>3485455</v>
      </c>
    </row>
    <row r="292" spans="1:23" ht="15.6" x14ac:dyDescent="0.3">
      <c r="A292" s="67" t="s">
        <v>1214</v>
      </c>
      <c r="B292" s="69">
        <v>6781718</v>
      </c>
      <c r="C292" s="69" t="s">
        <v>1134</v>
      </c>
      <c r="D292" s="69">
        <v>0</v>
      </c>
      <c r="E292" s="70" t="s">
        <v>472</v>
      </c>
      <c r="F292" s="67" t="s">
        <v>1643</v>
      </c>
      <c r="G292" s="71">
        <v>35905</v>
      </c>
      <c r="H292" s="72">
        <v>44196</v>
      </c>
      <c r="I292" s="133">
        <v>38488866.799999997</v>
      </c>
      <c r="J292" s="134">
        <v>5795029.79</v>
      </c>
      <c r="K292" s="125"/>
      <c r="L292" s="74">
        <v>0.23730000000000001</v>
      </c>
      <c r="M292" s="75">
        <v>238332</v>
      </c>
      <c r="N292" s="76">
        <v>14</v>
      </c>
      <c r="O292" s="76"/>
      <c r="P292" s="76"/>
      <c r="Q292" s="76"/>
      <c r="R292" s="67" t="s">
        <v>1580</v>
      </c>
      <c r="S292" s="68">
        <v>890905211</v>
      </c>
      <c r="T292" s="77">
        <v>32338646</v>
      </c>
      <c r="U292" s="78" t="s">
        <v>1791</v>
      </c>
      <c r="V292" s="81"/>
      <c r="W292" s="80">
        <v>3923850</v>
      </c>
    </row>
    <row r="293" spans="1:23" ht="15.6" x14ac:dyDescent="0.3">
      <c r="A293" s="67" t="s">
        <v>1135</v>
      </c>
      <c r="B293" s="69">
        <v>8238115</v>
      </c>
      <c r="C293" s="69" t="s">
        <v>1136</v>
      </c>
      <c r="D293" s="69">
        <v>0</v>
      </c>
      <c r="E293" s="70" t="s">
        <v>472</v>
      </c>
      <c r="F293" s="67" t="s">
        <v>1643</v>
      </c>
      <c r="G293" s="71">
        <v>36860</v>
      </c>
      <c r="H293" s="72">
        <v>44196</v>
      </c>
      <c r="I293" s="133">
        <v>5604902.0899999999</v>
      </c>
      <c r="J293" s="134">
        <v>843895.32</v>
      </c>
      <c r="K293" s="125"/>
      <c r="L293" s="74">
        <v>7.9100000000000004E-2</v>
      </c>
      <c r="M293" s="75">
        <v>78785</v>
      </c>
      <c r="N293" s="76">
        <v>14</v>
      </c>
      <c r="O293" s="76"/>
      <c r="P293" s="76"/>
      <c r="Q293" s="76"/>
      <c r="R293" s="67" t="s">
        <v>1580</v>
      </c>
      <c r="S293" s="68">
        <v>890905211</v>
      </c>
      <c r="T293" s="77">
        <v>21547126</v>
      </c>
      <c r="U293" s="78" t="s">
        <v>1741</v>
      </c>
      <c r="V293" s="81"/>
      <c r="W293" s="80">
        <v>1714220</v>
      </c>
    </row>
    <row r="294" spans="1:23" ht="15.6" x14ac:dyDescent="0.3">
      <c r="A294" s="67" t="s">
        <v>1217</v>
      </c>
      <c r="B294" s="69">
        <v>32416518</v>
      </c>
      <c r="C294" s="69" t="s">
        <v>1218</v>
      </c>
      <c r="D294" s="69">
        <v>0</v>
      </c>
      <c r="E294" s="70" t="s">
        <v>472</v>
      </c>
      <c r="F294" s="67" t="s">
        <v>1643</v>
      </c>
      <c r="G294" s="71">
        <v>36860</v>
      </c>
      <c r="H294" s="72">
        <v>44196</v>
      </c>
      <c r="I294" s="133">
        <v>30727080.460000001</v>
      </c>
      <c r="J294" s="134">
        <v>4626385.8</v>
      </c>
      <c r="K294" s="125"/>
      <c r="L294" s="74">
        <v>0.33529999999999999</v>
      </c>
      <c r="M294" s="75">
        <v>359613</v>
      </c>
      <c r="N294" s="76">
        <v>14</v>
      </c>
      <c r="O294" s="76"/>
      <c r="P294" s="76"/>
      <c r="Q294" s="76"/>
      <c r="R294" s="67" t="s">
        <v>1580</v>
      </c>
      <c r="S294" s="68">
        <v>890905211</v>
      </c>
      <c r="T294" s="77"/>
      <c r="U294" s="78"/>
      <c r="V294" s="81"/>
      <c r="W294" s="80">
        <v>2216985</v>
      </c>
    </row>
    <row r="295" spans="1:23" ht="15.6" x14ac:dyDescent="0.3">
      <c r="A295" s="67" t="s">
        <v>1219</v>
      </c>
      <c r="B295" s="69">
        <v>8273356</v>
      </c>
      <c r="C295" s="69" t="s">
        <v>1220</v>
      </c>
      <c r="D295" s="69">
        <v>0</v>
      </c>
      <c r="E295" s="70" t="s">
        <v>472</v>
      </c>
      <c r="F295" s="67" t="s">
        <v>1643</v>
      </c>
      <c r="G295" s="71">
        <v>40909</v>
      </c>
      <c r="H295" s="72">
        <v>44196</v>
      </c>
      <c r="I295" s="133">
        <v>11585109.689999999</v>
      </c>
      <c r="J295" s="134">
        <v>1744298.06</v>
      </c>
      <c r="K295" s="125"/>
      <c r="L295" s="74">
        <v>0.4375</v>
      </c>
      <c r="M295" s="75">
        <v>667713</v>
      </c>
      <c r="N295" s="76">
        <v>14</v>
      </c>
      <c r="O295" s="76"/>
      <c r="P295" s="76"/>
      <c r="Q295" s="76"/>
      <c r="R295" s="67" t="s">
        <v>1580</v>
      </c>
      <c r="S295" s="68">
        <v>890905211</v>
      </c>
      <c r="T295" s="77"/>
      <c r="U295" s="78"/>
      <c r="V295" s="81"/>
      <c r="W295" s="80">
        <v>640615</v>
      </c>
    </row>
    <row r="296" spans="1:23" ht="15.6" x14ac:dyDescent="0.3">
      <c r="A296" s="67" t="s">
        <v>1137</v>
      </c>
      <c r="B296" s="69">
        <v>32417836</v>
      </c>
      <c r="C296" s="69" t="s">
        <v>1138</v>
      </c>
      <c r="D296" s="69">
        <v>0</v>
      </c>
      <c r="E296" s="70" t="s">
        <v>472</v>
      </c>
      <c r="F296" s="67" t="s">
        <v>1643</v>
      </c>
      <c r="G296" s="71">
        <v>37590</v>
      </c>
      <c r="H296" s="72">
        <v>44196</v>
      </c>
      <c r="I296" s="133">
        <v>5180429.1500000004</v>
      </c>
      <c r="J296" s="134">
        <v>779985.06</v>
      </c>
      <c r="K296" s="125"/>
      <c r="L296" s="74">
        <v>4.7E-2</v>
      </c>
      <c r="M296" s="75">
        <v>781611</v>
      </c>
      <c r="N296" s="76">
        <v>14</v>
      </c>
      <c r="O296" s="76"/>
      <c r="P296" s="76"/>
      <c r="Q296" s="76"/>
      <c r="R296" s="67" t="s">
        <v>1580</v>
      </c>
      <c r="S296" s="68">
        <v>890905211</v>
      </c>
      <c r="T296" s="77"/>
      <c r="U296" s="78"/>
      <c r="V296" s="81"/>
      <c r="W296" s="80">
        <v>2666508</v>
      </c>
    </row>
    <row r="297" spans="1:23" ht="15.6" x14ac:dyDescent="0.3">
      <c r="A297" s="67" t="s">
        <v>1145</v>
      </c>
      <c r="B297" s="69">
        <v>8387556</v>
      </c>
      <c r="C297" s="69" t="s">
        <v>1146</v>
      </c>
      <c r="D297" s="69">
        <v>0</v>
      </c>
      <c r="E297" s="70" t="s">
        <v>472</v>
      </c>
      <c r="F297" s="67" t="s">
        <v>1643</v>
      </c>
      <c r="G297" s="71">
        <v>38246</v>
      </c>
      <c r="H297" s="72">
        <v>44196</v>
      </c>
      <c r="I297" s="133">
        <v>9541051.3699999992</v>
      </c>
      <c r="J297" s="134">
        <v>1436536.89</v>
      </c>
      <c r="K297" s="125"/>
      <c r="L297" s="74">
        <v>0.1313</v>
      </c>
      <c r="M297" s="75">
        <v>439598</v>
      </c>
      <c r="N297" s="76">
        <v>14</v>
      </c>
      <c r="O297" s="76"/>
      <c r="P297" s="76"/>
      <c r="Q297" s="76"/>
      <c r="R297" s="67" t="s">
        <v>1580</v>
      </c>
      <c r="S297" s="68">
        <v>890905211</v>
      </c>
      <c r="T297" s="77"/>
      <c r="U297" s="78"/>
      <c r="V297" s="81"/>
      <c r="W297" s="80">
        <v>1757950</v>
      </c>
    </row>
    <row r="298" spans="1:23" ht="15.6" x14ac:dyDescent="0.3">
      <c r="A298" s="67" t="s">
        <v>1223</v>
      </c>
      <c r="B298" s="69">
        <v>8296085</v>
      </c>
      <c r="C298" s="69" t="s">
        <v>1224</v>
      </c>
      <c r="D298" s="69">
        <v>0</v>
      </c>
      <c r="E298" s="70" t="s">
        <v>472</v>
      </c>
      <c r="F298" s="67" t="s">
        <v>1643</v>
      </c>
      <c r="G298" s="71">
        <v>38817</v>
      </c>
      <c r="H298" s="72">
        <v>44196</v>
      </c>
      <c r="I298" s="133">
        <v>5720792.7599999998</v>
      </c>
      <c r="J298" s="134">
        <v>861344.26</v>
      </c>
      <c r="K298" s="125"/>
      <c r="L298" s="74">
        <v>0.16539999999999999</v>
      </c>
      <c r="M298" s="75">
        <v>324680</v>
      </c>
      <c r="N298" s="76">
        <v>14</v>
      </c>
      <c r="O298" s="76"/>
      <c r="P298" s="76"/>
      <c r="Q298" s="76"/>
      <c r="R298" s="67" t="s">
        <v>1580</v>
      </c>
      <c r="S298" s="68">
        <v>890905211</v>
      </c>
      <c r="T298" s="77"/>
      <c r="U298" s="78"/>
      <c r="V298" s="81"/>
      <c r="W298" s="80">
        <v>836750</v>
      </c>
    </row>
    <row r="299" spans="1:23" ht="15.6" x14ac:dyDescent="0.3">
      <c r="A299" s="67" t="s">
        <v>1225</v>
      </c>
      <c r="B299" s="69">
        <v>6785613</v>
      </c>
      <c r="C299" s="69" t="s">
        <v>1226</v>
      </c>
      <c r="D299" s="69">
        <v>0</v>
      </c>
      <c r="E299" s="70" t="s">
        <v>472</v>
      </c>
      <c r="F299" s="67" t="s">
        <v>1643</v>
      </c>
      <c r="G299" s="71">
        <v>38839</v>
      </c>
      <c r="H299" s="72">
        <v>44196</v>
      </c>
      <c r="I299" s="133">
        <v>408689.52</v>
      </c>
      <c r="J299" s="134">
        <v>61533.85</v>
      </c>
      <c r="K299" s="125"/>
      <c r="L299" s="74">
        <v>1.15E-2</v>
      </c>
      <c r="M299" s="75">
        <v>28236</v>
      </c>
      <c r="N299" s="76">
        <v>14</v>
      </c>
      <c r="O299" s="76"/>
      <c r="P299" s="76"/>
      <c r="Q299" s="76"/>
      <c r="R299" s="67" t="s">
        <v>1580</v>
      </c>
      <c r="S299" s="68">
        <v>890905211</v>
      </c>
      <c r="T299" s="77">
        <v>32477167</v>
      </c>
      <c r="U299" s="78" t="s">
        <v>1748</v>
      </c>
      <c r="V299" s="63"/>
      <c r="W299" s="80">
        <v>859747</v>
      </c>
    </row>
    <row r="300" spans="1:23" ht="15.6" x14ac:dyDescent="0.3">
      <c r="A300" s="67" t="s">
        <v>1227</v>
      </c>
      <c r="B300" s="69">
        <v>8255630</v>
      </c>
      <c r="C300" s="69" t="s">
        <v>1228</v>
      </c>
      <c r="D300" s="69">
        <v>0</v>
      </c>
      <c r="E300" s="70" t="s">
        <v>472</v>
      </c>
      <c r="F300" s="67" t="s">
        <v>1643</v>
      </c>
      <c r="G300" s="71">
        <v>38867</v>
      </c>
      <c r="H300" s="72">
        <v>44196</v>
      </c>
      <c r="I300" s="133">
        <v>4372819.55</v>
      </c>
      <c r="J300" s="134">
        <v>658388.30000000005</v>
      </c>
      <c r="K300" s="125"/>
      <c r="L300" s="74">
        <v>0.2213</v>
      </c>
      <c r="M300" s="75">
        <v>455383</v>
      </c>
      <c r="N300" s="76">
        <v>14</v>
      </c>
      <c r="O300" s="76"/>
      <c r="P300" s="76"/>
      <c r="Q300" s="76"/>
      <c r="R300" s="67" t="s">
        <v>1580</v>
      </c>
      <c r="S300" s="68">
        <v>890905211</v>
      </c>
      <c r="T300" s="77"/>
      <c r="U300" s="78"/>
      <c r="V300" s="81"/>
      <c r="W300" s="80">
        <v>478030</v>
      </c>
    </row>
    <row r="301" spans="1:23" ht="15.6" x14ac:dyDescent="0.3">
      <c r="A301" s="67" t="s">
        <v>1229</v>
      </c>
      <c r="B301" s="69">
        <v>8303286</v>
      </c>
      <c r="C301" s="69" t="s">
        <v>1230</v>
      </c>
      <c r="D301" s="69">
        <v>0</v>
      </c>
      <c r="E301" s="70" t="s">
        <v>472</v>
      </c>
      <c r="F301" s="67" t="s">
        <v>1643</v>
      </c>
      <c r="G301" s="71">
        <v>38867</v>
      </c>
      <c r="H301" s="72"/>
      <c r="I301" s="133">
        <v>11834368.619999999</v>
      </c>
      <c r="J301" s="134">
        <v>1781827.43</v>
      </c>
      <c r="K301" s="125"/>
      <c r="L301" s="74">
        <v>0.40970000000000001</v>
      </c>
      <c r="M301" s="75">
        <v>737646</v>
      </c>
      <c r="N301" s="76">
        <v>14</v>
      </c>
      <c r="O301" s="76"/>
      <c r="P301" s="76"/>
      <c r="Q301" s="76"/>
      <c r="R301" s="67" t="s">
        <v>1580</v>
      </c>
      <c r="S301" s="68">
        <v>890905211</v>
      </c>
      <c r="T301" s="77">
        <v>32504356</v>
      </c>
      <c r="U301" s="78" t="s">
        <v>1749</v>
      </c>
      <c r="V301" s="81"/>
      <c r="W301" s="80">
        <v>698802</v>
      </c>
    </row>
    <row r="302" spans="1:23" ht="15.6" x14ac:dyDescent="0.3">
      <c r="A302" s="67" t="s">
        <v>1233</v>
      </c>
      <c r="B302" s="69">
        <v>15330734</v>
      </c>
      <c r="C302" s="69" t="s">
        <v>1234</v>
      </c>
      <c r="D302" s="69">
        <v>0</v>
      </c>
      <c r="E302" s="70" t="s">
        <v>472</v>
      </c>
      <c r="F302" s="67" t="s">
        <v>1643</v>
      </c>
      <c r="G302" s="71">
        <v>39692</v>
      </c>
      <c r="H302" s="72">
        <v>44196</v>
      </c>
      <c r="I302" s="133">
        <v>51880.25</v>
      </c>
      <c r="J302" s="134">
        <v>7811.29</v>
      </c>
      <c r="K302" s="125"/>
      <c r="L302" s="74">
        <v>3.3999999999999998E-3</v>
      </c>
      <c r="M302" s="75">
        <v>3303</v>
      </c>
      <c r="N302" s="76">
        <v>14</v>
      </c>
      <c r="O302" s="76"/>
      <c r="P302" s="76"/>
      <c r="Q302" s="76"/>
      <c r="R302" s="67" t="s">
        <v>1580</v>
      </c>
      <c r="S302" s="68">
        <v>890905211</v>
      </c>
      <c r="T302" s="77">
        <v>39380446</v>
      </c>
      <c r="U302" s="78" t="s">
        <v>1750</v>
      </c>
      <c r="V302" s="81"/>
      <c r="W302" s="80">
        <v>369146</v>
      </c>
    </row>
    <row r="303" spans="1:23" ht="15.6" x14ac:dyDescent="0.3">
      <c r="A303" s="67" t="s">
        <v>1239</v>
      </c>
      <c r="B303" s="69">
        <v>32439678</v>
      </c>
      <c r="C303" s="69" t="s">
        <v>1240</v>
      </c>
      <c r="D303" s="69">
        <v>0</v>
      </c>
      <c r="E303" s="70" t="s">
        <v>592</v>
      </c>
      <c r="F303" s="67" t="s">
        <v>1643</v>
      </c>
      <c r="G303" s="71">
        <v>37955</v>
      </c>
      <c r="H303" s="72"/>
      <c r="I303" s="133">
        <v>12632212.279999999</v>
      </c>
      <c r="J303" s="134">
        <v>1901953.8</v>
      </c>
      <c r="K303" s="125"/>
      <c r="L303" s="74">
        <v>0.15740000000000001</v>
      </c>
      <c r="M303" s="75">
        <v>467172</v>
      </c>
      <c r="N303" s="76">
        <v>14</v>
      </c>
      <c r="O303" s="76"/>
      <c r="P303" s="76"/>
      <c r="Q303" s="76"/>
      <c r="R303" s="67" t="s">
        <v>1583</v>
      </c>
      <c r="S303" s="68">
        <v>890980179</v>
      </c>
      <c r="T303" s="77"/>
      <c r="U303" s="78"/>
      <c r="V303" s="81"/>
      <c r="W303" s="80">
        <v>1941555</v>
      </c>
    </row>
    <row r="304" spans="1:23" ht="15.6" x14ac:dyDescent="0.3">
      <c r="A304" s="67" t="s">
        <v>1233</v>
      </c>
      <c r="B304" s="69">
        <v>15330734</v>
      </c>
      <c r="C304" s="69" t="s">
        <v>1234</v>
      </c>
      <c r="D304" s="69">
        <v>0</v>
      </c>
      <c r="E304" s="70" t="s">
        <v>19</v>
      </c>
      <c r="F304" s="67" t="s">
        <v>1643</v>
      </c>
      <c r="G304" s="71">
        <v>39692</v>
      </c>
      <c r="H304" s="72"/>
      <c r="I304" s="133">
        <v>51880.25</v>
      </c>
      <c r="J304" s="134">
        <v>7811.29</v>
      </c>
      <c r="K304" s="125"/>
      <c r="L304" s="74">
        <v>3.3999999999999998E-3</v>
      </c>
      <c r="M304" s="75">
        <v>11174</v>
      </c>
      <c r="N304" s="76">
        <v>14</v>
      </c>
      <c r="O304" s="76"/>
      <c r="P304" s="76"/>
      <c r="Q304" s="76"/>
      <c r="R304" s="67" t="s">
        <v>1584</v>
      </c>
      <c r="S304" s="68">
        <v>890980344</v>
      </c>
      <c r="T304" s="77">
        <v>39380446</v>
      </c>
      <c r="U304" s="78" t="s">
        <v>1750</v>
      </c>
      <c r="V304" s="81"/>
      <c r="W304" s="80">
        <v>369146</v>
      </c>
    </row>
    <row r="305" spans="1:23" ht="15.6" x14ac:dyDescent="0.3">
      <c r="A305" s="67" t="s">
        <v>1243</v>
      </c>
      <c r="B305" s="69">
        <v>4869628</v>
      </c>
      <c r="C305" s="69" t="s">
        <v>1244</v>
      </c>
      <c r="D305" s="69">
        <v>0</v>
      </c>
      <c r="E305" s="70" t="s">
        <v>472</v>
      </c>
      <c r="F305" s="67" t="s">
        <v>1643</v>
      </c>
      <c r="G305" s="71">
        <v>33349</v>
      </c>
      <c r="H305" s="72"/>
      <c r="I305" s="133">
        <v>52908826.979999997</v>
      </c>
      <c r="J305" s="134">
        <v>7966153.7000000002</v>
      </c>
      <c r="K305" s="125"/>
      <c r="L305" s="74">
        <v>0.2576</v>
      </c>
      <c r="M305" s="75">
        <v>17346</v>
      </c>
      <c r="N305" s="76">
        <v>14</v>
      </c>
      <c r="O305" s="76"/>
      <c r="P305" s="76"/>
      <c r="Q305" s="76"/>
      <c r="R305" s="67" t="s">
        <v>1586</v>
      </c>
      <c r="S305" s="68">
        <v>891180009</v>
      </c>
      <c r="T305" s="77">
        <v>26411008</v>
      </c>
      <c r="U305" s="78" t="s">
        <v>1751</v>
      </c>
      <c r="V305" s="81"/>
      <c r="W305" s="80">
        <v>4968866</v>
      </c>
    </row>
    <row r="306" spans="1:23" ht="15.6" x14ac:dyDescent="0.3">
      <c r="A306" s="67" t="s">
        <v>1245</v>
      </c>
      <c r="B306" s="69">
        <v>20162585</v>
      </c>
      <c r="C306" s="69" t="s">
        <v>1246</v>
      </c>
      <c r="D306" s="69">
        <v>0</v>
      </c>
      <c r="E306" s="70" t="s">
        <v>19</v>
      </c>
      <c r="F306" s="67" t="s">
        <v>1643</v>
      </c>
      <c r="G306" s="71">
        <v>34303</v>
      </c>
      <c r="H306" s="72"/>
      <c r="I306" s="133">
        <v>1302134.77</v>
      </c>
      <c r="J306" s="134">
        <v>196054.35</v>
      </c>
      <c r="K306" s="125"/>
      <c r="L306" s="74">
        <v>3.7699999999999997E-2</v>
      </c>
      <c r="M306" s="75">
        <v>11877</v>
      </c>
      <c r="N306" s="76">
        <v>14</v>
      </c>
      <c r="O306" s="76"/>
      <c r="P306" s="76"/>
      <c r="Q306" s="76"/>
      <c r="R306" s="67" t="s">
        <v>1587</v>
      </c>
      <c r="S306" s="68">
        <v>891280000</v>
      </c>
      <c r="T306" s="77"/>
      <c r="U306" s="78"/>
      <c r="V306" s="81"/>
      <c r="W306" s="80">
        <v>835583</v>
      </c>
    </row>
    <row r="307" spans="1:23" ht="15.6" x14ac:dyDescent="0.3">
      <c r="A307" s="67" t="s">
        <v>977</v>
      </c>
      <c r="B307" s="69">
        <v>6366164</v>
      </c>
      <c r="C307" s="69" t="s">
        <v>978</v>
      </c>
      <c r="D307" s="69">
        <v>0</v>
      </c>
      <c r="E307" s="70" t="s">
        <v>19</v>
      </c>
      <c r="F307" s="67" t="s">
        <v>1643</v>
      </c>
      <c r="G307" s="71">
        <v>34700</v>
      </c>
      <c r="H307" s="72"/>
      <c r="I307" s="133">
        <v>1910089</v>
      </c>
      <c r="J307" s="134">
        <v>287590.25</v>
      </c>
      <c r="K307" s="125"/>
      <c r="L307" s="74">
        <v>6.7500000000000004E-2</v>
      </c>
      <c r="M307" s="75">
        <v>184299</v>
      </c>
      <c r="N307" s="76">
        <v>14</v>
      </c>
      <c r="O307" s="76"/>
      <c r="P307" s="76"/>
      <c r="Q307" s="76"/>
      <c r="R307" s="67" t="s">
        <v>1588</v>
      </c>
      <c r="S307" s="68">
        <v>891380007</v>
      </c>
      <c r="T307" s="77"/>
      <c r="U307" s="78"/>
      <c r="V307" s="81"/>
      <c r="W307" s="80">
        <v>684581</v>
      </c>
    </row>
    <row r="308" spans="1:23" ht="15.6" x14ac:dyDescent="0.3">
      <c r="A308" s="67" t="s">
        <v>1247</v>
      </c>
      <c r="B308" s="69">
        <v>31138356</v>
      </c>
      <c r="C308" s="69" t="s">
        <v>1248</v>
      </c>
      <c r="D308" s="69">
        <v>0</v>
      </c>
      <c r="E308" s="70" t="s">
        <v>592</v>
      </c>
      <c r="F308" s="67" t="s">
        <v>1643</v>
      </c>
      <c r="G308" s="71">
        <v>39479</v>
      </c>
      <c r="H308" s="72">
        <v>45156</v>
      </c>
      <c r="I308" s="133">
        <v>305966.78000000003</v>
      </c>
      <c r="J308" s="134">
        <v>46067.519999999997</v>
      </c>
      <c r="K308" s="125"/>
      <c r="L308" s="74">
        <v>7.8899999999999998E-2</v>
      </c>
      <c r="M308" s="75">
        <v>155941</v>
      </c>
      <c r="N308" s="76">
        <v>13</v>
      </c>
      <c r="O308" s="76"/>
      <c r="P308" s="76"/>
      <c r="Q308" s="76"/>
      <c r="R308" s="67" t="s">
        <v>1588</v>
      </c>
      <c r="S308" s="68">
        <v>891380007</v>
      </c>
      <c r="T308" s="77"/>
      <c r="U308" s="78"/>
      <c r="V308" s="81"/>
      <c r="W308" s="80">
        <v>93815</v>
      </c>
    </row>
    <row r="309" spans="1:23" ht="15.6" x14ac:dyDescent="0.3">
      <c r="A309" s="67" t="s">
        <v>1251</v>
      </c>
      <c r="B309" s="69">
        <v>29279203</v>
      </c>
      <c r="C309" s="69" t="s">
        <v>1252</v>
      </c>
      <c r="D309" s="69">
        <v>0</v>
      </c>
      <c r="E309" s="70" t="s">
        <v>472</v>
      </c>
      <c r="F309" s="67" t="s">
        <v>1643</v>
      </c>
      <c r="G309" s="71">
        <v>34700</v>
      </c>
      <c r="H309" s="72"/>
      <c r="I309" s="133">
        <v>6332723.04</v>
      </c>
      <c r="J309" s="134">
        <v>953478.8</v>
      </c>
      <c r="K309" s="125"/>
      <c r="L309" s="74">
        <v>0.17760000000000001</v>
      </c>
      <c r="M309" s="75">
        <v>108726</v>
      </c>
      <c r="N309" s="76">
        <v>14</v>
      </c>
      <c r="O309" s="76"/>
      <c r="P309" s="76"/>
      <c r="Q309" s="76"/>
      <c r="R309" s="67" t="s">
        <v>1589</v>
      </c>
      <c r="S309" s="68">
        <v>891380033</v>
      </c>
      <c r="T309" s="77"/>
      <c r="U309" s="78"/>
      <c r="V309" s="81"/>
      <c r="W309" s="80">
        <v>862626</v>
      </c>
    </row>
    <row r="310" spans="1:23" ht="15.6" x14ac:dyDescent="0.3">
      <c r="A310" s="67" t="s">
        <v>1253</v>
      </c>
      <c r="B310" s="69">
        <v>6183479</v>
      </c>
      <c r="C310" s="69" t="s">
        <v>1254</v>
      </c>
      <c r="D310" s="69">
        <v>0</v>
      </c>
      <c r="E310" s="70" t="s">
        <v>19</v>
      </c>
      <c r="F310" s="67" t="s">
        <v>1643</v>
      </c>
      <c r="G310" s="71">
        <v>35796</v>
      </c>
      <c r="H310" s="119"/>
      <c r="I310" s="133">
        <v>3778890.49</v>
      </c>
      <c r="J310" s="134">
        <v>568964.09</v>
      </c>
      <c r="K310" s="125"/>
      <c r="L310" s="74">
        <v>0.222</v>
      </c>
      <c r="M310" s="75">
        <v>181576</v>
      </c>
      <c r="N310" s="76">
        <v>14</v>
      </c>
      <c r="O310" s="76"/>
      <c r="P310" s="76"/>
      <c r="Q310" s="76"/>
      <c r="R310" s="67" t="s">
        <v>1589</v>
      </c>
      <c r="S310" s="68">
        <v>891380033</v>
      </c>
      <c r="T310" s="77"/>
      <c r="U310" s="78"/>
      <c r="V310" s="81"/>
      <c r="W310" s="80">
        <v>411800</v>
      </c>
    </row>
    <row r="311" spans="1:23" ht="15.6" x14ac:dyDescent="0.3">
      <c r="A311" s="67" t="s">
        <v>1255</v>
      </c>
      <c r="B311" s="69">
        <v>29655686</v>
      </c>
      <c r="C311" s="69" t="s">
        <v>982</v>
      </c>
      <c r="D311" s="69">
        <v>0</v>
      </c>
      <c r="E311" s="70" t="s">
        <v>472</v>
      </c>
      <c r="F311" s="67" t="s">
        <v>1643</v>
      </c>
      <c r="G311" s="71">
        <v>35064</v>
      </c>
      <c r="H311" s="119"/>
      <c r="I311" s="133">
        <v>6142281.8499999996</v>
      </c>
      <c r="J311" s="134">
        <v>924805.25</v>
      </c>
      <c r="K311" s="125"/>
      <c r="L311" s="74">
        <v>0.14199999999999999</v>
      </c>
      <c r="M311" s="75">
        <v>81154</v>
      </c>
      <c r="N311" s="76">
        <v>14</v>
      </c>
      <c r="O311" s="76"/>
      <c r="P311" s="76"/>
      <c r="Q311" s="76"/>
      <c r="R311" s="67" t="s">
        <v>1590</v>
      </c>
      <c r="S311" s="68">
        <v>891380036</v>
      </c>
      <c r="T311" s="77"/>
      <c r="U311" s="78"/>
      <c r="V311" s="81"/>
      <c r="W311" s="80">
        <v>1046445</v>
      </c>
    </row>
    <row r="312" spans="1:23" ht="15.6" x14ac:dyDescent="0.3">
      <c r="A312" s="67" t="s">
        <v>912</v>
      </c>
      <c r="B312" s="69">
        <v>38972862</v>
      </c>
      <c r="C312" s="69" t="s">
        <v>913</v>
      </c>
      <c r="D312" s="69">
        <v>0</v>
      </c>
      <c r="E312" s="70" t="s">
        <v>472</v>
      </c>
      <c r="F312" s="67" t="s">
        <v>1643</v>
      </c>
      <c r="G312" s="71">
        <v>34700</v>
      </c>
      <c r="H312" s="119"/>
      <c r="I312" s="133">
        <v>2073573.01</v>
      </c>
      <c r="J312" s="134">
        <v>312205.02</v>
      </c>
      <c r="K312" s="125"/>
      <c r="L312" s="74">
        <v>2.6100000000000002E-2</v>
      </c>
      <c r="M312" s="75">
        <v>16397</v>
      </c>
      <c r="N312" s="76">
        <v>14</v>
      </c>
      <c r="O312" s="76"/>
      <c r="P312" s="76"/>
      <c r="Q312" s="76"/>
      <c r="R312" s="67" t="s">
        <v>1591</v>
      </c>
      <c r="S312" s="68">
        <v>891380054</v>
      </c>
      <c r="T312" s="77"/>
      <c r="U312" s="78"/>
      <c r="V312" s="81"/>
      <c r="W312" s="80">
        <v>1922002</v>
      </c>
    </row>
    <row r="313" spans="1:23" ht="15.6" x14ac:dyDescent="0.3">
      <c r="A313" s="67" t="s">
        <v>1256</v>
      </c>
      <c r="B313" s="69">
        <v>10055169</v>
      </c>
      <c r="C313" s="69" t="s">
        <v>1257</v>
      </c>
      <c r="D313" s="69">
        <v>0</v>
      </c>
      <c r="E313" s="70" t="s">
        <v>19</v>
      </c>
      <c r="F313" s="67" t="s">
        <v>1643</v>
      </c>
      <c r="G313" s="71">
        <v>37407</v>
      </c>
      <c r="H313" s="119"/>
      <c r="I313" s="133">
        <v>16646346.279999999</v>
      </c>
      <c r="J313" s="134">
        <v>2506337.04</v>
      </c>
      <c r="K313" s="125"/>
      <c r="L313" s="74">
        <v>0.14510000000000001</v>
      </c>
      <c r="M313" s="75">
        <v>157711</v>
      </c>
      <c r="N313" s="76">
        <v>14</v>
      </c>
      <c r="O313" s="76"/>
      <c r="P313" s="76"/>
      <c r="Q313" s="76"/>
      <c r="R313" s="67" t="s">
        <v>1592</v>
      </c>
      <c r="S313" s="68">
        <v>891480030</v>
      </c>
      <c r="T313" s="77">
        <v>31405287</v>
      </c>
      <c r="U313" s="78" t="s">
        <v>1752</v>
      </c>
      <c r="V313" s="81"/>
      <c r="W313" s="80">
        <v>2775406</v>
      </c>
    </row>
    <row r="314" spans="1:23" ht="16.2" thickBot="1" x14ac:dyDescent="0.35">
      <c r="A314" s="67" t="s">
        <v>1258</v>
      </c>
      <c r="B314" s="69">
        <v>25168950</v>
      </c>
      <c r="C314" s="69" t="s">
        <v>1259</v>
      </c>
      <c r="D314" s="69">
        <v>0</v>
      </c>
      <c r="E314" s="70" t="s">
        <v>592</v>
      </c>
      <c r="F314" s="67" t="s">
        <v>1643</v>
      </c>
      <c r="G314" s="71">
        <v>40210</v>
      </c>
      <c r="H314" s="119"/>
      <c r="I314" s="133">
        <v>936299.59</v>
      </c>
      <c r="J314" s="134">
        <v>140972.82</v>
      </c>
      <c r="K314" s="128"/>
      <c r="L314" s="74">
        <v>6.0600000000000001E-2</v>
      </c>
      <c r="M314" s="75">
        <v>127705</v>
      </c>
      <c r="N314" s="76">
        <v>13</v>
      </c>
      <c r="O314" s="76"/>
      <c r="P314" s="76"/>
      <c r="Q314" s="76"/>
      <c r="R314" s="67" t="s">
        <v>1592</v>
      </c>
      <c r="S314" s="68">
        <v>891480030</v>
      </c>
      <c r="T314" s="77"/>
      <c r="U314" s="78"/>
      <c r="V314" s="81"/>
      <c r="W314" s="80">
        <v>373781</v>
      </c>
    </row>
    <row r="315" spans="1:23" ht="15.6" x14ac:dyDescent="0.3">
      <c r="A315" s="67" t="s">
        <v>1256</v>
      </c>
      <c r="B315" s="69">
        <v>10055169</v>
      </c>
      <c r="C315" s="69" t="s">
        <v>1257</v>
      </c>
      <c r="D315" s="69">
        <v>0</v>
      </c>
      <c r="E315" s="70" t="s">
        <v>472</v>
      </c>
      <c r="F315" s="67" t="s">
        <v>1643</v>
      </c>
      <c r="G315" s="71">
        <v>37407</v>
      </c>
      <c r="H315" s="119" t="s">
        <v>1056</v>
      </c>
      <c r="I315" s="133">
        <v>16646346.279999999</v>
      </c>
      <c r="J315" s="134">
        <v>2506337.04</v>
      </c>
      <c r="K315" s="125"/>
      <c r="L315" s="74">
        <v>0.14510000000000001</v>
      </c>
      <c r="M315" s="75">
        <v>250818</v>
      </c>
      <c r="N315" s="76">
        <v>14</v>
      </c>
      <c r="O315" s="76">
        <v>0</v>
      </c>
      <c r="P315" s="83">
        <v>1072511</v>
      </c>
      <c r="Q315" s="83">
        <v>1005612</v>
      </c>
      <c r="R315" s="67" t="s">
        <v>1593</v>
      </c>
      <c r="S315" s="68">
        <v>891480085</v>
      </c>
      <c r="T315" s="77">
        <v>31405287</v>
      </c>
      <c r="U315" s="78" t="s">
        <v>1752</v>
      </c>
      <c r="V315" s="81"/>
      <c r="W315" s="80">
        <v>2775406</v>
      </c>
    </row>
    <row r="316" spans="1:23" ht="16.2" thickBot="1" x14ac:dyDescent="0.35">
      <c r="A316" s="89" t="s">
        <v>1262</v>
      </c>
      <c r="B316" s="147">
        <v>10217838</v>
      </c>
      <c r="C316" s="69" t="s">
        <v>1263</v>
      </c>
      <c r="D316" s="69">
        <v>0</v>
      </c>
      <c r="E316" s="91" t="s">
        <v>472</v>
      </c>
      <c r="F316" s="67" t="s">
        <v>1643</v>
      </c>
      <c r="G316" s="71">
        <v>39050</v>
      </c>
      <c r="H316" s="120">
        <v>41425</v>
      </c>
      <c r="I316" s="133">
        <v>4165083.19</v>
      </c>
      <c r="J316" s="134">
        <v>627110.72</v>
      </c>
      <c r="K316" s="128"/>
      <c r="L316" s="74">
        <v>8.1500000000000003E-2</v>
      </c>
      <c r="M316" s="100">
        <v>143336</v>
      </c>
      <c r="N316" s="76">
        <v>14</v>
      </c>
      <c r="O316" s="76">
        <v>0</v>
      </c>
      <c r="P316" s="83">
        <v>169166</v>
      </c>
      <c r="Q316" s="83">
        <v>2164849</v>
      </c>
      <c r="R316" s="67" t="s">
        <v>1593</v>
      </c>
      <c r="S316" s="68">
        <v>891480085</v>
      </c>
      <c r="T316" s="77"/>
      <c r="U316" s="78"/>
      <c r="V316" s="81"/>
      <c r="W316" s="80">
        <v>1236349</v>
      </c>
    </row>
    <row r="317" spans="1:23" ht="16.2" thickBot="1" x14ac:dyDescent="0.35">
      <c r="A317" s="93" t="s">
        <v>1264</v>
      </c>
      <c r="B317" s="148">
        <v>4575380</v>
      </c>
      <c r="C317" s="69" t="s">
        <v>1265</v>
      </c>
      <c r="D317" s="69">
        <v>0</v>
      </c>
      <c r="E317" s="95" t="s">
        <v>19</v>
      </c>
      <c r="F317" s="67" t="s">
        <v>1643</v>
      </c>
      <c r="G317" s="71">
        <v>39232</v>
      </c>
      <c r="H317" s="121">
        <v>41639</v>
      </c>
      <c r="I317" s="133">
        <v>3780738.39</v>
      </c>
      <c r="J317" s="134">
        <v>569242.31000000006</v>
      </c>
      <c r="K317" s="132"/>
      <c r="L317" s="74">
        <v>9.4299999999999995E-2</v>
      </c>
      <c r="M317" s="96">
        <v>167513</v>
      </c>
      <c r="N317" s="76">
        <v>14</v>
      </c>
      <c r="O317" s="76">
        <v>0</v>
      </c>
      <c r="P317" s="83">
        <v>467244</v>
      </c>
      <c r="Q317" s="83">
        <v>2102071</v>
      </c>
      <c r="R317" s="67" t="s">
        <v>1593</v>
      </c>
      <c r="S317" s="68">
        <v>891480085</v>
      </c>
      <c r="T317" s="77"/>
      <c r="U317" s="78"/>
      <c r="V317" s="81"/>
      <c r="W317" s="80">
        <v>969929</v>
      </c>
    </row>
    <row r="318" spans="1:23" ht="15.6" x14ac:dyDescent="0.3">
      <c r="A318" s="67" t="s">
        <v>997</v>
      </c>
      <c r="B318" s="69">
        <v>19163606</v>
      </c>
      <c r="C318" s="69" t="s">
        <v>998</v>
      </c>
      <c r="D318" s="69">
        <v>0</v>
      </c>
      <c r="E318" s="70" t="s">
        <v>472</v>
      </c>
      <c r="F318" s="67" t="s">
        <v>1643</v>
      </c>
      <c r="G318" s="71">
        <v>39814</v>
      </c>
      <c r="H318" s="119"/>
      <c r="I318" s="133">
        <v>57006.95</v>
      </c>
      <c r="J318" s="134">
        <v>8583.18</v>
      </c>
      <c r="K318" s="125"/>
      <c r="L318" s="74">
        <v>5.2499999999999998E-2</v>
      </c>
      <c r="M318" s="75">
        <v>63651</v>
      </c>
      <c r="N318" s="76">
        <v>14</v>
      </c>
      <c r="O318" s="76"/>
      <c r="P318" s="76"/>
      <c r="Q318" s="76"/>
      <c r="R318" s="67" t="s">
        <v>1595</v>
      </c>
      <c r="S318" s="68">
        <v>891500580</v>
      </c>
      <c r="T318" s="77"/>
      <c r="U318" s="78"/>
      <c r="V318" s="81"/>
      <c r="W318" s="80">
        <v>26269</v>
      </c>
    </row>
    <row r="319" spans="1:23" ht="16.2" thickBot="1" x14ac:dyDescent="0.35">
      <c r="A319" s="89" t="s">
        <v>926</v>
      </c>
      <c r="B319" s="147">
        <v>29646891</v>
      </c>
      <c r="C319" s="69" t="s">
        <v>927</v>
      </c>
      <c r="D319" s="69">
        <v>0</v>
      </c>
      <c r="E319" s="91" t="s">
        <v>19</v>
      </c>
      <c r="F319" s="67" t="s">
        <v>1643</v>
      </c>
      <c r="G319" s="71">
        <v>35064</v>
      </c>
      <c r="H319" s="120"/>
      <c r="I319" s="133">
        <v>909556.56</v>
      </c>
      <c r="J319" s="134">
        <v>136946.29</v>
      </c>
      <c r="K319" s="125"/>
      <c r="L319" s="74">
        <v>7.17E-2</v>
      </c>
      <c r="M319" s="100">
        <v>35124</v>
      </c>
      <c r="N319" s="76">
        <v>14</v>
      </c>
      <c r="O319" s="76"/>
      <c r="P319" s="76"/>
      <c r="Q319" s="76"/>
      <c r="R319" s="67" t="s">
        <v>1596</v>
      </c>
      <c r="S319" s="68">
        <v>891502188</v>
      </c>
      <c r="T319" s="77"/>
      <c r="U319" s="78"/>
      <c r="V319" s="81"/>
      <c r="W319" s="80">
        <v>306892</v>
      </c>
    </row>
    <row r="320" spans="1:23" ht="15.6" x14ac:dyDescent="0.3">
      <c r="A320" s="93" t="s">
        <v>926</v>
      </c>
      <c r="B320" s="148">
        <v>29646891</v>
      </c>
      <c r="C320" s="69" t="s">
        <v>927</v>
      </c>
      <c r="D320" s="69">
        <v>0</v>
      </c>
      <c r="E320" s="95" t="s">
        <v>472</v>
      </c>
      <c r="F320" s="67" t="s">
        <v>1643</v>
      </c>
      <c r="G320" s="71">
        <v>35064</v>
      </c>
      <c r="H320" s="121"/>
      <c r="I320" s="133">
        <v>909556.56</v>
      </c>
      <c r="J320" s="134">
        <v>136946.29</v>
      </c>
      <c r="K320" s="125"/>
      <c r="L320" s="74">
        <v>7.17E-2</v>
      </c>
      <c r="M320" s="96">
        <v>25640</v>
      </c>
      <c r="N320" s="76">
        <v>14</v>
      </c>
      <c r="O320" s="76"/>
      <c r="P320" s="76"/>
      <c r="Q320" s="76"/>
      <c r="R320" s="67" t="s">
        <v>1597</v>
      </c>
      <c r="S320" s="68">
        <v>891580002</v>
      </c>
      <c r="T320" s="77"/>
      <c r="U320" s="78"/>
      <c r="V320" s="81"/>
      <c r="W320" s="80">
        <v>306892</v>
      </c>
    </row>
    <row r="321" spans="1:23" ht="15.6" x14ac:dyDescent="0.3">
      <c r="A321" s="67" t="s">
        <v>955</v>
      </c>
      <c r="B321" s="69">
        <v>6043169</v>
      </c>
      <c r="C321" s="69" t="s">
        <v>956</v>
      </c>
      <c r="D321" s="69">
        <v>0</v>
      </c>
      <c r="E321" s="70" t="s">
        <v>19</v>
      </c>
      <c r="F321" s="67" t="s">
        <v>1643</v>
      </c>
      <c r="G321" s="71">
        <v>25674</v>
      </c>
      <c r="H321" s="119"/>
      <c r="I321" s="133">
        <v>198838628.94999999</v>
      </c>
      <c r="J321" s="134">
        <v>29937898.260000002</v>
      </c>
      <c r="K321" s="125"/>
      <c r="L321" s="74">
        <v>0.65439999999999998</v>
      </c>
      <c r="M321" s="75">
        <v>65230</v>
      </c>
      <c r="N321" s="76">
        <v>14</v>
      </c>
      <c r="O321" s="76"/>
      <c r="P321" s="76"/>
      <c r="Q321" s="76"/>
      <c r="R321" s="67" t="s">
        <v>1599</v>
      </c>
      <c r="S321" s="68">
        <v>891580016</v>
      </c>
      <c r="T321" s="77">
        <v>38959134</v>
      </c>
      <c r="U321" s="78" t="s">
        <v>1709</v>
      </c>
      <c r="V321" s="81"/>
      <c r="W321" s="80">
        <v>7350764</v>
      </c>
    </row>
    <row r="322" spans="1:23" ht="15.6" x14ac:dyDescent="0.3">
      <c r="A322" s="67" t="s">
        <v>1272</v>
      </c>
      <c r="B322" s="69">
        <v>1427605</v>
      </c>
      <c r="C322" s="69" t="s">
        <v>1273</v>
      </c>
      <c r="D322" s="69">
        <v>0</v>
      </c>
      <c r="E322" s="70" t="s">
        <v>472</v>
      </c>
      <c r="F322" s="67" t="s">
        <v>1643</v>
      </c>
      <c r="G322" s="71">
        <v>33451</v>
      </c>
      <c r="H322" s="119"/>
      <c r="I322" s="133">
        <v>12400737.92</v>
      </c>
      <c r="J322" s="134">
        <v>1867102.14</v>
      </c>
      <c r="K322" s="125"/>
      <c r="L322" s="74">
        <v>0.27739999999999998</v>
      </c>
      <c r="M322" s="75">
        <v>34459</v>
      </c>
      <c r="N322" s="76">
        <v>14</v>
      </c>
      <c r="O322" s="76"/>
      <c r="P322" s="76"/>
      <c r="Q322" s="76"/>
      <c r="R322" s="67" t="s">
        <v>1599</v>
      </c>
      <c r="S322" s="68">
        <v>891580016</v>
      </c>
      <c r="T322" s="77">
        <v>25256907</v>
      </c>
      <c r="U322" s="78" t="s">
        <v>1755</v>
      </c>
      <c r="V322" s="81"/>
      <c r="W322" s="80">
        <v>1081474</v>
      </c>
    </row>
    <row r="323" spans="1:23" ht="15.6" x14ac:dyDescent="0.3">
      <c r="A323" s="67" t="s">
        <v>1274</v>
      </c>
      <c r="B323" s="69">
        <v>6369677</v>
      </c>
      <c r="C323" s="69" t="s">
        <v>1275</v>
      </c>
      <c r="D323" s="69">
        <v>0</v>
      </c>
      <c r="E323" s="70" t="s">
        <v>19</v>
      </c>
      <c r="F323" s="67" t="s">
        <v>1643</v>
      </c>
      <c r="G323" s="71">
        <v>33939</v>
      </c>
      <c r="H323" s="119"/>
      <c r="I323" s="133">
        <v>7102394.6200000001</v>
      </c>
      <c r="J323" s="134">
        <v>1069363.48</v>
      </c>
      <c r="K323" s="125"/>
      <c r="L323" s="74">
        <v>3.04E-2</v>
      </c>
      <c r="M323" s="75">
        <v>11673</v>
      </c>
      <c r="N323" s="76">
        <v>14</v>
      </c>
      <c r="O323" s="76"/>
      <c r="P323" s="76"/>
      <c r="Q323" s="76"/>
      <c r="R323" s="67" t="s">
        <v>1599</v>
      </c>
      <c r="S323" s="68">
        <v>891580016</v>
      </c>
      <c r="T323" s="77"/>
      <c r="U323" s="78"/>
      <c r="V323" s="81"/>
      <c r="W323" s="80">
        <v>5652053</v>
      </c>
    </row>
    <row r="324" spans="1:23" ht="15.6" x14ac:dyDescent="0.3">
      <c r="A324" s="67" t="s">
        <v>924</v>
      </c>
      <c r="B324" s="69">
        <v>6072246</v>
      </c>
      <c r="C324" s="69" t="s">
        <v>925</v>
      </c>
      <c r="D324" s="69">
        <v>0</v>
      </c>
      <c r="E324" s="70" t="s">
        <v>19</v>
      </c>
      <c r="F324" s="67" t="s">
        <v>1643</v>
      </c>
      <c r="G324" s="71">
        <v>34700</v>
      </c>
      <c r="H324" s="119"/>
      <c r="I324" s="133">
        <v>845751.29</v>
      </c>
      <c r="J324" s="134">
        <v>127339.52</v>
      </c>
      <c r="K324" s="125"/>
      <c r="L324" s="74">
        <v>1.6199999999999999E-2</v>
      </c>
      <c r="M324" s="75">
        <v>11140</v>
      </c>
      <c r="N324" s="76">
        <v>14</v>
      </c>
      <c r="O324" s="76"/>
      <c r="P324" s="76"/>
      <c r="Q324" s="76"/>
      <c r="R324" s="67" t="s">
        <v>1599</v>
      </c>
      <c r="S324" s="68">
        <v>891580016</v>
      </c>
      <c r="T324" s="77"/>
      <c r="U324" s="78"/>
      <c r="V324" s="81"/>
      <c r="W324" s="80">
        <v>1262998</v>
      </c>
    </row>
    <row r="325" spans="1:23" ht="15.6" x14ac:dyDescent="0.3">
      <c r="A325" s="67" t="s">
        <v>1278</v>
      </c>
      <c r="B325" s="69">
        <v>1426757</v>
      </c>
      <c r="C325" s="69" t="s">
        <v>1279</v>
      </c>
      <c r="D325" s="69">
        <v>0</v>
      </c>
      <c r="E325" s="70" t="s">
        <v>19</v>
      </c>
      <c r="F325" s="67" t="s">
        <v>1643</v>
      </c>
      <c r="G325" s="71">
        <v>36739</v>
      </c>
      <c r="H325" s="119"/>
      <c r="I325" s="133">
        <v>12176759.029999999</v>
      </c>
      <c r="J325" s="134">
        <v>1833379.03</v>
      </c>
      <c r="K325" s="125"/>
      <c r="L325" s="74">
        <v>0.12620000000000001</v>
      </c>
      <c r="M325" s="75">
        <v>146026</v>
      </c>
      <c r="N325" s="76">
        <v>14</v>
      </c>
      <c r="O325" s="76"/>
      <c r="P325" s="76"/>
      <c r="Q325" s="76"/>
      <c r="R325" s="67" t="s">
        <v>1599</v>
      </c>
      <c r="S325" s="68">
        <v>891580016</v>
      </c>
      <c r="T325" s="77"/>
      <c r="U325" s="78"/>
      <c r="V325" s="81"/>
      <c r="W325" s="80">
        <v>2334250</v>
      </c>
    </row>
    <row r="326" spans="1:23" ht="15.6" x14ac:dyDescent="0.3">
      <c r="A326" s="67" t="s">
        <v>1282</v>
      </c>
      <c r="B326" s="69">
        <v>12953750</v>
      </c>
      <c r="C326" s="69" t="s">
        <v>1283</v>
      </c>
      <c r="D326" s="69">
        <v>0</v>
      </c>
      <c r="E326" s="70" t="s">
        <v>758</v>
      </c>
      <c r="F326" s="67" t="s">
        <v>1643</v>
      </c>
      <c r="G326" s="71">
        <v>38001</v>
      </c>
      <c r="H326" s="119"/>
      <c r="I326" s="133">
        <v>2510237.11</v>
      </c>
      <c r="J326" s="134">
        <v>377950.82</v>
      </c>
      <c r="K326" s="125"/>
      <c r="L326" s="74">
        <v>3.44E-2</v>
      </c>
      <c r="M326" s="75">
        <v>78982</v>
      </c>
      <c r="N326" s="76">
        <v>14</v>
      </c>
      <c r="O326" s="76"/>
      <c r="P326" s="76"/>
      <c r="Q326" s="76"/>
      <c r="R326" s="67" t="s">
        <v>1599</v>
      </c>
      <c r="S326" s="68">
        <v>891580016</v>
      </c>
      <c r="T326" s="77"/>
      <c r="U326" s="78"/>
      <c r="V326" s="81"/>
      <c r="W326" s="80">
        <v>1765352</v>
      </c>
    </row>
    <row r="327" spans="1:23" ht="15.6" x14ac:dyDescent="0.3">
      <c r="A327" s="67" t="s">
        <v>1284</v>
      </c>
      <c r="B327" s="69">
        <v>10518416</v>
      </c>
      <c r="C327" s="69" t="s">
        <v>1285</v>
      </c>
      <c r="D327" s="69">
        <v>0</v>
      </c>
      <c r="E327" s="70" t="s">
        <v>472</v>
      </c>
      <c r="F327" s="67" t="s">
        <v>1643</v>
      </c>
      <c r="G327" s="71">
        <v>38976</v>
      </c>
      <c r="H327" s="119"/>
      <c r="I327" s="133">
        <v>4400855.0599999996</v>
      </c>
      <c r="J327" s="134">
        <v>662609.43000000005</v>
      </c>
      <c r="K327" s="125"/>
      <c r="L327" s="74">
        <v>0.10730000000000001</v>
      </c>
      <c r="M327" s="75">
        <v>243598</v>
      </c>
      <c r="N327" s="76">
        <v>14</v>
      </c>
      <c r="O327" s="76"/>
      <c r="P327" s="76"/>
      <c r="Q327" s="76"/>
      <c r="R327" s="67" t="s">
        <v>1599</v>
      </c>
      <c r="S327" s="68">
        <v>891580016</v>
      </c>
      <c r="T327" s="77"/>
      <c r="U327" s="78"/>
      <c r="V327" s="81"/>
      <c r="W327" s="80">
        <v>992230</v>
      </c>
    </row>
    <row r="328" spans="1:23" ht="15.6" x14ac:dyDescent="0.3">
      <c r="A328" s="67" t="s">
        <v>1286</v>
      </c>
      <c r="B328" s="69">
        <v>13875316</v>
      </c>
      <c r="C328" s="69" t="s">
        <v>1287</v>
      </c>
      <c r="D328" s="69">
        <v>0</v>
      </c>
      <c r="E328" s="70" t="s">
        <v>19</v>
      </c>
      <c r="F328" s="67" t="s">
        <v>1643</v>
      </c>
      <c r="G328" s="71">
        <v>40118</v>
      </c>
      <c r="H328" s="119"/>
      <c r="I328" s="133">
        <v>7859311.4100000001</v>
      </c>
      <c r="J328" s="134">
        <v>1183327.74</v>
      </c>
      <c r="K328" s="125"/>
      <c r="L328" s="74">
        <v>0.1174</v>
      </c>
      <c r="M328" s="75">
        <v>249921</v>
      </c>
      <c r="N328" s="76">
        <v>13</v>
      </c>
      <c r="O328" s="76"/>
      <c r="P328" s="76"/>
      <c r="Q328" s="76"/>
      <c r="R328" s="67" t="s">
        <v>1599</v>
      </c>
      <c r="S328" s="68">
        <v>891580016</v>
      </c>
      <c r="T328" s="77"/>
      <c r="U328" s="78"/>
      <c r="V328" s="81"/>
      <c r="W328" s="80">
        <v>1619539</v>
      </c>
    </row>
    <row r="329" spans="1:23" ht="15.6" x14ac:dyDescent="0.3">
      <c r="A329" s="67" t="s">
        <v>1290</v>
      </c>
      <c r="B329" s="69">
        <v>11785727</v>
      </c>
      <c r="C329" s="69" t="s">
        <v>1291</v>
      </c>
      <c r="D329" s="69">
        <v>0</v>
      </c>
      <c r="E329" s="70" t="s">
        <v>19</v>
      </c>
      <c r="F329" s="67" t="s">
        <v>1643</v>
      </c>
      <c r="G329" s="71">
        <v>38899</v>
      </c>
      <c r="H329" s="119"/>
      <c r="I329" s="133">
        <v>11801180.57</v>
      </c>
      <c r="J329" s="134">
        <v>1776830.51</v>
      </c>
      <c r="K329" s="125"/>
      <c r="L329" s="74">
        <v>7.6300000000000007E-2</v>
      </c>
      <c r="M329" s="75">
        <v>237636</v>
      </c>
      <c r="N329" s="76">
        <v>14</v>
      </c>
      <c r="O329" s="76"/>
      <c r="P329" s="76"/>
      <c r="Q329" s="76"/>
      <c r="R329" s="67" t="s">
        <v>1600</v>
      </c>
      <c r="S329" s="68">
        <v>891680010</v>
      </c>
      <c r="T329" s="77"/>
      <c r="U329" s="78"/>
      <c r="V329" s="81"/>
      <c r="W329" s="80">
        <v>3741760</v>
      </c>
    </row>
    <row r="330" spans="1:23" ht="15.6" x14ac:dyDescent="0.3">
      <c r="A330" s="67" t="s">
        <v>1292</v>
      </c>
      <c r="B330" s="69">
        <v>6158870</v>
      </c>
      <c r="C330" s="69" t="s">
        <v>1293</v>
      </c>
      <c r="D330" s="69">
        <v>0</v>
      </c>
      <c r="E330" s="70" t="s">
        <v>19</v>
      </c>
      <c r="F330" s="67" t="s">
        <v>1643</v>
      </c>
      <c r="G330" s="71">
        <v>39052</v>
      </c>
      <c r="H330" s="119"/>
      <c r="I330" s="133">
        <v>5010723.79</v>
      </c>
      <c r="J330" s="134">
        <v>754433.58</v>
      </c>
      <c r="K330" s="125"/>
      <c r="L330" s="74">
        <v>5.8299999999999998E-2</v>
      </c>
      <c r="M330" s="75">
        <v>151585</v>
      </c>
      <c r="N330" s="76">
        <v>14</v>
      </c>
      <c r="O330" s="76"/>
      <c r="P330" s="76"/>
      <c r="Q330" s="76"/>
      <c r="R330" s="67" t="s">
        <v>1600</v>
      </c>
      <c r="S330" s="68">
        <v>891680010</v>
      </c>
      <c r="T330" s="77"/>
      <c r="U330" s="78"/>
      <c r="V330" s="81"/>
      <c r="W330" s="80">
        <v>2079251</v>
      </c>
    </row>
    <row r="331" spans="1:23" ht="16.2" thickBot="1" x14ac:dyDescent="0.35">
      <c r="A331" s="67" t="s">
        <v>1294</v>
      </c>
      <c r="B331" s="69">
        <v>11786211</v>
      </c>
      <c r="C331" s="69" t="s">
        <v>1295</v>
      </c>
      <c r="D331" s="69">
        <v>0</v>
      </c>
      <c r="E331" s="70" t="s">
        <v>19</v>
      </c>
      <c r="F331" s="67" t="s">
        <v>1643</v>
      </c>
      <c r="G331" s="71">
        <v>39569</v>
      </c>
      <c r="H331" s="119"/>
      <c r="I331" s="133">
        <v>4003008.61</v>
      </c>
      <c r="J331" s="134">
        <v>602708.16</v>
      </c>
      <c r="K331" s="128"/>
      <c r="L331" s="74">
        <v>8.9499999999999996E-2</v>
      </c>
      <c r="M331" s="75">
        <v>157230</v>
      </c>
      <c r="N331" s="76">
        <v>13</v>
      </c>
      <c r="O331" s="76"/>
      <c r="P331" s="76"/>
      <c r="Q331" s="76"/>
      <c r="R331" s="67" t="s">
        <v>1600</v>
      </c>
      <c r="S331" s="68">
        <v>891680010</v>
      </c>
      <c r="T331" s="77"/>
      <c r="U331" s="78"/>
      <c r="V331" s="81"/>
      <c r="W331" s="80">
        <v>1082028</v>
      </c>
    </row>
    <row r="332" spans="1:23" ht="15.6" x14ac:dyDescent="0.3">
      <c r="A332" s="67" t="s">
        <v>1294</v>
      </c>
      <c r="B332" s="69">
        <v>11786211</v>
      </c>
      <c r="C332" s="69" t="s">
        <v>1295</v>
      </c>
      <c r="D332" s="69">
        <v>0</v>
      </c>
      <c r="E332" s="70" t="s">
        <v>19</v>
      </c>
      <c r="F332" s="67" t="s">
        <v>1643</v>
      </c>
      <c r="G332" s="71">
        <v>39569</v>
      </c>
      <c r="H332" s="119"/>
      <c r="I332" s="133">
        <v>4003008.61</v>
      </c>
      <c r="J332" s="134">
        <v>602708.16</v>
      </c>
      <c r="K332" s="125"/>
      <c r="L332" s="74">
        <v>8.9499999999999996E-2</v>
      </c>
      <c r="M332" s="75">
        <v>70087</v>
      </c>
      <c r="N332" s="76">
        <v>13</v>
      </c>
      <c r="O332" s="76"/>
      <c r="P332" s="76"/>
      <c r="Q332" s="76"/>
      <c r="R332" s="67" t="s">
        <v>1601</v>
      </c>
      <c r="S332" s="68">
        <v>891680011</v>
      </c>
      <c r="T332" s="77"/>
      <c r="U332" s="78"/>
      <c r="V332" s="81"/>
      <c r="W332" s="80">
        <v>1082028</v>
      </c>
    </row>
    <row r="333" spans="1:23" ht="16.2" thickBot="1" x14ac:dyDescent="0.35">
      <c r="A333" s="67" t="s">
        <v>1305</v>
      </c>
      <c r="B333" s="69">
        <v>12529678</v>
      </c>
      <c r="C333" s="69" t="s">
        <v>1306</v>
      </c>
      <c r="D333" s="69">
        <v>0</v>
      </c>
      <c r="E333" s="70" t="s">
        <v>19</v>
      </c>
      <c r="F333" s="67" t="s">
        <v>1643</v>
      </c>
      <c r="G333" s="71">
        <v>39448</v>
      </c>
      <c r="H333" s="119"/>
      <c r="I333" s="133">
        <v>12929541.140000001</v>
      </c>
      <c r="J333" s="134">
        <v>1946720.76</v>
      </c>
      <c r="K333" s="128"/>
      <c r="L333" s="74">
        <v>0.22589999999999999</v>
      </c>
      <c r="M333" s="75">
        <v>401642</v>
      </c>
      <c r="N333" s="76">
        <v>13</v>
      </c>
      <c r="O333" s="76">
        <v>0</v>
      </c>
      <c r="P333" s="83">
        <v>619512</v>
      </c>
      <c r="Q333" s="83">
        <v>2134505</v>
      </c>
      <c r="R333" s="67" t="s">
        <v>1603</v>
      </c>
      <c r="S333" s="68">
        <v>891780009</v>
      </c>
      <c r="T333" s="77"/>
      <c r="U333" s="78"/>
      <c r="V333" s="81"/>
      <c r="W333" s="80">
        <v>1384656</v>
      </c>
    </row>
    <row r="334" spans="1:23" ht="15.6" x14ac:dyDescent="0.3">
      <c r="A334" s="67" t="s">
        <v>1309</v>
      </c>
      <c r="B334" s="69">
        <v>1181516</v>
      </c>
      <c r="C334" s="69" t="s">
        <v>1310</v>
      </c>
      <c r="D334" s="69">
        <v>0</v>
      </c>
      <c r="E334" s="70" t="s">
        <v>1119</v>
      </c>
      <c r="F334" s="67" t="s">
        <v>1643</v>
      </c>
      <c r="G334" s="71">
        <v>30621</v>
      </c>
      <c r="H334" s="119">
        <v>39447</v>
      </c>
      <c r="I334" s="133">
        <v>1328568.75</v>
      </c>
      <c r="J334" s="134">
        <v>200034.35</v>
      </c>
      <c r="K334" s="125"/>
      <c r="L334" s="74">
        <v>5.5399999999999998E-2</v>
      </c>
      <c r="M334" s="75">
        <v>20386</v>
      </c>
      <c r="N334" s="76">
        <v>14</v>
      </c>
      <c r="O334" s="76">
        <v>0</v>
      </c>
      <c r="P334" s="83">
        <v>20386</v>
      </c>
      <c r="Q334" s="76">
        <v>0</v>
      </c>
      <c r="R334" s="67" t="s">
        <v>1605</v>
      </c>
      <c r="S334" s="68">
        <v>891800498</v>
      </c>
      <c r="T334" s="77">
        <v>41377517</v>
      </c>
      <c r="U334" s="78" t="s">
        <v>1759</v>
      </c>
      <c r="V334" s="81"/>
      <c r="W334" s="80">
        <v>580162</v>
      </c>
    </row>
    <row r="335" spans="1:23" ht="15.6" x14ac:dyDescent="0.3">
      <c r="A335" s="67" t="s">
        <v>1311</v>
      </c>
      <c r="B335" s="69">
        <v>1103096</v>
      </c>
      <c r="C335" s="69" t="s">
        <v>1312</v>
      </c>
      <c r="D335" s="69">
        <v>0</v>
      </c>
      <c r="E335" s="70" t="s">
        <v>1100</v>
      </c>
      <c r="F335" s="67" t="s">
        <v>1643</v>
      </c>
      <c r="G335" s="71">
        <v>29619</v>
      </c>
      <c r="H335" s="119">
        <v>39447</v>
      </c>
      <c r="I335" s="133">
        <v>2030677.03</v>
      </c>
      <c r="J335" s="134">
        <v>305746.44</v>
      </c>
      <c r="K335" s="125"/>
      <c r="L335" s="74">
        <v>3.2599999999999997E-2</v>
      </c>
      <c r="M335" s="75">
        <v>15532</v>
      </c>
      <c r="N335" s="76">
        <v>14</v>
      </c>
      <c r="O335" s="76">
        <v>0</v>
      </c>
      <c r="P335" s="83">
        <v>26410</v>
      </c>
      <c r="Q335" s="83">
        <v>17862</v>
      </c>
      <c r="R335" s="67" t="s">
        <v>1605</v>
      </c>
      <c r="S335" s="68">
        <v>891800498</v>
      </c>
      <c r="T335" s="77">
        <v>41330091</v>
      </c>
      <c r="U335" s="78" t="s">
        <v>1760</v>
      </c>
      <c r="V335" s="81"/>
      <c r="W335" s="80">
        <v>1506948</v>
      </c>
    </row>
    <row r="336" spans="1:23" ht="16.2" thickBot="1" x14ac:dyDescent="0.35">
      <c r="A336" s="89" t="s">
        <v>1313</v>
      </c>
      <c r="B336" s="147">
        <v>169670</v>
      </c>
      <c r="C336" s="69" t="s">
        <v>1314</v>
      </c>
      <c r="D336" s="69">
        <v>0</v>
      </c>
      <c r="E336" s="91" t="s">
        <v>1100</v>
      </c>
      <c r="F336" s="67" t="s">
        <v>1643</v>
      </c>
      <c r="G336" s="71">
        <v>34716</v>
      </c>
      <c r="H336" s="119">
        <v>39447</v>
      </c>
      <c r="I336" s="133">
        <v>67110763.930000007</v>
      </c>
      <c r="J336" s="134">
        <v>10104451.199999999</v>
      </c>
      <c r="K336" s="125"/>
      <c r="L336" s="74">
        <v>0.73760000000000003</v>
      </c>
      <c r="M336" s="100">
        <v>594432</v>
      </c>
      <c r="N336" s="76">
        <v>14</v>
      </c>
      <c r="O336" s="76">
        <v>0</v>
      </c>
      <c r="P336" s="83">
        <v>554659</v>
      </c>
      <c r="Q336" s="76">
        <v>0</v>
      </c>
      <c r="R336" s="67" t="s">
        <v>1605</v>
      </c>
      <c r="S336" s="68">
        <v>891800498</v>
      </c>
      <c r="T336" s="77">
        <v>41552535</v>
      </c>
      <c r="U336" s="78" t="s">
        <v>1761</v>
      </c>
      <c r="V336" s="81"/>
      <c r="W336" s="80">
        <v>2201133</v>
      </c>
    </row>
    <row r="337" spans="1:23" ht="15.6" x14ac:dyDescent="0.3">
      <c r="A337" s="93" t="s">
        <v>1315</v>
      </c>
      <c r="B337" s="148">
        <v>23853897</v>
      </c>
      <c r="C337" s="69" t="s">
        <v>1316</v>
      </c>
      <c r="D337" s="69">
        <v>0</v>
      </c>
      <c r="E337" s="95" t="s">
        <v>1128</v>
      </c>
      <c r="F337" s="67" t="s">
        <v>1643</v>
      </c>
      <c r="G337" s="71">
        <v>35431</v>
      </c>
      <c r="H337" s="121"/>
      <c r="I337" s="133">
        <v>6348655.5700000003</v>
      </c>
      <c r="J337" s="134">
        <v>955877.67</v>
      </c>
      <c r="K337" s="125"/>
      <c r="L337" s="74">
        <v>0.13830000000000001</v>
      </c>
      <c r="M337" s="96">
        <v>144224</v>
      </c>
      <c r="N337" s="76">
        <v>14</v>
      </c>
      <c r="O337" s="76">
        <v>0</v>
      </c>
      <c r="P337" s="83">
        <v>1042942</v>
      </c>
      <c r="Q337" s="76">
        <v>0</v>
      </c>
      <c r="R337" s="67" t="s">
        <v>1605</v>
      </c>
      <c r="S337" s="68">
        <v>891800498</v>
      </c>
      <c r="T337" s="77"/>
      <c r="U337" s="78"/>
      <c r="V337" s="81"/>
      <c r="W337" s="80">
        <v>1110541</v>
      </c>
    </row>
    <row r="338" spans="1:23" ht="15.6" x14ac:dyDescent="0.3">
      <c r="A338" s="67" t="s">
        <v>1317</v>
      </c>
      <c r="B338" s="69">
        <v>6747639</v>
      </c>
      <c r="C338" s="69" t="s">
        <v>1318</v>
      </c>
      <c r="D338" s="69">
        <v>0</v>
      </c>
      <c r="E338" s="70" t="s">
        <v>1100</v>
      </c>
      <c r="F338" s="67" t="s">
        <v>1643</v>
      </c>
      <c r="G338" s="71">
        <v>37415</v>
      </c>
      <c r="H338" s="119">
        <v>39146</v>
      </c>
      <c r="I338" s="133">
        <v>8619941.5399999991</v>
      </c>
      <c r="J338" s="134">
        <v>1297851.1000000001</v>
      </c>
      <c r="K338" s="125"/>
      <c r="L338" s="74">
        <v>9.8000000000000004E-2</v>
      </c>
      <c r="M338" s="75">
        <v>298961</v>
      </c>
      <c r="N338" s="76">
        <v>14</v>
      </c>
      <c r="O338" s="76">
        <v>0</v>
      </c>
      <c r="P338" s="83">
        <v>2316766</v>
      </c>
      <c r="Q338" s="76">
        <v>0</v>
      </c>
      <c r="R338" s="67" t="s">
        <v>1605</v>
      </c>
      <c r="S338" s="68">
        <v>891800498</v>
      </c>
      <c r="T338" s="77"/>
      <c r="U338" s="78"/>
      <c r="V338" s="81"/>
      <c r="W338" s="80">
        <v>2127910</v>
      </c>
    </row>
    <row r="339" spans="1:23" ht="15.6" x14ac:dyDescent="0.3">
      <c r="A339" s="67" t="s">
        <v>1319</v>
      </c>
      <c r="B339" s="69">
        <v>19055752</v>
      </c>
      <c r="C339" s="69" t="s">
        <v>1320</v>
      </c>
      <c r="D339" s="69">
        <v>0</v>
      </c>
      <c r="E339" s="70" t="s">
        <v>1119</v>
      </c>
      <c r="F339" s="67" t="s">
        <v>1643</v>
      </c>
      <c r="G339" s="71">
        <v>38808</v>
      </c>
      <c r="H339" s="119">
        <v>39447</v>
      </c>
      <c r="I339" s="133">
        <v>5853123.0700000003</v>
      </c>
      <c r="J339" s="134">
        <v>881268.41</v>
      </c>
      <c r="K339" s="125"/>
      <c r="L339" s="74">
        <v>0.13489999999999999</v>
      </c>
      <c r="M339" s="75">
        <v>343225</v>
      </c>
      <c r="N339" s="76">
        <v>14</v>
      </c>
      <c r="O339" s="76">
        <v>0</v>
      </c>
      <c r="P339" s="83">
        <v>2316766</v>
      </c>
      <c r="Q339" s="76">
        <v>0</v>
      </c>
      <c r="R339" s="67" t="s">
        <v>1605</v>
      </c>
      <c r="S339" s="68">
        <v>891800498</v>
      </c>
      <c r="T339" s="77"/>
      <c r="U339" s="78"/>
      <c r="V339" s="63"/>
      <c r="W339" s="80">
        <v>1049665</v>
      </c>
    </row>
    <row r="340" spans="1:23" ht="15.6" x14ac:dyDescent="0.3">
      <c r="A340" s="67" t="s">
        <v>1321</v>
      </c>
      <c r="B340" s="69">
        <v>4095711</v>
      </c>
      <c r="C340" s="69" t="s">
        <v>1322</v>
      </c>
      <c r="D340" s="69">
        <v>0</v>
      </c>
      <c r="E340" s="70" t="s">
        <v>1128</v>
      </c>
      <c r="F340" s="67" t="s">
        <v>1643</v>
      </c>
      <c r="G340" s="71">
        <v>39022</v>
      </c>
      <c r="H340" s="119">
        <v>39447</v>
      </c>
      <c r="I340" s="133">
        <v>7158548.5300000003</v>
      </c>
      <c r="J340" s="134">
        <v>1077818.22</v>
      </c>
      <c r="K340" s="125"/>
      <c r="L340" s="74">
        <v>0.25040000000000001</v>
      </c>
      <c r="M340" s="75">
        <v>567720</v>
      </c>
      <c r="N340" s="76">
        <v>14</v>
      </c>
      <c r="O340" s="76"/>
      <c r="P340" s="83">
        <v>2217656</v>
      </c>
      <c r="Q340" s="76">
        <v>0</v>
      </c>
      <c r="R340" s="67" t="s">
        <v>1605</v>
      </c>
      <c r="S340" s="68">
        <v>891800498</v>
      </c>
      <c r="T340" s="77"/>
      <c r="U340" s="78"/>
      <c r="V340" s="81"/>
      <c r="W340" s="80">
        <v>691617</v>
      </c>
    </row>
    <row r="341" spans="1:23" ht="15.6" x14ac:dyDescent="0.3">
      <c r="A341" s="67" t="s">
        <v>1325</v>
      </c>
      <c r="B341" s="69">
        <v>9512932</v>
      </c>
      <c r="C341" s="69" t="s">
        <v>1326</v>
      </c>
      <c r="D341" s="69">
        <v>0</v>
      </c>
      <c r="E341" s="70" t="s">
        <v>1128</v>
      </c>
      <c r="F341" s="67" t="s">
        <v>1643</v>
      </c>
      <c r="G341" s="71">
        <v>39415</v>
      </c>
      <c r="H341" s="119"/>
      <c r="I341" s="133">
        <v>2774942.6</v>
      </c>
      <c r="J341" s="134">
        <v>417805.89</v>
      </c>
      <c r="K341" s="125"/>
      <c r="L341" s="74">
        <v>0.11070000000000001</v>
      </c>
      <c r="M341" s="75">
        <v>190988</v>
      </c>
      <c r="N341" s="76">
        <v>14</v>
      </c>
      <c r="O341" s="76">
        <v>0</v>
      </c>
      <c r="P341" s="83">
        <v>1690159</v>
      </c>
      <c r="Q341" s="76">
        <v>0</v>
      </c>
      <c r="R341" s="67" t="s">
        <v>1605</v>
      </c>
      <c r="S341" s="68">
        <v>891800498</v>
      </c>
      <c r="T341" s="77"/>
      <c r="U341" s="78"/>
      <c r="V341" s="81"/>
      <c r="W341" s="80">
        <v>606431</v>
      </c>
    </row>
    <row r="342" spans="1:23" ht="16.2" thickBot="1" x14ac:dyDescent="0.35">
      <c r="A342" s="67" t="s">
        <v>1327</v>
      </c>
      <c r="B342" s="69">
        <v>41562739</v>
      </c>
      <c r="C342" s="69" t="s">
        <v>1328</v>
      </c>
      <c r="D342" s="69">
        <v>0</v>
      </c>
      <c r="E342" s="70" t="s">
        <v>1128</v>
      </c>
      <c r="F342" s="67" t="s">
        <v>1643</v>
      </c>
      <c r="G342" s="71">
        <v>39554</v>
      </c>
      <c r="H342" s="119"/>
      <c r="I342" s="133">
        <v>1790472.69</v>
      </c>
      <c r="J342" s="134">
        <v>269580.36</v>
      </c>
      <c r="K342" s="128"/>
      <c r="L342" s="74">
        <v>6.13E-2</v>
      </c>
      <c r="M342" s="75">
        <v>103766</v>
      </c>
      <c r="N342" s="76">
        <v>13</v>
      </c>
      <c r="O342" s="76">
        <v>0</v>
      </c>
      <c r="P342" s="83">
        <v>2003360</v>
      </c>
      <c r="Q342" s="83">
        <v>2319507</v>
      </c>
      <c r="R342" s="67" t="s">
        <v>1605</v>
      </c>
      <c r="S342" s="68">
        <v>891800498</v>
      </c>
      <c r="T342" s="77"/>
      <c r="U342" s="78"/>
      <c r="V342" s="81"/>
      <c r="W342" s="80">
        <v>706614</v>
      </c>
    </row>
    <row r="343" spans="1:23" ht="15.6" x14ac:dyDescent="0.3">
      <c r="A343" s="67" t="s">
        <v>1333</v>
      </c>
      <c r="B343" s="69">
        <v>20001841</v>
      </c>
      <c r="C343" s="69" t="s">
        <v>1334</v>
      </c>
      <c r="D343" s="69">
        <v>0</v>
      </c>
      <c r="E343" s="70" t="s">
        <v>722</v>
      </c>
      <c r="F343" s="67" t="s">
        <v>1643</v>
      </c>
      <c r="G343" s="71">
        <v>30437</v>
      </c>
      <c r="H343" s="119"/>
      <c r="I343" s="133">
        <v>25132098.399999999</v>
      </c>
      <c r="J343" s="134">
        <v>3783984.07</v>
      </c>
      <c r="K343" s="125"/>
      <c r="L343" s="74">
        <v>0.2954</v>
      </c>
      <c r="M343" s="85"/>
      <c r="N343" s="76">
        <v>14</v>
      </c>
      <c r="O343" s="76"/>
      <c r="P343" s="76"/>
      <c r="Q343" s="76"/>
      <c r="R343" s="67" t="s">
        <v>1606</v>
      </c>
      <c r="S343" s="68">
        <v>891800549</v>
      </c>
      <c r="T343" s="77"/>
      <c r="U343" s="78"/>
      <c r="V343" s="81"/>
      <c r="W343" s="80">
        <v>2058227</v>
      </c>
    </row>
    <row r="344" spans="1:23" ht="15.6" x14ac:dyDescent="0.3">
      <c r="A344" s="93" t="s">
        <v>1325</v>
      </c>
      <c r="B344" s="148">
        <v>9512932</v>
      </c>
      <c r="C344" s="69" t="s">
        <v>1326</v>
      </c>
      <c r="D344" s="69">
        <v>0</v>
      </c>
      <c r="E344" s="95" t="s">
        <v>472</v>
      </c>
      <c r="F344" s="67" t="s">
        <v>1643</v>
      </c>
      <c r="G344" s="71">
        <v>39415</v>
      </c>
      <c r="H344" s="121">
        <v>45635</v>
      </c>
      <c r="I344" s="133">
        <v>2774942.6</v>
      </c>
      <c r="J344" s="134">
        <v>417805.89</v>
      </c>
      <c r="K344" s="125"/>
      <c r="L344" s="74">
        <v>0.11070000000000001</v>
      </c>
      <c r="M344" s="96">
        <v>62874</v>
      </c>
      <c r="N344" s="76">
        <v>14</v>
      </c>
      <c r="O344" s="76"/>
      <c r="P344" s="76"/>
      <c r="Q344" s="76"/>
      <c r="R344" s="67" t="s">
        <v>1608</v>
      </c>
      <c r="S344" s="68">
        <v>891855130</v>
      </c>
      <c r="T344" s="77"/>
      <c r="U344" s="78"/>
      <c r="V344" s="81"/>
      <c r="W344" s="80">
        <v>606431</v>
      </c>
    </row>
    <row r="345" spans="1:23" ht="15.6" x14ac:dyDescent="0.3">
      <c r="A345" s="67" t="s">
        <v>1339</v>
      </c>
      <c r="B345" s="69">
        <v>29862865</v>
      </c>
      <c r="C345" s="69" t="s">
        <v>1340</v>
      </c>
      <c r="D345" s="69">
        <v>0</v>
      </c>
      <c r="E345" s="70" t="s">
        <v>472</v>
      </c>
      <c r="F345" s="67" t="s">
        <v>1643</v>
      </c>
      <c r="G345" s="71">
        <v>34516</v>
      </c>
      <c r="H345" s="119"/>
      <c r="I345" s="133">
        <v>6857453.3600000003</v>
      </c>
      <c r="J345" s="134">
        <v>1032484.19</v>
      </c>
      <c r="K345" s="125"/>
      <c r="L345" s="74">
        <v>0.1116</v>
      </c>
      <c r="M345" s="75">
        <v>47471</v>
      </c>
      <c r="N345" s="76">
        <v>14</v>
      </c>
      <c r="O345" s="76"/>
      <c r="P345" s="76"/>
      <c r="Q345" s="76"/>
      <c r="R345" s="67" t="s">
        <v>1610</v>
      </c>
      <c r="S345" s="68">
        <v>891900272</v>
      </c>
      <c r="T345" s="77"/>
      <c r="U345" s="78"/>
      <c r="V345" s="81"/>
      <c r="W345" s="80">
        <v>1486530</v>
      </c>
    </row>
    <row r="346" spans="1:23" ht="15.6" x14ac:dyDescent="0.3">
      <c r="A346" s="67" t="s">
        <v>1342</v>
      </c>
      <c r="B346" s="69">
        <v>6491022</v>
      </c>
      <c r="C346" s="69" t="s">
        <v>1343</v>
      </c>
      <c r="D346" s="69">
        <v>0</v>
      </c>
      <c r="E346" s="70" t="s">
        <v>472</v>
      </c>
      <c r="F346" s="67" t="s">
        <v>1643</v>
      </c>
      <c r="G346" s="71">
        <v>38534</v>
      </c>
      <c r="H346" s="119"/>
      <c r="I346" s="133">
        <v>10468088.130000001</v>
      </c>
      <c r="J346" s="134">
        <v>1576115.06</v>
      </c>
      <c r="K346" s="125"/>
      <c r="L346" s="74">
        <v>0.1071</v>
      </c>
      <c r="M346" s="75">
        <v>150483</v>
      </c>
      <c r="N346" s="76">
        <v>14</v>
      </c>
      <c r="O346" s="76"/>
      <c r="P346" s="76"/>
      <c r="Q346" s="76"/>
      <c r="R346" s="67" t="s">
        <v>1610</v>
      </c>
      <c r="S346" s="68">
        <v>891900272</v>
      </c>
      <c r="T346" s="77"/>
      <c r="U346" s="78"/>
      <c r="V346" s="81"/>
      <c r="W346" s="80">
        <v>2364574</v>
      </c>
    </row>
    <row r="347" spans="1:23" ht="15.6" x14ac:dyDescent="0.3">
      <c r="A347" s="67" t="s">
        <v>1080</v>
      </c>
      <c r="B347" s="69">
        <v>24446657</v>
      </c>
      <c r="C347" s="69" t="s">
        <v>1081</v>
      </c>
      <c r="D347" s="69">
        <v>0</v>
      </c>
      <c r="E347" s="70" t="s">
        <v>19</v>
      </c>
      <c r="F347" s="67" t="s">
        <v>1643</v>
      </c>
      <c r="G347" s="71">
        <v>34351</v>
      </c>
      <c r="H347" s="119"/>
      <c r="I347" s="133">
        <v>3649654.05</v>
      </c>
      <c r="J347" s="134">
        <v>549505.76</v>
      </c>
      <c r="K347" s="125"/>
      <c r="L347" s="74">
        <v>0.1172</v>
      </c>
      <c r="M347" s="75">
        <v>17132</v>
      </c>
      <c r="N347" s="76">
        <v>14</v>
      </c>
      <c r="O347" s="76"/>
      <c r="P347" s="76"/>
      <c r="Q347" s="76"/>
      <c r="R347" s="67" t="s">
        <v>1612</v>
      </c>
      <c r="S347" s="68">
        <v>891900945</v>
      </c>
      <c r="T347" s="77"/>
      <c r="U347" s="78"/>
      <c r="V347" s="63"/>
      <c r="W347" s="80">
        <v>753354</v>
      </c>
    </row>
    <row r="348" spans="1:23" ht="15.6" x14ac:dyDescent="0.3">
      <c r="A348" s="67" t="s">
        <v>1346</v>
      </c>
      <c r="B348" s="69">
        <v>492564</v>
      </c>
      <c r="C348" s="69" t="s">
        <v>1347</v>
      </c>
      <c r="D348" s="69">
        <v>0</v>
      </c>
      <c r="E348" s="70" t="s">
        <v>21</v>
      </c>
      <c r="F348" s="67" t="s">
        <v>1643</v>
      </c>
      <c r="G348" s="71">
        <v>31082</v>
      </c>
      <c r="H348" s="119"/>
      <c r="I348" s="133">
        <v>14176242.199999999</v>
      </c>
      <c r="J348" s="134">
        <v>2134428.7999999998</v>
      </c>
      <c r="K348" s="125"/>
      <c r="L348" s="74">
        <v>9.01E-2</v>
      </c>
      <c r="M348" s="75">
        <v>6927</v>
      </c>
      <c r="N348" s="76">
        <v>14</v>
      </c>
      <c r="O348" s="76"/>
      <c r="P348" s="76"/>
      <c r="Q348" s="76"/>
      <c r="R348" s="67" t="s">
        <v>1614</v>
      </c>
      <c r="S348" s="68">
        <v>892000148</v>
      </c>
      <c r="T348" s="77">
        <v>21222714</v>
      </c>
      <c r="U348" s="78" t="s">
        <v>1762</v>
      </c>
      <c r="V348" s="81"/>
      <c r="W348" s="80">
        <v>3806373</v>
      </c>
    </row>
    <row r="349" spans="1:23" ht="15.6" x14ac:dyDescent="0.3">
      <c r="A349" s="67" t="s">
        <v>1348</v>
      </c>
      <c r="B349" s="69">
        <v>21219656</v>
      </c>
      <c r="C349" s="69" t="s">
        <v>1349</v>
      </c>
      <c r="D349" s="69">
        <v>0</v>
      </c>
      <c r="E349" s="70" t="s">
        <v>21</v>
      </c>
      <c r="F349" s="67" t="s">
        <v>1643</v>
      </c>
      <c r="G349" s="71">
        <v>34700</v>
      </c>
      <c r="H349" s="119"/>
      <c r="I349" s="133">
        <v>6078414.5999999996</v>
      </c>
      <c r="J349" s="134">
        <v>915189.16</v>
      </c>
      <c r="K349" s="125"/>
      <c r="L349" s="74">
        <v>7.0099999999999996E-2</v>
      </c>
      <c r="M349" s="75">
        <v>134512</v>
      </c>
      <c r="N349" s="76">
        <v>14</v>
      </c>
      <c r="O349" s="76"/>
      <c r="P349" s="76"/>
      <c r="Q349" s="76"/>
      <c r="R349" s="67" t="s">
        <v>1614</v>
      </c>
      <c r="S349" s="68">
        <v>892000148</v>
      </c>
      <c r="T349" s="77"/>
      <c r="U349" s="78"/>
      <c r="V349" s="81"/>
      <c r="W349" s="80">
        <v>2097719</v>
      </c>
    </row>
    <row r="350" spans="1:23" ht="15.6" x14ac:dyDescent="0.3">
      <c r="A350" s="67" t="s">
        <v>1350</v>
      </c>
      <c r="B350" s="69">
        <v>21219736</v>
      </c>
      <c r="C350" s="69" t="s">
        <v>1351</v>
      </c>
      <c r="D350" s="69">
        <v>0</v>
      </c>
      <c r="E350" s="70" t="s">
        <v>21</v>
      </c>
      <c r="F350" s="67" t="s">
        <v>1643</v>
      </c>
      <c r="G350" s="71">
        <v>34700</v>
      </c>
      <c r="H350" s="119"/>
      <c r="I350" s="133">
        <v>11395389.91</v>
      </c>
      <c r="J350" s="134">
        <v>1715733.13</v>
      </c>
      <c r="K350" s="125"/>
      <c r="L350" s="74">
        <v>7.6100000000000001E-2</v>
      </c>
      <c r="M350" s="75">
        <v>66885</v>
      </c>
      <c r="N350" s="76">
        <v>14</v>
      </c>
      <c r="O350" s="76"/>
      <c r="P350" s="76"/>
      <c r="Q350" s="76"/>
      <c r="R350" s="67" t="s">
        <v>1614</v>
      </c>
      <c r="S350" s="68">
        <v>892000148</v>
      </c>
      <c r="T350" s="77"/>
      <c r="U350" s="78"/>
      <c r="V350" s="81"/>
      <c r="W350" s="80">
        <v>3622593</v>
      </c>
    </row>
    <row r="351" spans="1:23" ht="15.6" x14ac:dyDescent="0.3">
      <c r="A351" s="67" t="s">
        <v>1352</v>
      </c>
      <c r="B351" s="69">
        <v>41321695</v>
      </c>
      <c r="C351" s="69" t="s">
        <v>1353</v>
      </c>
      <c r="D351" s="69">
        <v>0</v>
      </c>
      <c r="E351" s="70" t="s">
        <v>21</v>
      </c>
      <c r="F351" s="67" t="s">
        <v>1643</v>
      </c>
      <c r="G351" s="71">
        <v>35063</v>
      </c>
      <c r="H351" s="119"/>
      <c r="I351" s="133">
        <v>4476416.68</v>
      </c>
      <c r="J351" s="134">
        <v>673986.28</v>
      </c>
      <c r="K351" s="125"/>
      <c r="L351" s="74">
        <v>5.45E-2</v>
      </c>
      <c r="M351" s="75">
        <v>15424</v>
      </c>
      <c r="N351" s="76">
        <v>14</v>
      </c>
      <c r="O351" s="76"/>
      <c r="P351" s="76"/>
      <c r="Q351" s="76"/>
      <c r="R351" s="67" t="s">
        <v>1614</v>
      </c>
      <c r="S351" s="68">
        <v>892000148</v>
      </c>
      <c r="T351" s="77"/>
      <c r="U351" s="78"/>
      <c r="V351" s="81"/>
      <c r="W351" s="80">
        <v>1987051</v>
      </c>
    </row>
    <row r="352" spans="1:23" ht="15.6" x14ac:dyDescent="0.3">
      <c r="A352" s="67" t="s">
        <v>1354</v>
      </c>
      <c r="B352" s="69">
        <v>3292067</v>
      </c>
      <c r="C352" s="69" t="s">
        <v>1355</v>
      </c>
      <c r="D352" s="69">
        <v>0</v>
      </c>
      <c r="E352" s="70" t="s">
        <v>21</v>
      </c>
      <c r="F352" s="67" t="s">
        <v>1643</v>
      </c>
      <c r="G352" s="71">
        <v>37104</v>
      </c>
      <c r="H352" s="119"/>
      <c r="I352" s="133">
        <v>15381168.640000001</v>
      </c>
      <c r="J352" s="134">
        <v>2315847.1</v>
      </c>
      <c r="K352" s="125"/>
      <c r="L352" s="74">
        <v>0.28210000000000002</v>
      </c>
      <c r="M352" s="75">
        <v>480088</v>
      </c>
      <c r="N352" s="76">
        <v>14</v>
      </c>
      <c r="O352" s="76"/>
      <c r="P352" s="76"/>
      <c r="Q352" s="76"/>
      <c r="R352" s="67" t="s">
        <v>1614</v>
      </c>
      <c r="S352" s="68">
        <v>892000148</v>
      </c>
      <c r="T352" s="77"/>
      <c r="U352" s="78"/>
      <c r="V352" s="81"/>
      <c r="W352" s="80">
        <v>1319050</v>
      </c>
    </row>
    <row r="353" spans="1:23" ht="15.6" x14ac:dyDescent="0.3">
      <c r="A353" s="67" t="s">
        <v>1356</v>
      </c>
      <c r="B353" s="69">
        <v>17185988</v>
      </c>
      <c r="C353" s="69" t="s">
        <v>1357</v>
      </c>
      <c r="D353" s="69">
        <v>0</v>
      </c>
      <c r="E353" s="70" t="s">
        <v>472</v>
      </c>
      <c r="F353" s="67" t="s">
        <v>1643</v>
      </c>
      <c r="G353" s="71">
        <v>37347</v>
      </c>
      <c r="H353" s="119"/>
      <c r="I353" s="133">
        <v>964870.19</v>
      </c>
      <c r="J353" s="134">
        <v>145274.51999999999</v>
      </c>
      <c r="K353" s="125"/>
      <c r="L353" s="74">
        <v>1.44E-2</v>
      </c>
      <c r="M353" s="75">
        <v>33776</v>
      </c>
      <c r="N353" s="76">
        <v>14</v>
      </c>
      <c r="O353" s="76"/>
      <c r="P353" s="76"/>
      <c r="Q353" s="76"/>
      <c r="R353" s="67" t="s">
        <v>1614</v>
      </c>
      <c r="S353" s="68">
        <v>892000148</v>
      </c>
      <c r="T353" s="77"/>
      <c r="U353" s="78"/>
      <c r="V353" s="81"/>
      <c r="W353" s="80">
        <v>1620994</v>
      </c>
    </row>
    <row r="354" spans="1:23" ht="15.6" x14ac:dyDescent="0.3">
      <c r="A354" s="67" t="s">
        <v>725</v>
      </c>
      <c r="B354" s="69">
        <v>3296533</v>
      </c>
      <c r="C354" s="69" t="s">
        <v>726</v>
      </c>
      <c r="D354" s="69">
        <v>0</v>
      </c>
      <c r="E354" s="70" t="s">
        <v>472</v>
      </c>
      <c r="F354" s="67" t="s">
        <v>1643</v>
      </c>
      <c r="G354" s="71">
        <v>38741</v>
      </c>
      <c r="H354" s="119"/>
      <c r="I354" s="133">
        <v>6660483.7400000002</v>
      </c>
      <c r="J354" s="134">
        <v>1002827.7</v>
      </c>
      <c r="K354" s="125"/>
      <c r="L354" s="74">
        <v>0.1149</v>
      </c>
      <c r="M354" s="75">
        <v>237477</v>
      </c>
      <c r="N354" s="76">
        <v>14</v>
      </c>
      <c r="O354" s="76"/>
      <c r="P354" s="76"/>
      <c r="Q354" s="76"/>
      <c r="R354" s="67" t="s">
        <v>1614</v>
      </c>
      <c r="S354" s="68">
        <v>892000148</v>
      </c>
      <c r="T354" s="77"/>
      <c r="U354" s="78"/>
      <c r="V354" s="81"/>
      <c r="W354" s="80">
        <v>1402364</v>
      </c>
    </row>
    <row r="355" spans="1:23" ht="15.6" x14ac:dyDescent="0.3">
      <c r="A355" s="67" t="s">
        <v>1358</v>
      </c>
      <c r="B355" s="69">
        <v>21227900</v>
      </c>
      <c r="C355" s="69" t="s">
        <v>1359</v>
      </c>
      <c r="D355" s="69">
        <v>0</v>
      </c>
      <c r="E355" s="70" t="s">
        <v>21</v>
      </c>
      <c r="F355" s="67" t="s">
        <v>1643</v>
      </c>
      <c r="G355" s="71">
        <v>38764</v>
      </c>
      <c r="H355" s="119"/>
      <c r="I355" s="133">
        <v>859314.5</v>
      </c>
      <c r="J355" s="134">
        <v>129381.65</v>
      </c>
      <c r="K355" s="125"/>
      <c r="L355" s="74">
        <v>7.1199999999999999E-2</v>
      </c>
      <c r="M355" s="75">
        <v>118298</v>
      </c>
      <c r="N355" s="76">
        <v>14</v>
      </c>
      <c r="O355" s="76"/>
      <c r="P355" s="76"/>
      <c r="Q355" s="76"/>
      <c r="R355" s="67" t="s">
        <v>1614</v>
      </c>
      <c r="S355" s="68">
        <v>892000148</v>
      </c>
      <c r="T355" s="77"/>
      <c r="U355" s="78"/>
      <c r="V355" s="81"/>
      <c r="W355" s="80">
        <v>291976</v>
      </c>
    </row>
    <row r="356" spans="1:23" ht="15.6" x14ac:dyDescent="0.3">
      <c r="A356" s="67" t="s">
        <v>1362</v>
      </c>
      <c r="B356" s="69">
        <v>19128188</v>
      </c>
      <c r="C356" s="69" t="s">
        <v>1363</v>
      </c>
      <c r="D356" s="69">
        <v>0</v>
      </c>
      <c r="E356" s="70" t="s">
        <v>472</v>
      </c>
      <c r="F356" s="67" t="s">
        <v>1643</v>
      </c>
      <c r="G356" s="71">
        <v>39083</v>
      </c>
      <c r="H356" s="119"/>
      <c r="I356" s="133">
        <v>5215.93</v>
      </c>
      <c r="J356" s="134">
        <v>785.33</v>
      </c>
      <c r="K356" s="125"/>
      <c r="L356" s="74">
        <v>2.5899999999999999E-2</v>
      </c>
      <c r="M356" s="75">
        <v>40230</v>
      </c>
      <c r="N356" s="76">
        <v>13</v>
      </c>
      <c r="O356" s="76"/>
      <c r="P356" s="76"/>
      <c r="Q356" s="76"/>
      <c r="R356" s="67" t="s">
        <v>1614</v>
      </c>
      <c r="S356" s="68">
        <v>892000148</v>
      </c>
      <c r="T356" s="77"/>
      <c r="U356" s="78"/>
      <c r="V356" s="81"/>
      <c r="W356" s="80">
        <v>4872</v>
      </c>
    </row>
    <row r="357" spans="1:23" ht="15.6" x14ac:dyDescent="0.3">
      <c r="A357" s="67" t="s">
        <v>1368</v>
      </c>
      <c r="B357" s="69">
        <v>21230182</v>
      </c>
      <c r="C357" s="69" t="s">
        <v>1369</v>
      </c>
      <c r="D357" s="69">
        <v>0</v>
      </c>
      <c r="E357" s="70" t="s">
        <v>19</v>
      </c>
      <c r="F357" s="67" t="s">
        <v>1643</v>
      </c>
      <c r="G357" s="71">
        <v>40134</v>
      </c>
      <c r="H357" s="119"/>
      <c r="I357" s="133">
        <v>213056.65</v>
      </c>
      <c r="J357" s="134">
        <v>32078.62</v>
      </c>
      <c r="K357" s="125"/>
      <c r="L357" s="74">
        <v>2.2800000000000001E-2</v>
      </c>
      <c r="M357" s="75">
        <v>31691</v>
      </c>
      <c r="N357" s="76">
        <v>13</v>
      </c>
      <c r="O357" s="76"/>
      <c r="P357" s="76"/>
      <c r="Q357" s="76"/>
      <c r="R357" s="67" t="s">
        <v>1614</v>
      </c>
      <c r="S357" s="68">
        <v>892000148</v>
      </c>
      <c r="T357" s="77"/>
      <c r="U357" s="78"/>
      <c r="V357" s="81"/>
      <c r="W357" s="80">
        <v>226066</v>
      </c>
    </row>
    <row r="358" spans="1:23" ht="15.6" x14ac:dyDescent="0.3">
      <c r="A358" s="67" t="s">
        <v>1362</v>
      </c>
      <c r="B358" s="69">
        <v>19128188</v>
      </c>
      <c r="C358" s="69" t="s">
        <v>1363</v>
      </c>
      <c r="D358" s="69">
        <v>0</v>
      </c>
      <c r="E358" s="70" t="s">
        <v>472</v>
      </c>
      <c r="F358" s="67" t="s">
        <v>1643</v>
      </c>
      <c r="G358" s="71">
        <v>39083</v>
      </c>
      <c r="H358" s="119">
        <v>43606</v>
      </c>
      <c r="I358" s="133">
        <v>5215.93</v>
      </c>
      <c r="J358" s="134">
        <v>785.33</v>
      </c>
      <c r="K358" s="125"/>
      <c r="L358" s="74">
        <v>2.5899999999999999E-2</v>
      </c>
      <c r="M358" s="75">
        <v>63995</v>
      </c>
      <c r="N358" s="76">
        <v>13</v>
      </c>
      <c r="O358" s="76"/>
      <c r="P358" s="76"/>
      <c r="Q358" s="76"/>
      <c r="R358" s="67" t="s">
        <v>1615</v>
      </c>
      <c r="S358" s="68">
        <v>892000265</v>
      </c>
      <c r="T358" s="77"/>
      <c r="U358" s="78"/>
      <c r="V358" s="81"/>
      <c r="W358" s="80">
        <v>4872</v>
      </c>
    </row>
    <row r="359" spans="1:23" ht="15.6" x14ac:dyDescent="0.3">
      <c r="A359" s="67" t="s">
        <v>1370</v>
      </c>
      <c r="B359" s="69">
        <v>17127706</v>
      </c>
      <c r="C359" s="69" t="s">
        <v>1371</v>
      </c>
      <c r="D359" s="69">
        <v>0</v>
      </c>
      <c r="E359" s="70" t="s">
        <v>19</v>
      </c>
      <c r="F359" s="67" t="s">
        <v>1643</v>
      </c>
      <c r="G359" s="71">
        <v>35431</v>
      </c>
      <c r="H359" s="119"/>
      <c r="I359" s="133">
        <v>5015109.7</v>
      </c>
      <c r="J359" s="134">
        <v>755093.94</v>
      </c>
      <c r="K359" s="127"/>
      <c r="L359" s="74">
        <v>0.122</v>
      </c>
      <c r="M359" s="75">
        <v>135947</v>
      </c>
      <c r="N359" s="76">
        <v>14</v>
      </c>
      <c r="O359" s="76"/>
      <c r="P359" s="76"/>
      <c r="Q359" s="76"/>
      <c r="R359" s="67" t="s">
        <v>1616</v>
      </c>
      <c r="S359" s="68">
        <v>892099324</v>
      </c>
      <c r="T359" s="77"/>
      <c r="U359" s="78"/>
      <c r="V359" s="81"/>
      <c r="W359" s="80">
        <v>994479</v>
      </c>
    </row>
    <row r="360" spans="1:23" ht="15.6" x14ac:dyDescent="0.3">
      <c r="A360" s="67" t="s">
        <v>1376</v>
      </c>
      <c r="B360" s="69">
        <v>1753208</v>
      </c>
      <c r="C360" s="69" t="s">
        <v>523</v>
      </c>
      <c r="D360" s="69">
        <v>0</v>
      </c>
      <c r="E360" s="70" t="s">
        <v>19</v>
      </c>
      <c r="F360" s="67" t="s">
        <v>1643</v>
      </c>
      <c r="G360" s="71">
        <v>27576</v>
      </c>
      <c r="H360" s="119"/>
      <c r="I360" s="133">
        <v>12192495.939999999</v>
      </c>
      <c r="J360" s="134">
        <v>1835748.44</v>
      </c>
      <c r="K360" s="125"/>
      <c r="L360" s="74">
        <v>0.24360000000000001</v>
      </c>
      <c r="M360" s="85">
        <v>825</v>
      </c>
      <c r="N360" s="76">
        <v>14</v>
      </c>
      <c r="O360" s="76"/>
      <c r="P360" s="76"/>
      <c r="Q360" s="76"/>
      <c r="R360" s="67" t="s">
        <v>1619</v>
      </c>
      <c r="S360" s="68">
        <v>892115007</v>
      </c>
      <c r="T360" s="77">
        <v>32674991</v>
      </c>
      <c r="U360" s="78" t="s">
        <v>1658</v>
      </c>
      <c r="V360" s="81"/>
      <c r="W360" s="80">
        <v>1210850</v>
      </c>
    </row>
    <row r="361" spans="1:23" ht="15.6" x14ac:dyDescent="0.3">
      <c r="A361" s="93" t="s">
        <v>700</v>
      </c>
      <c r="B361" s="148">
        <v>26938972</v>
      </c>
      <c r="C361" s="69" t="s">
        <v>701</v>
      </c>
      <c r="D361" s="69">
        <v>0</v>
      </c>
      <c r="E361" s="95" t="s">
        <v>19</v>
      </c>
      <c r="F361" s="67" t="s">
        <v>1643</v>
      </c>
      <c r="G361" s="71">
        <v>34703</v>
      </c>
      <c r="H361" s="121">
        <v>42004</v>
      </c>
      <c r="I361" s="133">
        <v>5322424.83</v>
      </c>
      <c r="J361" s="134">
        <v>801364.47</v>
      </c>
      <c r="K361" s="125"/>
      <c r="L361" s="74">
        <v>0.121</v>
      </c>
      <c r="M361" s="96">
        <v>16199</v>
      </c>
      <c r="N361" s="76">
        <v>14</v>
      </c>
      <c r="O361" s="76">
        <v>0</v>
      </c>
      <c r="P361" s="83">
        <v>389780</v>
      </c>
      <c r="Q361" s="83">
        <v>956608</v>
      </c>
      <c r="R361" s="67" t="s">
        <v>1620</v>
      </c>
      <c r="S361" s="68">
        <v>892115015</v>
      </c>
      <c r="T361" s="77"/>
      <c r="U361" s="78"/>
      <c r="V361" s="81"/>
      <c r="W361" s="80">
        <v>1064141</v>
      </c>
    </row>
    <row r="362" spans="1:23" ht="15.6" x14ac:dyDescent="0.3">
      <c r="A362" s="67" t="s">
        <v>1377</v>
      </c>
      <c r="B362" s="69">
        <v>17800841</v>
      </c>
      <c r="C362" s="69" t="s">
        <v>1378</v>
      </c>
      <c r="D362" s="69">
        <v>0</v>
      </c>
      <c r="E362" s="70" t="s">
        <v>19</v>
      </c>
      <c r="F362" s="67" t="s">
        <v>1643</v>
      </c>
      <c r="G362" s="71">
        <v>37561</v>
      </c>
      <c r="H362" s="121">
        <v>42004</v>
      </c>
      <c r="I362" s="133">
        <v>20526009.539999999</v>
      </c>
      <c r="J362" s="134">
        <v>3090473.86</v>
      </c>
      <c r="K362" s="125"/>
      <c r="L362" s="74">
        <v>0.4047</v>
      </c>
      <c r="M362" s="75">
        <v>282663</v>
      </c>
      <c r="N362" s="76">
        <v>14</v>
      </c>
      <c r="O362" s="76">
        <v>0</v>
      </c>
      <c r="P362" s="83">
        <v>769034</v>
      </c>
      <c r="Q362" s="83">
        <v>1288888</v>
      </c>
      <c r="R362" s="67" t="s">
        <v>1620</v>
      </c>
      <c r="S362" s="68">
        <v>892115015</v>
      </c>
      <c r="T362" s="77">
        <v>20619118</v>
      </c>
      <c r="U362" s="78" t="s">
        <v>1764</v>
      </c>
      <c r="V362" s="81"/>
      <c r="W362" s="80">
        <v>1227005</v>
      </c>
    </row>
    <row r="363" spans="1:23" ht="15.6" x14ac:dyDescent="0.3">
      <c r="A363" s="67" t="s">
        <v>912</v>
      </c>
      <c r="B363" s="69">
        <v>38972862</v>
      </c>
      <c r="C363" s="69" t="s">
        <v>913</v>
      </c>
      <c r="D363" s="69">
        <v>0</v>
      </c>
      <c r="E363" s="70" t="s">
        <v>19</v>
      </c>
      <c r="F363" s="67" t="s">
        <v>1643</v>
      </c>
      <c r="G363" s="71">
        <v>34700</v>
      </c>
      <c r="H363" s="119"/>
      <c r="I363" s="133">
        <v>2073573.01</v>
      </c>
      <c r="J363" s="134">
        <v>312205.02</v>
      </c>
      <c r="K363" s="125"/>
      <c r="L363" s="74">
        <v>2.6100000000000002E-2</v>
      </c>
      <c r="M363" s="75">
        <v>3160</v>
      </c>
      <c r="N363" s="76">
        <v>14</v>
      </c>
      <c r="O363" s="76"/>
      <c r="P363" s="76"/>
      <c r="Q363" s="76"/>
      <c r="R363" s="67" t="s">
        <v>1621</v>
      </c>
      <c r="S363" s="68">
        <v>892280021</v>
      </c>
      <c r="T363" s="77"/>
      <c r="U363" s="78"/>
      <c r="V363" s="81"/>
      <c r="W363" s="80">
        <v>1922002</v>
      </c>
    </row>
    <row r="364" spans="1:23" ht="15.6" x14ac:dyDescent="0.3">
      <c r="A364" s="67" t="s">
        <v>912</v>
      </c>
      <c r="B364" s="69">
        <v>38972862</v>
      </c>
      <c r="C364" s="69" t="s">
        <v>913</v>
      </c>
      <c r="D364" s="69">
        <v>0</v>
      </c>
      <c r="E364" s="70" t="s">
        <v>19</v>
      </c>
      <c r="F364" s="67" t="s">
        <v>1643</v>
      </c>
      <c r="G364" s="71">
        <v>34700</v>
      </c>
      <c r="H364" s="121">
        <v>41639</v>
      </c>
      <c r="I364" s="133">
        <v>2073573.01</v>
      </c>
      <c r="J364" s="134">
        <v>312205.02</v>
      </c>
      <c r="K364" s="125"/>
      <c r="L364" s="74">
        <v>2.6100000000000002E-2</v>
      </c>
      <c r="M364" s="75">
        <v>28792</v>
      </c>
      <c r="N364" s="76">
        <v>14</v>
      </c>
      <c r="O364" s="76">
        <v>0</v>
      </c>
      <c r="P364" s="83">
        <v>404370</v>
      </c>
      <c r="Q364" s="76">
        <v>0</v>
      </c>
      <c r="R364" s="67" t="s">
        <v>1622</v>
      </c>
      <c r="S364" s="68">
        <v>892399999</v>
      </c>
      <c r="T364" s="77"/>
      <c r="U364" s="78"/>
      <c r="V364" s="81"/>
      <c r="W364" s="80">
        <v>1922002</v>
      </c>
    </row>
    <row r="365" spans="1:23" ht="15.6" x14ac:dyDescent="0.3">
      <c r="A365" s="67" t="s">
        <v>912</v>
      </c>
      <c r="B365" s="69">
        <v>38972862</v>
      </c>
      <c r="C365" s="69" t="s">
        <v>913</v>
      </c>
      <c r="D365" s="69">
        <v>0</v>
      </c>
      <c r="E365" s="70" t="s">
        <v>19</v>
      </c>
      <c r="F365" s="67" t="s">
        <v>1643</v>
      </c>
      <c r="G365" s="71">
        <v>34700</v>
      </c>
      <c r="H365" s="119"/>
      <c r="I365" s="133">
        <v>2073573.01</v>
      </c>
      <c r="J365" s="134">
        <v>312205.02</v>
      </c>
      <c r="K365" s="125"/>
      <c r="L365" s="74">
        <v>2.6100000000000002E-2</v>
      </c>
      <c r="M365" s="75">
        <v>16642</v>
      </c>
      <c r="N365" s="76">
        <v>14</v>
      </c>
      <c r="O365" s="76"/>
      <c r="P365" s="76"/>
      <c r="Q365" s="76"/>
      <c r="R365" s="67" t="s">
        <v>1624</v>
      </c>
      <c r="S365" s="68">
        <v>892399994</v>
      </c>
      <c r="T365" s="77"/>
      <c r="U365" s="78"/>
      <c r="V365" s="81"/>
      <c r="W365" s="80">
        <v>1922002</v>
      </c>
    </row>
    <row r="366" spans="1:23" ht="15.6" x14ac:dyDescent="0.3">
      <c r="A366" s="67" t="s">
        <v>700</v>
      </c>
      <c r="B366" s="69">
        <v>26938972</v>
      </c>
      <c r="C366" s="69" t="s">
        <v>701</v>
      </c>
      <c r="D366" s="69">
        <v>0</v>
      </c>
      <c r="E366" s="70" t="s">
        <v>19</v>
      </c>
      <c r="F366" s="67" t="s">
        <v>1643</v>
      </c>
      <c r="G366" s="71">
        <v>34703</v>
      </c>
      <c r="H366" s="121">
        <v>40543</v>
      </c>
      <c r="I366" s="135">
        <v>5322424.83</v>
      </c>
      <c r="J366" s="134">
        <v>801364.47</v>
      </c>
      <c r="K366" s="125"/>
      <c r="L366" s="74">
        <v>0.121</v>
      </c>
      <c r="M366" s="75">
        <v>44376</v>
      </c>
      <c r="N366" s="76">
        <v>14</v>
      </c>
      <c r="O366" s="76">
        <v>0</v>
      </c>
      <c r="P366" s="83">
        <v>449462</v>
      </c>
      <c r="Q366" s="76">
        <v>0</v>
      </c>
      <c r="R366" s="67" t="s">
        <v>1622</v>
      </c>
      <c r="S366" s="68">
        <v>892399999</v>
      </c>
      <c r="T366" s="77"/>
      <c r="U366" s="78"/>
      <c r="V366" s="81"/>
      <c r="W366" s="80">
        <v>1064141</v>
      </c>
    </row>
    <row r="367" spans="1:23" ht="15.6" x14ac:dyDescent="0.3">
      <c r="A367" s="67" t="s">
        <v>1383</v>
      </c>
      <c r="B367" s="69">
        <v>9129659</v>
      </c>
      <c r="C367" s="69" t="s">
        <v>1384</v>
      </c>
      <c r="D367" s="69">
        <v>0</v>
      </c>
      <c r="E367" s="70" t="s">
        <v>592</v>
      </c>
      <c r="F367" s="67" t="s">
        <v>1643</v>
      </c>
      <c r="G367" s="71">
        <v>38796</v>
      </c>
      <c r="H367" s="121">
        <v>40543</v>
      </c>
      <c r="I367" s="133">
        <v>11279146.300000001</v>
      </c>
      <c r="J367" s="134">
        <v>1698231.05</v>
      </c>
      <c r="K367" s="125"/>
      <c r="L367" s="74">
        <v>0.28920000000000001</v>
      </c>
      <c r="M367" s="75">
        <v>427894</v>
      </c>
      <c r="N367" s="76">
        <v>14</v>
      </c>
      <c r="O367" s="76">
        <v>0</v>
      </c>
      <c r="P367" s="83">
        <v>1321886</v>
      </c>
      <c r="Q367" s="76"/>
      <c r="R367" s="67" t="s">
        <v>1622</v>
      </c>
      <c r="S367" s="68">
        <v>892399999</v>
      </c>
      <c r="T367" s="77">
        <v>36527388</v>
      </c>
      <c r="U367" s="78" t="s">
        <v>1766</v>
      </c>
      <c r="V367" s="81"/>
      <c r="W367" s="80">
        <v>943524</v>
      </c>
    </row>
    <row r="368" spans="1:23" ht="15.6" x14ac:dyDescent="0.3">
      <c r="A368" s="67" t="s">
        <v>498</v>
      </c>
      <c r="B368" s="69">
        <v>15240013</v>
      </c>
      <c r="C368" s="69" t="s">
        <v>499</v>
      </c>
      <c r="D368" s="69">
        <v>0</v>
      </c>
      <c r="E368" s="70" t="s">
        <v>19</v>
      </c>
      <c r="F368" s="67" t="s">
        <v>1643</v>
      </c>
      <c r="G368" s="71">
        <v>39569</v>
      </c>
      <c r="H368" s="119"/>
      <c r="I368" s="133">
        <v>13767618.460000001</v>
      </c>
      <c r="J368" s="134">
        <v>2072904.86</v>
      </c>
      <c r="K368" s="125"/>
      <c r="L368" s="74">
        <v>0.36099999999999999</v>
      </c>
      <c r="M368" s="75">
        <v>83579</v>
      </c>
      <c r="N368" s="76">
        <v>14</v>
      </c>
      <c r="O368" s="76"/>
      <c r="P368" s="76"/>
      <c r="Q368" s="76"/>
      <c r="R368" s="67" t="s">
        <v>1625</v>
      </c>
      <c r="S368" s="68">
        <v>892400038</v>
      </c>
      <c r="T368" s="77"/>
      <c r="U368" s="78"/>
      <c r="V368" s="81"/>
      <c r="W368" s="80">
        <v>922628</v>
      </c>
    </row>
    <row r="369" spans="1:23" ht="15.6" x14ac:dyDescent="0.3">
      <c r="A369" s="67" t="s">
        <v>1385</v>
      </c>
      <c r="B369" s="69">
        <v>23247979</v>
      </c>
      <c r="C369" s="69" t="s">
        <v>1386</v>
      </c>
      <c r="D369" s="69">
        <v>0</v>
      </c>
      <c r="E369" s="70" t="s">
        <v>19</v>
      </c>
      <c r="F369" s="67" t="s">
        <v>1643</v>
      </c>
      <c r="G369" s="71">
        <v>39569</v>
      </c>
      <c r="H369" s="119"/>
      <c r="I369" s="133">
        <v>7711201.71</v>
      </c>
      <c r="J369" s="134">
        <v>1161027.78</v>
      </c>
      <c r="K369" s="125"/>
      <c r="L369" s="74">
        <v>0.24199999999999999</v>
      </c>
      <c r="M369" s="75">
        <v>278310</v>
      </c>
      <c r="N369" s="76">
        <v>14</v>
      </c>
      <c r="O369" s="76"/>
      <c r="P369" s="76"/>
      <c r="Q369" s="76"/>
      <c r="R369" s="67" t="s">
        <v>1625</v>
      </c>
      <c r="S369" s="68">
        <v>892400038</v>
      </c>
      <c r="T369" s="77"/>
      <c r="U369" s="78"/>
      <c r="V369" s="81"/>
      <c r="W369" s="80">
        <v>770871</v>
      </c>
    </row>
    <row r="370" spans="1:23" ht="15.6" x14ac:dyDescent="0.3">
      <c r="A370" s="67" t="s">
        <v>961</v>
      </c>
      <c r="B370" s="69">
        <v>2419662</v>
      </c>
      <c r="C370" s="69" t="s">
        <v>962</v>
      </c>
      <c r="D370" s="69">
        <v>0</v>
      </c>
      <c r="E370" s="70" t="s">
        <v>21</v>
      </c>
      <c r="F370" s="67" t="s">
        <v>1643</v>
      </c>
      <c r="G370" s="71">
        <v>26846</v>
      </c>
      <c r="H370" s="119">
        <v>44196</v>
      </c>
      <c r="I370" s="133">
        <v>28040752.899999999</v>
      </c>
      <c r="J370" s="134">
        <v>4221922.13</v>
      </c>
      <c r="K370" s="125"/>
      <c r="L370" s="74">
        <v>0.25140000000000001</v>
      </c>
      <c r="M370" s="75">
        <v>1270</v>
      </c>
      <c r="N370" s="76">
        <v>14</v>
      </c>
      <c r="O370" s="76">
        <v>0</v>
      </c>
      <c r="P370" s="83">
        <v>5052</v>
      </c>
      <c r="Q370" s="76">
        <v>0</v>
      </c>
      <c r="R370" s="67" t="s">
        <v>1626</v>
      </c>
      <c r="S370" s="68">
        <v>899999072</v>
      </c>
      <c r="T370" s="77">
        <v>29071625</v>
      </c>
      <c r="U370" s="78" t="s">
        <v>1712</v>
      </c>
      <c r="V370" s="81"/>
      <c r="W370" s="80">
        <v>2698357</v>
      </c>
    </row>
    <row r="371" spans="1:23" ht="15.6" x14ac:dyDescent="0.3">
      <c r="A371" s="67" t="s">
        <v>1194</v>
      </c>
      <c r="B371" s="69">
        <v>21264648</v>
      </c>
      <c r="C371" s="69" t="s">
        <v>1195</v>
      </c>
      <c r="D371" s="69">
        <v>0</v>
      </c>
      <c r="E371" s="70" t="s">
        <v>19</v>
      </c>
      <c r="F371" s="67" t="s">
        <v>1643</v>
      </c>
      <c r="G371" s="71">
        <v>30864</v>
      </c>
      <c r="H371" s="119">
        <v>44561</v>
      </c>
      <c r="I371" s="133">
        <v>18267210.260000002</v>
      </c>
      <c r="J371" s="134">
        <v>2750380.47</v>
      </c>
      <c r="K371" s="125"/>
      <c r="L371" s="74">
        <v>0.26540000000000002</v>
      </c>
      <c r="M371" s="75">
        <v>12513</v>
      </c>
      <c r="N371" s="76">
        <v>14</v>
      </c>
      <c r="O371" s="76">
        <v>0</v>
      </c>
      <c r="P371" s="83">
        <v>27640</v>
      </c>
      <c r="Q371" s="83">
        <v>19505</v>
      </c>
      <c r="R371" s="67" t="s">
        <v>1626</v>
      </c>
      <c r="S371" s="68">
        <v>899999072</v>
      </c>
      <c r="T371" s="77">
        <v>3335726</v>
      </c>
      <c r="U371" s="78" t="s">
        <v>1792</v>
      </c>
      <c r="V371" s="81"/>
      <c r="W371" s="80">
        <v>1665123</v>
      </c>
    </row>
    <row r="372" spans="1:23" ht="15.6" x14ac:dyDescent="0.3">
      <c r="A372" s="67" t="s">
        <v>1389</v>
      </c>
      <c r="B372" s="69">
        <v>20333921</v>
      </c>
      <c r="C372" s="69" t="s">
        <v>1390</v>
      </c>
      <c r="D372" s="69">
        <v>0</v>
      </c>
      <c r="E372" s="70" t="s">
        <v>21</v>
      </c>
      <c r="F372" s="67" t="s">
        <v>1643</v>
      </c>
      <c r="G372" s="71">
        <v>34335</v>
      </c>
      <c r="H372" s="119">
        <v>44561</v>
      </c>
      <c r="I372" s="135">
        <v>2407954.4500000002</v>
      </c>
      <c r="J372" s="134">
        <v>362550.76</v>
      </c>
      <c r="K372" s="125"/>
      <c r="L372" s="74">
        <v>5.4600000000000003E-2</v>
      </c>
      <c r="M372" s="75">
        <v>30201</v>
      </c>
      <c r="N372" s="76">
        <v>14</v>
      </c>
      <c r="O372" s="76">
        <v>0</v>
      </c>
      <c r="P372" s="83">
        <v>160582</v>
      </c>
      <c r="Q372" s="83">
        <v>819529</v>
      </c>
      <c r="R372" s="67" t="s">
        <v>1626</v>
      </c>
      <c r="S372" s="68">
        <v>899999072</v>
      </c>
      <c r="T372" s="77"/>
      <c r="U372" s="78"/>
      <c r="V372" s="81"/>
      <c r="W372" s="80">
        <v>1066917</v>
      </c>
    </row>
    <row r="373" spans="1:23" ht="15.6" x14ac:dyDescent="0.3">
      <c r="A373" s="67" t="s">
        <v>1391</v>
      </c>
      <c r="B373" s="69">
        <v>41400678</v>
      </c>
      <c r="C373" s="69" t="s">
        <v>1392</v>
      </c>
      <c r="D373" s="69">
        <v>0</v>
      </c>
      <c r="E373" s="70" t="s">
        <v>21</v>
      </c>
      <c r="F373" s="67" t="s">
        <v>1643</v>
      </c>
      <c r="G373" s="71">
        <v>34700</v>
      </c>
      <c r="H373" s="119">
        <v>44561</v>
      </c>
      <c r="I373" s="133">
        <v>1203322.56</v>
      </c>
      <c r="J373" s="134">
        <v>181176.81</v>
      </c>
      <c r="K373" s="125"/>
      <c r="L373" s="74">
        <v>7.7899999999999997E-2</v>
      </c>
      <c r="M373" s="75">
        <v>31981</v>
      </c>
      <c r="N373" s="76">
        <v>14</v>
      </c>
      <c r="O373" s="76">
        <v>0</v>
      </c>
      <c r="P373" s="83">
        <v>93950</v>
      </c>
      <c r="Q373" s="83">
        <v>910768</v>
      </c>
      <c r="R373" s="67" t="s">
        <v>1626</v>
      </c>
      <c r="S373" s="68">
        <v>899999072</v>
      </c>
      <c r="T373" s="77"/>
      <c r="U373" s="78"/>
      <c r="V373" s="81"/>
      <c r="W373" s="80">
        <v>373697</v>
      </c>
    </row>
    <row r="374" spans="1:23" ht="15.6" x14ac:dyDescent="0.3">
      <c r="A374" s="67" t="s">
        <v>1393</v>
      </c>
      <c r="B374" s="69">
        <v>98344</v>
      </c>
      <c r="C374" s="69" t="s">
        <v>1394</v>
      </c>
      <c r="D374" s="69">
        <v>0</v>
      </c>
      <c r="E374" s="70" t="s">
        <v>472</v>
      </c>
      <c r="F374" s="67" t="s">
        <v>1643</v>
      </c>
      <c r="G374" s="71">
        <v>29626</v>
      </c>
      <c r="H374" s="119"/>
      <c r="I374" s="133">
        <v>1782288.35</v>
      </c>
      <c r="J374" s="134">
        <v>268348.09000000003</v>
      </c>
      <c r="K374" s="125"/>
      <c r="L374" s="74">
        <v>0.23469999999999999</v>
      </c>
      <c r="M374" s="75">
        <v>1703</v>
      </c>
      <c r="N374" s="76">
        <v>14</v>
      </c>
      <c r="O374" s="76"/>
      <c r="P374" s="76"/>
      <c r="Q374" s="76"/>
      <c r="R374" s="67" t="s">
        <v>1627</v>
      </c>
      <c r="S374" s="68">
        <v>899999082</v>
      </c>
      <c r="T374" s="77"/>
      <c r="U374" s="78"/>
      <c r="V374" s="81"/>
      <c r="W374" s="80">
        <v>183713</v>
      </c>
    </row>
    <row r="375" spans="1:23" ht="15.6" x14ac:dyDescent="0.3">
      <c r="A375" s="67" t="s">
        <v>1397</v>
      </c>
      <c r="B375" s="69">
        <v>467493</v>
      </c>
      <c r="C375" s="69" t="s">
        <v>1398</v>
      </c>
      <c r="D375" s="69">
        <v>0</v>
      </c>
      <c r="E375" s="70" t="s">
        <v>21</v>
      </c>
      <c r="F375" s="67" t="s">
        <v>1643</v>
      </c>
      <c r="G375" s="71">
        <v>27883</v>
      </c>
      <c r="H375" s="119">
        <v>44196</v>
      </c>
      <c r="I375" s="133">
        <v>126522467.75</v>
      </c>
      <c r="J375" s="134">
        <v>19049702.710000001</v>
      </c>
      <c r="K375" s="125"/>
      <c r="L375" s="74">
        <v>0.53349999999999997</v>
      </c>
      <c r="M375" s="75">
        <v>12544</v>
      </c>
      <c r="N375" s="76">
        <v>14</v>
      </c>
      <c r="O375" s="76">
        <v>0</v>
      </c>
      <c r="P375" s="83">
        <v>48698</v>
      </c>
      <c r="Q375" s="83">
        <v>37653</v>
      </c>
      <c r="R375" s="67" t="s">
        <v>1628</v>
      </c>
      <c r="S375" s="68">
        <v>899999114</v>
      </c>
      <c r="T375" s="77">
        <v>20150950</v>
      </c>
      <c r="U375" s="78" t="s">
        <v>1768</v>
      </c>
      <c r="V375" s="81"/>
      <c r="W375" s="80">
        <v>5737309</v>
      </c>
    </row>
    <row r="376" spans="1:23" ht="15.6" x14ac:dyDescent="0.3">
      <c r="A376" s="67" t="s">
        <v>674</v>
      </c>
      <c r="B376" s="69">
        <v>48463</v>
      </c>
      <c r="C376" s="69" t="s">
        <v>675</v>
      </c>
      <c r="D376" s="69">
        <v>0</v>
      </c>
      <c r="E376" s="70" t="s">
        <v>21</v>
      </c>
      <c r="F376" s="67" t="s">
        <v>1643</v>
      </c>
      <c r="G376" s="71">
        <v>28682</v>
      </c>
      <c r="H376" s="119">
        <v>44196</v>
      </c>
      <c r="I376" s="135">
        <v>6522030.5300000003</v>
      </c>
      <c r="J376" s="134">
        <v>981981.66</v>
      </c>
      <c r="K376" s="125"/>
      <c r="L376" s="74">
        <v>0.1135</v>
      </c>
      <c r="M376" s="75">
        <v>1153</v>
      </c>
      <c r="N376" s="76">
        <v>14</v>
      </c>
      <c r="O376" s="76">
        <v>0</v>
      </c>
      <c r="P376" s="83">
        <v>50047</v>
      </c>
      <c r="Q376" s="83">
        <v>51720</v>
      </c>
      <c r="R376" s="67" t="s">
        <v>1628</v>
      </c>
      <c r="S376" s="68">
        <v>899999114</v>
      </c>
      <c r="T376" s="77">
        <v>41353549</v>
      </c>
      <c r="U376" s="78" t="s">
        <v>1676</v>
      </c>
      <c r="V376" s="81"/>
      <c r="W376" s="80">
        <v>1390151</v>
      </c>
    </row>
    <row r="377" spans="1:23" ht="15.6" x14ac:dyDescent="0.3">
      <c r="A377" s="93" t="s">
        <v>613</v>
      </c>
      <c r="B377" s="148">
        <v>28505549</v>
      </c>
      <c r="C377" s="69" t="s">
        <v>614</v>
      </c>
      <c r="D377" s="69">
        <v>0</v>
      </c>
      <c r="E377" s="95" t="s">
        <v>21</v>
      </c>
      <c r="F377" s="67" t="s">
        <v>1643</v>
      </c>
      <c r="G377" s="71">
        <v>28897</v>
      </c>
      <c r="H377" s="119">
        <v>41274</v>
      </c>
      <c r="I377" s="133">
        <v>34911051.200000003</v>
      </c>
      <c r="J377" s="134">
        <v>5256340.3</v>
      </c>
      <c r="K377" s="125"/>
      <c r="L377" s="74">
        <v>0.35099999999999998</v>
      </c>
      <c r="M377" s="96">
        <v>6692</v>
      </c>
      <c r="N377" s="76">
        <v>14</v>
      </c>
      <c r="O377" s="76">
        <v>0</v>
      </c>
      <c r="P377" s="83">
        <v>30507</v>
      </c>
      <c r="Q377" s="83">
        <v>11298</v>
      </c>
      <c r="R377" s="67" t="s">
        <v>1628</v>
      </c>
      <c r="S377" s="68">
        <v>899999114</v>
      </c>
      <c r="T377" s="77">
        <v>1796134</v>
      </c>
      <c r="U377" s="78" t="s">
        <v>1671</v>
      </c>
      <c r="V377" s="81"/>
      <c r="W377" s="80">
        <v>2406195</v>
      </c>
    </row>
    <row r="378" spans="1:23" ht="15.6" x14ac:dyDescent="0.3">
      <c r="A378" s="67" t="s">
        <v>1403</v>
      </c>
      <c r="B378" s="69">
        <v>48483</v>
      </c>
      <c r="C378" s="69" t="s">
        <v>1404</v>
      </c>
      <c r="D378" s="69">
        <v>0</v>
      </c>
      <c r="E378" s="70" t="s">
        <v>472</v>
      </c>
      <c r="F378" s="67" t="s">
        <v>1643</v>
      </c>
      <c r="G378" s="71">
        <v>30317</v>
      </c>
      <c r="H378" s="119">
        <v>44196</v>
      </c>
      <c r="I378" s="135">
        <v>6635838.1399999997</v>
      </c>
      <c r="J378" s="134">
        <v>999116.96</v>
      </c>
      <c r="K378" s="125"/>
      <c r="L378" s="74">
        <v>0.1479</v>
      </c>
      <c r="M378" s="75">
        <v>3497</v>
      </c>
      <c r="N378" s="76">
        <v>14</v>
      </c>
      <c r="O378" s="76">
        <v>0</v>
      </c>
      <c r="P378" s="83">
        <v>82637</v>
      </c>
      <c r="Q378" s="83">
        <v>81510</v>
      </c>
      <c r="R378" s="67" t="s">
        <v>1628</v>
      </c>
      <c r="S378" s="68">
        <v>899999114</v>
      </c>
      <c r="T378" s="77">
        <v>20119888</v>
      </c>
      <c r="U378" s="78" t="s">
        <v>1771</v>
      </c>
      <c r="V378" s="81"/>
      <c r="W378" s="80">
        <v>1085432</v>
      </c>
    </row>
    <row r="379" spans="1:23" ht="15.6" x14ac:dyDescent="0.3">
      <c r="A379" s="67" t="s">
        <v>1411</v>
      </c>
      <c r="B379" s="69">
        <v>29022287</v>
      </c>
      <c r="C379" s="69" t="s">
        <v>1412</v>
      </c>
      <c r="D379" s="69">
        <v>0</v>
      </c>
      <c r="E379" s="70" t="s">
        <v>21</v>
      </c>
      <c r="F379" s="67" t="s">
        <v>1643</v>
      </c>
      <c r="G379" s="71">
        <v>32143</v>
      </c>
      <c r="H379" s="119">
        <v>44196</v>
      </c>
      <c r="I379" s="135">
        <v>34741409.469999999</v>
      </c>
      <c r="J379" s="134">
        <v>5230798.4000000004</v>
      </c>
      <c r="K379" s="125"/>
      <c r="L379" s="74">
        <v>0.2606</v>
      </c>
      <c r="M379" s="75">
        <v>26065</v>
      </c>
      <c r="N379" s="76">
        <v>14</v>
      </c>
      <c r="O379" s="76">
        <v>0</v>
      </c>
      <c r="P379" s="83">
        <v>331467</v>
      </c>
      <c r="Q379" s="83">
        <v>98700</v>
      </c>
      <c r="R379" s="67" t="s">
        <v>1628</v>
      </c>
      <c r="S379" s="68">
        <v>899999114</v>
      </c>
      <c r="T379" s="77"/>
      <c r="U379" s="78"/>
      <c r="V379" s="81"/>
      <c r="W379" s="80">
        <v>3225136</v>
      </c>
    </row>
    <row r="380" spans="1:23" ht="15.6" x14ac:dyDescent="0.3">
      <c r="A380" s="67" t="s">
        <v>1413</v>
      </c>
      <c r="B380" s="69">
        <v>23251569</v>
      </c>
      <c r="C380" s="69" t="s">
        <v>1414</v>
      </c>
      <c r="D380" s="69">
        <v>0</v>
      </c>
      <c r="E380" s="70" t="s">
        <v>21</v>
      </c>
      <c r="F380" s="67" t="s">
        <v>1643</v>
      </c>
      <c r="G380" s="71">
        <v>32509</v>
      </c>
      <c r="H380" s="119">
        <v>44196</v>
      </c>
      <c r="I380" s="133">
        <v>2991435.11</v>
      </c>
      <c r="J380" s="134">
        <v>450401.82</v>
      </c>
      <c r="K380" s="125"/>
      <c r="L380" s="74">
        <v>3.7499999999999999E-2</v>
      </c>
      <c r="M380" s="75">
        <v>3526</v>
      </c>
      <c r="N380" s="76">
        <v>14</v>
      </c>
      <c r="O380" s="76">
        <v>0</v>
      </c>
      <c r="P380" s="83">
        <v>51528</v>
      </c>
      <c r="Q380" s="83">
        <v>59179</v>
      </c>
      <c r="R380" s="67" t="s">
        <v>1628</v>
      </c>
      <c r="S380" s="68">
        <v>899999114</v>
      </c>
      <c r="T380" s="77"/>
      <c r="U380" s="78"/>
      <c r="V380" s="81"/>
      <c r="W380" s="80">
        <v>1929849</v>
      </c>
    </row>
    <row r="381" spans="1:23" ht="15.6" x14ac:dyDescent="0.3">
      <c r="A381" s="67" t="s">
        <v>1415</v>
      </c>
      <c r="B381" s="69">
        <v>20288423</v>
      </c>
      <c r="C381" s="69" t="s">
        <v>1416</v>
      </c>
      <c r="D381" s="69">
        <v>0</v>
      </c>
      <c r="E381" s="70" t="s">
        <v>818</v>
      </c>
      <c r="F381" s="67" t="s">
        <v>1643</v>
      </c>
      <c r="G381" s="71">
        <v>33207</v>
      </c>
      <c r="H381" s="119"/>
      <c r="I381" s="133">
        <v>12979475.029999999</v>
      </c>
      <c r="J381" s="134">
        <v>1954239</v>
      </c>
      <c r="K381" s="125"/>
      <c r="L381" s="74">
        <v>0.12529999999999999</v>
      </c>
      <c r="M381" s="75">
        <v>19600</v>
      </c>
      <c r="N381" s="76">
        <v>14</v>
      </c>
      <c r="O381" s="76"/>
      <c r="P381" s="76"/>
      <c r="Q381" s="76"/>
      <c r="R381" s="67" t="s">
        <v>1628</v>
      </c>
      <c r="S381" s="68">
        <v>899999114</v>
      </c>
      <c r="T381" s="77"/>
      <c r="U381" s="78"/>
      <c r="V381" s="81"/>
      <c r="W381" s="80">
        <v>2506000</v>
      </c>
    </row>
    <row r="382" spans="1:23" ht="15.6" x14ac:dyDescent="0.3">
      <c r="A382" s="67" t="s">
        <v>1417</v>
      </c>
      <c r="B382" s="69">
        <v>21286792</v>
      </c>
      <c r="C382" s="69" t="s">
        <v>1418</v>
      </c>
      <c r="D382" s="69">
        <v>0</v>
      </c>
      <c r="E382" s="70" t="s">
        <v>19</v>
      </c>
      <c r="F382" s="67" t="s">
        <v>1643</v>
      </c>
      <c r="G382" s="71">
        <v>33207</v>
      </c>
      <c r="H382" s="119"/>
      <c r="I382" s="135">
        <v>4752643.0199999996</v>
      </c>
      <c r="J382" s="134">
        <v>715575.96</v>
      </c>
      <c r="K382" s="125"/>
      <c r="L382" s="74">
        <v>2.7799999999999998E-2</v>
      </c>
      <c r="M382" s="75">
        <v>50167</v>
      </c>
      <c r="N382" s="76">
        <v>14</v>
      </c>
      <c r="O382" s="76"/>
      <c r="P382" s="76"/>
      <c r="Q382" s="76"/>
      <c r="R382" s="67" t="s">
        <v>1628</v>
      </c>
      <c r="S382" s="68">
        <v>899999114</v>
      </c>
      <c r="T382" s="77"/>
      <c r="U382" s="78"/>
      <c r="V382" s="81"/>
      <c r="W382" s="80">
        <v>4135856</v>
      </c>
    </row>
    <row r="383" spans="1:23" ht="15.6" x14ac:dyDescent="0.3">
      <c r="A383" s="67" t="s">
        <v>1419</v>
      </c>
      <c r="B383" s="69">
        <v>20334626</v>
      </c>
      <c r="C383" s="69" t="s">
        <v>1420</v>
      </c>
      <c r="D383" s="69">
        <v>0</v>
      </c>
      <c r="E383" s="70" t="s">
        <v>21</v>
      </c>
      <c r="F383" s="67" t="s">
        <v>1643</v>
      </c>
      <c r="G383" s="71">
        <v>76308</v>
      </c>
      <c r="H383" s="119"/>
      <c r="I383" s="135">
        <v>8105106.5800000001</v>
      </c>
      <c r="J383" s="134">
        <v>1220335.5900000001</v>
      </c>
      <c r="K383" s="125"/>
      <c r="L383" s="74">
        <v>0.1103</v>
      </c>
      <c r="M383" s="75">
        <v>35083</v>
      </c>
      <c r="N383" s="76">
        <v>14</v>
      </c>
      <c r="O383" s="76">
        <v>0</v>
      </c>
      <c r="P383" s="76">
        <v>0</v>
      </c>
      <c r="Q383" s="76">
        <v>0</v>
      </c>
      <c r="R383" s="67" t="s">
        <v>1628</v>
      </c>
      <c r="S383" s="68">
        <v>899999114</v>
      </c>
      <c r="T383" s="77"/>
      <c r="U383" s="78"/>
      <c r="V383" s="81"/>
      <c r="W383" s="80">
        <v>1777699</v>
      </c>
    </row>
    <row r="384" spans="1:23" ht="15.6" x14ac:dyDescent="0.3">
      <c r="A384" s="67" t="s">
        <v>1421</v>
      </c>
      <c r="B384" s="69">
        <v>13213283</v>
      </c>
      <c r="C384" s="69" t="s">
        <v>1422</v>
      </c>
      <c r="D384" s="69">
        <v>0</v>
      </c>
      <c r="E384" s="70" t="s">
        <v>472</v>
      </c>
      <c r="F384" s="67" t="s">
        <v>1643</v>
      </c>
      <c r="G384" s="71">
        <v>34700</v>
      </c>
      <c r="H384" s="119">
        <v>44196</v>
      </c>
      <c r="I384" s="133">
        <v>6865156.7300000004</v>
      </c>
      <c r="J384" s="134">
        <v>1033644.04</v>
      </c>
      <c r="K384" s="125"/>
      <c r="L384" s="74">
        <v>0.2273</v>
      </c>
      <c r="M384" s="75">
        <v>66436</v>
      </c>
      <c r="N384" s="76">
        <v>14</v>
      </c>
      <c r="O384" s="76">
        <v>0</v>
      </c>
      <c r="P384" s="83">
        <v>218212</v>
      </c>
      <c r="Q384" s="83">
        <v>744283</v>
      </c>
      <c r="R384" s="67" t="s">
        <v>1628</v>
      </c>
      <c r="S384" s="68">
        <v>899999114</v>
      </c>
      <c r="T384" s="77"/>
      <c r="U384" s="78"/>
      <c r="V384" s="81"/>
      <c r="W384" s="80">
        <v>730678</v>
      </c>
    </row>
    <row r="385" spans="1:23" ht="15.6" x14ac:dyDescent="0.3">
      <c r="A385" s="67" t="s">
        <v>1423</v>
      </c>
      <c r="B385" s="69">
        <v>3011821</v>
      </c>
      <c r="C385" s="69" t="s">
        <v>1424</v>
      </c>
      <c r="D385" s="69">
        <v>0</v>
      </c>
      <c r="E385" s="70" t="s">
        <v>472</v>
      </c>
      <c r="F385" s="67" t="s">
        <v>1643</v>
      </c>
      <c r="G385" s="71">
        <v>35431</v>
      </c>
      <c r="H385" s="119">
        <v>44196</v>
      </c>
      <c r="I385" s="135">
        <v>8829993.8300000001</v>
      </c>
      <c r="J385" s="134">
        <v>1329477.3700000001</v>
      </c>
      <c r="K385" s="131"/>
      <c r="L385" s="74">
        <v>0.2331</v>
      </c>
      <c r="M385" s="75">
        <v>290590</v>
      </c>
      <c r="N385" s="76">
        <v>14</v>
      </c>
      <c r="O385" s="76">
        <v>0</v>
      </c>
      <c r="P385" s="83">
        <v>294619</v>
      </c>
      <c r="Q385" s="83">
        <v>952014</v>
      </c>
      <c r="R385" s="67" t="s">
        <v>1628</v>
      </c>
      <c r="S385" s="68">
        <v>899999114</v>
      </c>
      <c r="T385" s="77"/>
      <c r="U385" s="78"/>
      <c r="V385" s="63"/>
      <c r="W385" s="80">
        <v>916417</v>
      </c>
    </row>
    <row r="386" spans="1:23" ht="15.6" x14ac:dyDescent="0.3">
      <c r="A386" s="67" t="s">
        <v>985</v>
      </c>
      <c r="B386" s="69">
        <v>20161316</v>
      </c>
      <c r="C386" s="69" t="s">
        <v>986</v>
      </c>
      <c r="D386" s="69">
        <v>0</v>
      </c>
      <c r="E386" s="70" t="s">
        <v>472</v>
      </c>
      <c r="F386" s="67" t="s">
        <v>1643</v>
      </c>
      <c r="G386" s="71">
        <v>73815</v>
      </c>
      <c r="H386" s="119">
        <v>44196</v>
      </c>
      <c r="I386" s="133">
        <v>5293244.3099999996</v>
      </c>
      <c r="J386" s="134">
        <v>796970.94</v>
      </c>
      <c r="K386" s="125"/>
      <c r="L386" s="74">
        <v>0.1244</v>
      </c>
      <c r="M386" s="75">
        <v>65140</v>
      </c>
      <c r="N386" s="76">
        <v>14</v>
      </c>
      <c r="O386" s="76">
        <v>0</v>
      </c>
      <c r="P386" s="83">
        <v>188445</v>
      </c>
      <c r="Q386" s="83">
        <v>1169054</v>
      </c>
      <c r="R386" s="67" t="s">
        <v>1628</v>
      </c>
      <c r="S386" s="68">
        <v>899999114</v>
      </c>
      <c r="T386" s="77"/>
      <c r="U386" s="78"/>
      <c r="V386" s="81"/>
      <c r="W386" s="80">
        <v>1029382</v>
      </c>
    </row>
    <row r="387" spans="1:23" ht="15.6" x14ac:dyDescent="0.3">
      <c r="A387" s="67" t="s">
        <v>1425</v>
      </c>
      <c r="B387" s="69">
        <v>17008660</v>
      </c>
      <c r="C387" s="69" t="s">
        <v>1426</v>
      </c>
      <c r="D387" s="69">
        <v>0</v>
      </c>
      <c r="E387" s="70" t="s">
        <v>21</v>
      </c>
      <c r="F387" s="67" t="s">
        <v>1643</v>
      </c>
      <c r="G387" s="71">
        <v>35796</v>
      </c>
      <c r="H387" s="119">
        <v>44196</v>
      </c>
      <c r="I387" s="133">
        <v>8196814.4699999997</v>
      </c>
      <c r="J387" s="134">
        <v>1234143.48</v>
      </c>
      <c r="K387" s="125"/>
      <c r="L387" s="74">
        <v>0.29909999999999998</v>
      </c>
      <c r="M387" s="75">
        <v>151722</v>
      </c>
      <c r="N387" s="76">
        <v>14</v>
      </c>
      <c r="O387" s="76">
        <v>0</v>
      </c>
      <c r="P387" s="83">
        <v>166682</v>
      </c>
      <c r="Q387" s="83">
        <v>862807</v>
      </c>
      <c r="R387" s="67" t="s">
        <v>1628</v>
      </c>
      <c r="S387" s="68">
        <v>899999114</v>
      </c>
      <c r="T387" s="77">
        <v>32401935</v>
      </c>
      <c r="U387" s="78" t="s">
        <v>1630</v>
      </c>
      <c r="V387" s="81"/>
      <c r="W387" s="80">
        <v>662985</v>
      </c>
    </row>
    <row r="388" spans="1:23" ht="15.6" x14ac:dyDescent="0.3">
      <c r="A388" s="67" t="s">
        <v>716</v>
      </c>
      <c r="B388" s="69">
        <v>41314945</v>
      </c>
      <c r="C388" s="69" t="s">
        <v>717</v>
      </c>
      <c r="D388" s="69">
        <v>0</v>
      </c>
      <c r="E388" s="70" t="s">
        <v>19</v>
      </c>
      <c r="F388" s="67" t="s">
        <v>1643</v>
      </c>
      <c r="G388" s="71">
        <v>36586</v>
      </c>
      <c r="H388" s="119">
        <v>44196</v>
      </c>
      <c r="I388" s="133">
        <v>9281330.4800000004</v>
      </c>
      <c r="J388" s="134">
        <v>1397432.33</v>
      </c>
      <c r="K388" s="125"/>
      <c r="L388" s="74">
        <v>6.0900000000000003E-2</v>
      </c>
      <c r="M388" s="75">
        <v>132354</v>
      </c>
      <c r="N388" s="76">
        <v>14</v>
      </c>
      <c r="O388" s="76">
        <v>0</v>
      </c>
      <c r="P388" s="83">
        <v>1012501</v>
      </c>
      <c r="Q388" s="83">
        <v>1161879</v>
      </c>
      <c r="R388" s="67" t="s">
        <v>1628</v>
      </c>
      <c r="S388" s="68">
        <v>899999114</v>
      </c>
      <c r="T388" s="77"/>
      <c r="U388" s="78"/>
      <c r="V388" s="81"/>
      <c r="W388" s="80">
        <v>3686956</v>
      </c>
    </row>
    <row r="389" spans="1:23" ht="15.6" x14ac:dyDescent="0.3">
      <c r="A389" s="67" t="s">
        <v>1429</v>
      </c>
      <c r="B389" s="69">
        <v>17135950</v>
      </c>
      <c r="C389" s="69" t="s">
        <v>1430</v>
      </c>
      <c r="D389" s="69">
        <v>0</v>
      </c>
      <c r="E389" s="70" t="s">
        <v>21</v>
      </c>
      <c r="F389" s="67" t="s">
        <v>1643</v>
      </c>
      <c r="G389" s="71">
        <v>36831</v>
      </c>
      <c r="H389" s="119">
        <v>44196</v>
      </c>
      <c r="I389" s="135">
        <v>2512168.16</v>
      </c>
      <c r="J389" s="134">
        <v>378241.57</v>
      </c>
      <c r="K389" s="125"/>
      <c r="L389" s="74">
        <v>0.23749999999999999</v>
      </c>
      <c r="M389" s="75">
        <v>176543</v>
      </c>
      <c r="N389" s="76">
        <v>14</v>
      </c>
      <c r="O389" s="76">
        <v>0</v>
      </c>
      <c r="P389" s="83">
        <v>347637</v>
      </c>
      <c r="Q389" s="83">
        <v>848299</v>
      </c>
      <c r="R389" s="67" t="s">
        <v>1628</v>
      </c>
      <c r="S389" s="68">
        <v>899999114</v>
      </c>
      <c r="T389" s="77">
        <v>41386340</v>
      </c>
      <c r="U389" s="78" t="s">
        <v>1774</v>
      </c>
      <c r="V389" s="81"/>
      <c r="W389" s="80">
        <v>255894</v>
      </c>
    </row>
    <row r="390" spans="1:23" ht="15.6" x14ac:dyDescent="0.3">
      <c r="A390" s="67" t="s">
        <v>1431</v>
      </c>
      <c r="B390" s="69">
        <v>41339522</v>
      </c>
      <c r="C390" s="69" t="s">
        <v>1432</v>
      </c>
      <c r="D390" s="69">
        <v>0</v>
      </c>
      <c r="E390" s="70" t="s">
        <v>592</v>
      </c>
      <c r="F390" s="67" t="s">
        <v>1643</v>
      </c>
      <c r="G390" s="71">
        <v>37041</v>
      </c>
      <c r="H390" s="119">
        <v>44196</v>
      </c>
      <c r="I390" s="133">
        <v>18393285.699999999</v>
      </c>
      <c r="J390" s="134">
        <v>2769362.87</v>
      </c>
      <c r="K390" s="125"/>
      <c r="L390" s="74">
        <v>0.30280000000000001</v>
      </c>
      <c r="M390" s="75">
        <v>572074</v>
      </c>
      <c r="N390" s="76">
        <v>14</v>
      </c>
      <c r="O390" s="76">
        <v>0</v>
      </c>
      <c r="P390" s="83">
        <v>1889281</v>
      </c>
      <c r="Q390" s="76">
        <v>0</v>
      </c>
      <c r="R390" s="67" t="s">
        <v>1628</v>
      </c>
      <c r="S390" s="68">
        <v>899999114</v>
      </c>
      <c r="T390" s="77"/>
      <c r="U390" s="78"/>
      <c r="V390" s="81"/>
      <c r="W390" s="80">
        <v>1469530</v>
      </c>
    </row>
    <row r="391" spans="1:23" ht="15.6" x14ac:dyDescent="0.3">
      <c r="A391" s="67" t="s">
        <v>1433</v>
      </c>
      <c r="B391" s="69">
        <v>17178348</v>
      </c>
      <c r="C391" s="69" t="s">
        <v>1434</v>
      </c>
      <c r="D391" s="69">
        <v>0</v>
      </c>
      <c r="E391" s="70" t="s">
        <v>472</v>
      </c>
      <c r="F391" s="67" t="s">
        <v>1643</v>
      </c>
      <c r="G391" s="71">
        <v>37100</v>
      </c>
      <c r="H391" s="119">
        <v>44196</v>
      </c>
      <c r="I391" s="133">
        <v>22130730.43</v>
      </c>
      <c r="J391" s="134">
        <v>3332086.73</v>
      </c>
      <c r="K391" s="125"/>
      <c r="L391" s="74">
        <v>0.31019999999999998</v>
      </c>
      <c r="M391" s="75">
        <v>613418</v>
      </c>
      <c r="N391" s="76">
        <v>14</v>
      </c>
      <c r="O391" s="76">
        <v>0</v>
      </c>
      <c r="P391" s="83">
        <v>831445</v>
      </c>
      <c r="Q391" s="83">
        <v>1955365</v>
      </c>
      <c r="R391" s="67" t="s">
        <v>1628</v>
      </c>
      <c r="S391" s="68">
        <v>899999114</v>
      </c>
      <c r="T391" s="77"/>
      <c r="U391" s="78"/>
      <c r="V391" s="81"/>
      <c r="W391" s="80">
        <v>1725953</v>
      </c>
    </row>
    <row r="392" spans="1:23" ht="15.6" x14ac:dyDescent="0.3">
      <c r="A392" s="67" t="s">
        <v>1435</v>
      </c>
      <c r="B392" s="69">
        <v>41448731</v>
      </c>
      <c r="C392" s="69" t="s">
        <v>1436</v>
      </c>
      <c r="D392" s="69">
        <v>0</v>
      </c>
      <c r="E392" s="70" t="s">
        <v>21</v>
      </c>
      <c r="F392" s="67" t="s">
        <v>1643</v>
      </c>
      <c r="G392" s="71">
        <v>38534</v>
      </c>
      <c r="H392" s="119">
        <v>44196</v>
      </c>
      <c r="I392" s="133">
        <v>2428775.9</v>
      </c>
      <c r="J392" s="134">
        <v>365685.71</v>
      </c>
      <c r="K392" s="125"/>
      <c r="L392" s="74">
        <v>0.1118</v>
      </c>
      <c r="M392" s="75">
        <v>185376</v>
      </c>
      <c r="N392" s="76">
        <v>14</v>
      </c>
      <c r="O392" s="76">
        <v>0</v>
      </c>
      <c r="P392" s="83">
        <v>194367</v>
      </c>
      <c r="Q392" s="83">
        <v>1562706</v>
      </c>
      <c r="R392" s="67" t="s">
        <v>1628</v>
      </c>
      <c r="S392" s="68">
        <v>899999114</v>
      </c>
      <c r="T392" s="77"/>
      <c r="U392" s="78"/>
      <c r="V392" s="81"/>
      <c r="W392" s="80">
        <v>525558</v>
      </c>
    </row>
    <row r="393" spans="1:23" ht="15.6" x14ac:dyDescent="0.3">
      <c r="A393" s="67" t="s">
        <v>1437</v>
      </c>
      <c r="B393" s="69">
        <v>41491714</v>
      </c>
      <c r="C393" s="69" t="s">
        <v>1438</v>
      </c>
      <c r="D393" s="69">
        <v>0</v>
      </c>
      <c r="E393" s="70" t="s">
        <v>722</v>
      </c>
      <c r="F393" s="67" t="s">
        <v>1643</v>
      </c>
      <c r="G393" s="71">
        <v>38749</v>
      </c>
      <c r="H393" s="119">
        <v>44196</v>
      </c>
      <c r="I393" s="133">
        <v>3366107.9</v>
      </c>
      <c r="J393" s="134">
        <v>506813.97</v>
      </c>
      <c r="K393" s="125"/>
      <c r="L393" s="74">
        <v>0.14419999999999999</v>
      </c>
      <c r="M393" s="75">
        <v>245759</v>
      </c>
      <c r="N393" s="76">
        <v>14</v>
      </c>
      <c r="O393" s="76">
        <v>0</v>
      </c>
      <c r="P393" s="83">
        <v>318092</v>
      </c>
      <c r="Q393" s="83">
        <v>1923171</v>
      </c>
      <c r="R393" s="67" t="s">
        <v>1628</v>
      </c>
      <c r="S393" s="68">
        <v>899999114</v>
      </c>
      <c r="T393" s="77"/>
      <c r="U393" s="78"/>
      <c r="V393" s="81"/>
      <c r="W393" s="80">
        <v>564726</v>
      </c>
    </row>
    <row r="394" spans="1:23" ht="15.6" x14ac:dyDescent="0.3">
      <c r="A394" s="67" t="s">
        <v>1439</v>
      </c>
      <c r="B394" s="69">
        <v>17182518</v>
      </c>
      <c r="C394" s="69" t="s">
        <v>1440</v>
      </c>
      <c r="D394" s="69">
        <v>0</v>
      </c>
      <c r="E394" s="70" t="s">
        <v>21</v>
      </c>
      <c r="F394" s="67" t="s">
        <v>1643</v>
      </c>
      <c r="G394" s="71">
        <v>38800</v>
      </c>
      <c r="H394" s="119">
        <v>44196</v>
      </c>
      <c r="I394" s="133">
        <v>15502932.58</v>
      </c>
      <c r="J394" s="134">
        <v>2334180.34</v>
      </c>
      <c r="K394" s="125"/>
      <c r="L394" s="74">
        <v>9.5000000000000001E-2</v>
      </c>
      <c r="M394" s="75">
        <v>359298</v>
      </c>
      <c r="N394" s="76">
        <v>14</v>
      </c>
      <c r="O394" s="76">
        <v>0</v>
      </c>
      <c r="P394" s="83">
        <v>1671254</v>
      </c>
      <c r="Q394" s="83">
        <v>2110827</v>
      </c>
      <c r="R394" s="67" t="s">
        <v>1628</v>
      </c>
      <c r="S394" s="68">
        <v>899999114</v>
      </c>
      <c r="T394" s="77"/>
      <c r="U394" s="78"/>
      <c r="V394" s="81"/>
      <c r="W394" s="80">
        <v>3947892</v>
      </c>
    </row>
    <row r="395" spans="1:23" ht="15.6" x14ac:dyDescent="0.3">
      <c r="A395" s="67" t="s">
        <v>1441</v>
      </c>
      <c r="B395" s="69">
        <v>11292350</v>
      </c>
      <c r="C395" s="69" t="s">
        <v>1442</v>
      </c>
      <c r="D395" s="69">
        <v>0</v>
      </c>
      <c r="E395" s="70" t="s">
        <v>472</v>
      </c>
      <c r="F395" s="67" t="s">
        <v>1643</v>
      </c>
      <c r="G395" s="71">
        <v>38838</v>
      </c>
      <c r="H395" s="119">
        <v>44196</v>
      </c>
      <c r="I395" s="133">
        <v>4783525.43</v>
      </c>
      <c r="J395" s="134">
        <v>720225.74</v>
      </c>
      <c r="K395" s="125"/>
      <c r="L395" s="74">
        <v>7.6600000000000001E-2</v>
      </c>
      <c r="M395" s="75">
        <v>201121</v>
      </c>
      <c r="N395" s="76">
        <v>14</v>
      </c>
      <c r="O395" s="76">
        <v>0</v>
      </c>
      <c r="P395" s="83">
        <v>727776</v>
      </c>
      <c r="Q395" s="83">
        <v>2445962</v>
      </c>
      <c r="R395" s="67" t="s">
        <v>1628</v>
      </c>
      <c r="S395" s="68">
        <v>899999114</v>
      </c>
      <c r="T395" s="77"/>
      <c r="U395" s="78"/>
      <c r="V395" s="81"/>
      <c r="W395" s="80">
        <v>1510756</v>
      </c>
    </row>
    <row r="396" spans="1:23" ht="15.6" x14ac:dyDescent="0.3">
      <c r="A396" s="67" t="s">
        <v>1443</v>
      </c>
      <c r="B396" s="69">
        <v>41443975</v>
      </c>
      <c r="C396" s="69" t="s">
        <v>1444</v>
      </c>
      <c r="D396" s="69">
        <v>0</v>
      </c>
      <c r="E396" s="70" t="s">
        <v>21</v>
      </c>
      <c r="F396" s="67" t="s">
        <v>1643</v>
      </c>
      <c r="G396" s="71">
        <v>38867</v>
      </c>
      <c r="H396" s="119">
        <v>44196</v>
      </c>
      <c r="I396" s="133">
        <v>7577300.3200000003</v>
      </c>
      <c r="J396" s="134">
        <v>1140867.08</v>
      </c>
      <c r="K396" s="125"/>
      <c r="L396" s="74">
        <v>0.2364</v>
      </c>
      <c r="M396" s="75">
        <v>417407</v>
      </c>
      <c r="N396" s="76">
        <v>14</v>
      </c>
      <c r="O396" s="76">
        <v>0</v>
      </c>
      <c r="P396" s="83">
        <v>417707</v>
      </c>
      <c r="Q396" s="83">
        <v>2000638</v>
      </c>
      <c r="R396" s="67" t="s">
        <v>1628</v>
      </c>
      <c r="S396" s="68">
        <v>899999114</v>
      </c>
      <c r="T396" s="77"/>
      <c r="U396" s="78"/>
      <c r="V396" s="81"/>
      <c r="W396" s="80">
        <v>775429</v>
      </c>
    </row>
    <row r="397" spans="1:23" ht="15.6" x14ac:dyDescent="0.3">
      <c r="A397" s="67" t="s">
        <v>1445</v>
      </c>
      <c r="B397" s="69">
        <v>41485099</v>
      </c>
      <c r="C397" s="69" t="s">
        <v>1446</v>
      </c>
      <c r="D397" s="69">
        <v>0</v>
      </c>
      <c r="E397" s="70" t="s">
        <v>19</v>
      </c>
      <c r="F397" s="67" t="s">
        <v>1643</v>
      </c>
      <c r="G397" s="71">
        <v>39037</v>
      </c>
      <c r="H397" s="119"/>
      <c r="I397" s="133">
        <v>13214649.029999999</v>
      </c>
      <c r="J397" s="134">
        <v>1989647.69</v>
      </c>
      <c r="K397" s="125"/>
      <c r="L397" s="74">
        <v>0.25059999999999999</v>
      </c>
      <c r="M397" s="75">
        <v>523218</v>
      </c>
      <c r="N397" s="76">
        <v>13</v>
      </c>
      <c r="O397" s="76"/>
      <c r="P397" s="76"/>
      <c r="Q397" s="76"/>
      <c r="R397" s="67" t="s">
        <v>1628</v>
      </c>
      <c r="S397" s="68">
        <v>899999114</v>
      </c>
      <c r="T397" s="77"/>
      <c r="U397" s="78"/>
      <c r="V397" s="81"/>
      <c r="W397" s="80">
        <v>1275703</v>
      </c>
    </row>
    <row r="398" spans="1:23" ht="15.6" x14ac:dyDescent="0.3">
      <c r="A398" s="67" t="s">
        <v>745</v>
      </c>
      <c r="B398" s="69">
        <v>17174648</v>
      </c>
      <c r="C398" s="69" t="s">
        <v>746</v>
      </c>
      <c r="D398" s="69">
        <v>0</v>
      </c>
      <c r="E398" s="70" t="s">
        <v>21</v>
      </c>
      <c r="F398" s="67" t="s">
        <v>1643</v>
      </c>
      <c r="G398" s="71">
        <v>39052</v>
      </c>
      <c r="H398" s="119">
        <v>44196</v>
      </c>
      <c r="I398" s="133">
        <v>1089219.06</v>
      </c>
      <c r="J398" s="134">
        <v>163996.95000000001</v>
      </c>
      <c r="K398" s="125"/>
      <c r="L398" s="74">
        <v>2.4E-2</v>
      </c>
      <c r="M398" s="75">
        <v>50624</v>
      </c>
      <c r="N398" s="76">
        <v>14</v>
      </c>
      <c r="O398" s="76">
        <v>0</v>
      </c>
      <c r="P398" s="83">
        <v>464786</v>
      </c>
      <c r="Q398" s="83">
        <v>4178696</v>
      </c>
      <c r="R398" s="67" t="s">
        <v>1628</v>
      </c>
      <c r="S398" s="68">
        <v>899999114</v>
      </c>
      <c r="T398" s="77"/>
      <c r="U398" s="78"/>
      <c r="V398" s="81"/>
      <c r="W398" s="80">
        <v>1097941</v>
      </c>
    </row>
    <row r="399" spans="1:23" ht="15.6" x14ac:dyDescent="0.3">
      <c r="A399" s="67" t="s">
        <v>1449</v>
      </c>
      <c r="B399" s="69">
        <v>3013490</v>
      </c>
      <c r="C399" s="69" t="s">
        <v>1450</v>
      </c>
      <c r="D399" s="69">
        <v>0</v>
      </c>
      <c r="E399" s="70" t="s">
        <v>19</v>
      </c>
      <c r="F399" s="67" t="s">
        <v>1643</v>
      </c>
      <c r="G399" s="71">
        <v>39059</v>
      </c>
      <c r="H399" s="119">
        <v>44196</v>
      </c>
      <c r="I399" s="133">
        <v>13941917.49</v>
      </c>
      <c r="J399" s="134">
        <v>2099147.9900000002</v>
      </c>
      <c r="K399" s="125"/>
      <c r="L399" s="74">
        <v>0.17979999999999999</v>
      </c>
      <c r="M399" s="75">
        <v>387336</v>
      </c>
      <c r="N399" s="76">
        <v>14</v>
      </c>
      <c r="O399" s="76">
        <v>0</v>
      </c>
      <c r="P399" s="83">
        <v>903674</v>
      </c>
      <c r="Q399" s="83">
        <v>1657623</v>
      </c>
      <c r="R399" s="67" t="s">
        <v>1628</v>
      </c>
      <c r="S399" s="68">
        <v>899999114</v>
      </c>
      <c r="T399" s="77"/>
      <c r="U399" s="78"/>
      <c r="V399" s="81"/>
      <c r="W399" s="80">
        <v>1875892</v>
      </c>
    </row>
    <row r="400" spans="1:23" ht="15.6" x14ac:dyDescent="0.3">
      <c r="A400" s="67" t="s">
        <v>1451</v>
      </c>
      <c r="B400" s="69">
        <v>41549095</v>
      </c>
      <c r="C400" s="69" t="s">
        <v>1452</v>
      </c>
      <c r="D400" s="69">
        <v>0</v>
      </c>
      <c r="E400" s="70" t="s">
        <v>472</v>
      </c>
      <c r="F400" s="67" t="s">
        <v>1643</v>
      </c>
      <c r="G400" s="71">
        <v>39173</v>
      </c>
      <c r="H400" s="119">
        <v>44196</v>
      </c>
      <c r="I400" s="133">
        <v>1679805.77</v>
      </c>
      <c r="J400" s="134">
        <v>252917.93</v>
      </c>
      <c r="K400" s="125"/>
      <c r="L400" s="74">
        <v>5.8000000000000003E-2</v>
      </c>
      <c r="M400" s="75">
        <v>92331</v>
      </c>
      <c r="N400" s="76">
        <v>13</v>
      </c>
      <c r="O400" s="76">
        <v>0</v>
      </c>
      <c r="P400" s="83">
        <v>162943</v>
      </c>
      <c r="Q400" s="83">
        <v>1699821</v>
      </c>
      <c r="R400" s="67" t="s">
        <v>1628</v>
      </c>
      <c r="S400" s="68">
        <v>899999114</v>
      </c>
      <c r="T400" s="77"/>
      <c r="U400" s="78"/>
      <c r="V400" s="81"/>
      <c r="W400" s="80">
        <v>700658</v>
      </c>
    </row>
    <row r="401" spans="1:23" ht="15.6" x14ac:dyDescent="0.3">
      <c r="A401" s="67" t="s">
        <v>771</v>
      </c>
      <c r="B401" s="69">
        <v>17196930</v>
      </c>
      <c r="C401" s="69" t="s">
        <v>772</v>
      </c>
      <c r="D401" s="69">
        <v>0</v>
      </c>
      <c r="E401" s="70" t="s">
        <v>472</v>
      </c>
      <c r="F401" s="67" t="s">
        <v>1643</v>
      </c>
      <c r="G401" s="71">
        <v>39753</v>
      </c>
      <c r="H401" s="119"/>
      <c r="I401" s="133">
        <v>6036247.0999999996</v>
      </c>
      <c r="J401" s="134">
        <v>908840.26</v>
      </c>
      <c r="K401" s="125"/>
      <c r="L401" s="74">
        <v>0.1381</v>
      </c>
      <c r="M401" s="75">
        <v>248632</v>
      </c>
      <c r="N401" s="76">
        <v>14</v>
      </c>
      <c r="O401" s="76">
        <v>0</v>
      </c>
      <c r="P401" s="83">
        <v>473106</v>
      </c>
      <c r="Q401" s="83">
        <v>1570233</v>
      </c>
      <c r="R401" s="67" t="s">
        <v>1628</v>
      </c>
      <c r="S401" s="68">
        <v>899999114</v>
      </c>
      <c r="T401" s="77">
        <v>41500005</v>
      </c>
      <c r="U401" s="78" t="s">
        <v>1788</v>
      </c>
      <c r="V401" s="81"/>
      <c r="W401" s="80">
        <v>1057422</v>
      </c>
    </row>
    <row r="402" spans="1:23" ht="15.6" x14ac:dyDescent="0.3">
      <c r="A402" s="67" t="s">
        <v>1455</v>
      </c>
      <c r="B402" s="69">
        <v>41621038</v>
      </c>
      <c r="C402" s="69" t="s">
        <v>1456</v>
      </c>
      <c r="D402" s="69">
        <v>0</v>
      </c>
      <c r="E402" s="70" t="s">
        <v>472</v>
      </c>
      <c r="F402" s="67" t="s">
        <v>1643</v>
      </c>
      <c r="G402" s="71">
        <v>40120</v>
      </c>
      <c r="H402" s="119"/>
      <c r="I402" s="133">
        <v>3729385.78</v>
      </c>
      <c r="J402" s="134">
        <v>561510.47</v>
      </c>
      <c r="K402" s="125"/>
      <c r="L402" s="74">
        <v>0.1137</v>
      </c>
      <c r="M402" s="75">
        <v>225638</v>
      </c>
      <c r="N402" s="76">
        <v>13</v>
      </c>
      <c r="O402" s="76">
        <v>0</v>
      </c>
      <c r="P402" s="83">
        <v>399663</v>
      </c>
      <c r="Q402" s="83">
        <v>2139229</v>
      </c>
      <c r="R402" s="67" t="s">
        <v>1628</v>
      </c>
      <c r="S402" s="68">
        <v>899999114</v>
      </c>
      <c r="T402" s="77"/>
      <c r="U402" s="78"/>
      <c r="V402" s="81"/>
      <c r="W402" s="80">
        <v>793509</v>
      </c>
    </row>
    <row r="403" spans="1:23" ht="15.6" x14ac:dyDescent="0.3">
      <c r="A403" s="67" t="s">
        <v>1457</v>
      </c>
      <c r="B403" s="69">
        <v>3226873</v>
      </c>
      <c r="C403" s="69" t="s">
        <v>1458</v>
      </c>
      <c r="D403" s="69">
        <v>0</v>
      </c>
      <c r="E403" s="70" t="s">
        <v>21</v>
      </c>
      <c r="F403" s="67" t="s">
        <v>1643</v>
      </c>
      <c r="G403" s="71">
        <v>40147</v>
      </c>
      <c r="H403" s="119"/>
      <c r="I403" s="133">
        <v>722293.52</v>
      </c>
      <c r="J403" s="134">
        <v>108751.25</v>
      </c>
      <c r="K403" s="125"/>
      <c r="L403" s="74">
        <v>1.7500000000000002E-2</v>
      </c>
      <c r="M403" s="75">
        <v>60559</v>
      </c>
      <c r="N403" s="76">
        <v>13</v>
      </c>
      <c r="O403" s="76">
        <v>0</v>
      </c>
      <c r="P403" s="83">
        <v>537877</v>
      </c>
      <c r="Q403" s="83">
        <v>3331747</v>
      </c>
      <c r="R403" s="67" t="s">
        <v>1628</v>
      </c>
      <c r="S403" s="68">
        <v>899999114</v>
      </c>
      <c r="T403" s="77"/>
      <c r="U403" s="78"/>
      <c r="V403" s="81"/>
      <c r="W403" s="80">
        <v>998506</v>
      </c>
    </row>
    <row r="404" spans="1:23" ht="15.6" x14ac:dyDescent="0.3">
      <c r="A404" s="67" t="s">
        <v>1460</v>
      </c>
      <c r="B404" s="69">
        <v>17110172</v>
      </c>
      <c r="C404" s="69" t="s">
        <v>1461</v>
      </c>
      <c r="D404" s="69">
        <v>0</v>
      </c>
      <c r="E404" s="70" t="s">
        <v>722</v>
      </c>
      <c r="F404" s="67" t="s">
        <v>1643</v>
      </c>
      <c r="G404" s="71">
        <v>40210</v>
      </c>
      <c r="H404" s="119"/>
      <c r="I404" s="133">
        <v>257690.59</v>
      </c>
      <c r="J404" s="134">
        <v>38798.870000000003</v>
      </c>
      <c r="K404" s="125"/>
      <c r="L404" s="74">
        <v>2.53E-2</v>
      </c>
      <c r="M404" s="75">
        <v>44442</v>
      </c>
      <c r="N404" s="76">
        <v>14</v>
      </c>
      <c r="O404" s="76">
        <v>0</v>
      </c>
      <c r="P404" s="83">
        <v>121072</v>
      </c>
      <c r="Q404" s="83">
        <v>1609133</v>
      </c>
      <c r="R404" s="67" t="s">
        <v>1628</v>
      </c>
      <c r="S404" s="68">
        <v>899999114</v>
      </c>
      <c r="T404" s="77"/>
      <c r="U404" s="78"/>
      <c r="V404" s="81"/>
      <c r="W404" s="80">
        <v>246407</v>
      </c>
    </row>
    <row r="405" spans="1:23" ht="15.6" x14ac:dyDescent="0.3">
      <c r="A405" s="67" t="s">
        <v>1403</v>
      </c>
      <c r="B405" s="69">
        <v>48483</v>
      </c>
      <c r="C405" s="69" t="s">
        <v>1404</v>
      </c>
      <c r="D405" s="69">
        <v>0</v>
      </c>
      <c r="E405" s="70" t="s">
        <v>472</v>
      </c>
      <c r="F405" s="67" t="s">
        <v>1643</v>
      </c>
      <c r="G405" s="71">
        <v>30317</v>
      </c>
      <c r="H405" s="119"/>
      <c r="I405" s="133">
        <v>6635838.1399999997</v>
      </c>
      <c r="J405" s="134">
        <v>999116.96</v>
      </c>
      <c r="K405" s="125"/>
      <c r="L405" s="74">
        <v>0.1479</v>
      </c>
      <c r="M405" s="85"/>
      <c r="N405" s="76">
        <v>14</v>
      </c>
      <c r="O405" s="76"/>
      <c r="P405" s="76"/>
      <c r="Q405" s="76"/>
      <c r="R405" s="67" t="s">
        <v>1631</v>
      </c>
      <c r="S405" s="68">
        <v>899999115</v>
      </c>
      <c r="T405" s="77">
        <v>20119888</v>
      </c>
      <c r="U405" s="78" t="s">
        <v>1771</v>
      </c>
      <c r="V405" s="81"/>
      <c r="W405" s="80">
        <v>1085432</v>
      </c>
    </row>
    <row r="406" spans="1:23" ht="15.6" x14ac:dyDescent="0.3">
      <c r="A406" s="67" t="s">
        <v>1462</v>
      </c>
      <c r="B406" s="69">
        <v>17161853</v>
      </c>
      <c r="C406" s="69" t="s">
        <v>1463</v>
      </c>
      <c r="D406" s="69">
        <v>0</v>
      </c>
      <c r="E406" s="70" t="s">
        <v>19</v>
      </c>
      <c r="F406" s="67" t="s">
        <v>1643</v>
      </c>
      <c r="G406" s="71">
        <v>37225</v>
      </c>
      <c r="H406" s="119"/>
      <c r="I406" s="135">
        <v>10305178.23</v>
      </c>
      <c r="J406" s="134">
        <v>1551586.73</v>
      </c>
      <c r="K406" s="125"/>
      <c r="L406" s="74">
        <v>0.24429999999999999</v>
      </c>
      <c r="M406" s="75">
        <v>309265</v>
      </c>
      <c r="N406" s="76">
        <v>14</v>
      </c>
      <c r="O406" s="76"/>
      <c r="P406" s="76"/>
      <c r="Q406" s="76"/>
      <c r="R406" s="67" t="s">
        <v>1631</v>
      </c>
      <c r="S406" s="68">
        <v>899999115</v>
      </c>
      <c r="T406" s="77"/>
      <c r="U406" s="78"/>
      <c r="V406" s="81"/>
      <c r="W406" s="80">
        <v>1020486</v>
      </c>
    </row>
    <row r="407" spans="1:23" ht="15.6" x14ac:dyDescent="0.3">
      <c r="A407" s="67" t="s">
        <v>1464</v>
      </c>
      <c r="B407" s="69">
        <v>19091072</v>
      </c>
      <c r="C407" s="69" t="s">
        <v>1465</v>
      </c>
      <c r="D407" s="69">
        <v>0</v>
      </c>
      <c r="E407" s="70" t="s">
        <v>592</v>
      </c>
      <c r="F407" s="67" t="s">
        <v>1643</v>
      </c>
      <c r="G407" s="71">
        <v>39028</v>
      </c>
      <c r="H407" s="119"/>
      <c r="I407" s="135">
        <v>6103369.4400000004</v>
      </c>
      <c r="J407" s="134">
        <v>918946.46</v>
      </c>
      <c r="K407" s="125"/>
      <c r="L407" s="74">
        <v>0.16039999999999999</v>
      </c>
      <c r="M407" s="75">
        <v>382044</v>
      </c>
      <c r="N407" s="76">
        <v>14</v>
      </c>
      <c r="O407" s="76"/>
      <c r="P407" s="76"/>
      <c r="Q407" s="76"/>
      <c r="R407" s="67" t="s">
        <v>1631</v>
      </c>
      <c r="S407" s="68">
        <v>899999115</v>
      </c>
      <c r="T407" s="77"/>
      <c r="U407" s="78"/>
      <c r="V407" s="81"/>
      <c r="W407" s="80">
        <v>920535</v>
      </c>
    </row>
    <row r="408" spans="1:23" ht="15.6" x14ac:dyDescent="0.3">
      <c r="A408" s="67" t="s">
        <v>1466</v>
      </c>
      <c r="B408" s="69">
        <v>2904614</v>
      </c>
      <c r="C408" s="69" t="s">
        <v>1467</v>
      </c>
      <c r="D408" s="69">
        <v>0</v>
      </c>
      <c r="E408" s="70" t="s">
        <v>472</v>
      </c>
      <c r="F408" s="67" t="s">
        <v>1643</v>
      </c>
      <c r="G408" s="71">
        <v>33572</v>
      </c>
      <c r="H408" s="119">
        <v>44944</v>
      </c>
      <c r="I408" s="133">
        <v>7080613.4100000001</v>
      </c>
      <c r="J408" s="133">
        <v>1066084.02</v>
      </c>
      <c r="K408" s="73"/>
      <c r="L408" s="74">
        <v>0.18090000000000001</v>
      </c>
      <c r="M408" s="75">
        <v>44291</v>
      </c>
      <c r="N408" s="76">
        <v>14</v>
      </c>
      <c r="O408" s="76"/>
      <c r="P408" s="76"/>
      <c r="Q408" s="76"/>
      <c r="R408" s="67" t="s">
        <v>1632</v>
      </c>
      <c r="S408" s="68">
        <v>899999230</v>
      </c>
      <c r="T408" s="77">
        <v>20321820</v>
      </c>
      <c r="U408" s="78" t="s">
        <v>1775</v>
      </c>
      <c r="V408" s="73"/>
      <c r="W408" s="80">
        <v>946907</v>
      </c>
    </row>
    <row r="409" spans="1:23" ht="15.6" x14ac:dyDescent="0.3">
      <c r="A409" s="67" t="s">
        <v>1403</v>
      </c>
      <c r="B409" s="69">
        <v>48483</v>
      </c>
      <c r="C409" s="69" t="s">
        <v>1404</v>
      </c>
      <c r="D409" s="69">
        <v>0</v>
      </c>
      <c r="E409" s="70" t="s">
        <v>19</v>
      </c>
      <c r="F409" s="67" t="s">
        <v>1643</v>
      </c>
      <c r="G409" s="71">
        <v>30317</v>
      </c>
      <c r="H409" s="119">
        <v>43621</v>
      </c>
      <c r="I409" s="133">
        <v>6635838.1399999997</v>
      </c>
      <c r="J409" s="133">
        <v>999116.96</v>
      </c>
      <c r="K409" s="73"/>
      <c r="L409" s="74">
        <v>0.1479</v>
      </c>
      <c r="M409" s="85"/>
      <c r="N409" s="76">
        <v>14</v>
      </c>
      <c r="O409" s="76"/>
      <c r="P409" s="76"/>
      <c r="Q409" s="76"/>
      <c r="R409" s="67" t="s">
        <v>1633</v>
      </c>
      <c r="S409" s="68">
        <v>899999318</v>
      </c>
      <c r="T409" s="77">
        <v>20119888</v>
      </c>
      <c r="U409" s="78" t="s">
        <v>1771</v>
      </c>
      <c r="V409" s="73"/>
      <c r="W409" s="80">
        <v>1085432</v>
      </c>
    </row>
    <row r="410" spans="1:23" ht="15.6" x14ac:dyDescent="0.3">
      <c r="A410" s="67" t="s">
        <v>1468</v>
      </c>
      <c r="B410" s="69">
        <v>41454822</v>
      </c>
      <c r="C410" s="69" t="s">
        <v>1469</v>
      </c>
      <c r="D410" s="69">
        <v>0</v>
      </c>
      <c r="E410" s="70" t="s">
        <v>472</v>
      </c>
      <c r="F410" s="67" t="s">
        <v>1643</v>
      </c>
      <c r="G410" s="71">
        <v>38899</v>
      </c>
      <c r="H410" s="119"/>
      <c r="I410" s="133">
        <v>1814361.04</v>
      </c>
      <c r="J410" s="133">
        <v>273177.08</v>
      </c>
      <c r="K410" s="73"/>
      <c r="L410" s="74">
        <v>0.1023</v>
      </c>
      <c r="M410" s="75">
        <v>170795</v>
      </c>
      <c r="N410" s="76">
        <v>14</v>
      </c>
      <c r="O410" s="76"/>
      <c r="P410" s="76"/>
      <c r="Q410" s="76"/>
      <c r="R410" s="67" t="s">
        <v>1634</v>
      </c>
      <c r="S410" s="68">
        <v>899999450</v>
      </c>
      <c r="T410" s="77"/>
      <c r="U410" s="78"/>
      <c r="V410" s="73"/>
      <c r="W410" s="80">
        <v>429065</v>
      </c>
    </row>
    <row r="411" spans="1:23" ht="15.6" x14ac:dyDescent="0.3">
      <c r="A411" s="67" t="s">
        <v>700</v>
      </c>
      <c r="B411" s="69">
        <v>26938972</v>
      </c>
      <c r="C411" s="69" t="s">
        <v>701</v>
      </c>
      <c r="D411" s="69">
        <v>0</v>
      </c>
      <c r="E411" s="70" t="s">
        <v>19</v>
      </c>
      <c r="F411" s="67" t="s">
        <v>1643</v>
      </c>
      <c r="G411" s="71">
        <v>34703</v>
      </c>
      <c r="H411" s="121">
        <v>40543</v>
      </c>
      <c r="I411" s="135">
        <v>5322424.83</v>
      </c>
      <c r="J411" s="134">
        <v>801364.47</v>
      </c>
      <c r="K411" s="125"/>
      <c r="L411" s="74">
        <v>0.121</v>
      </c>
      <c r="M411" s="75">
        <v>44376</v>
      </c>
      <c r="N411" s="76">
        <v>14</v>
      </c>
      <c r="O411" s="76">
        <v>0</v>
      </c>
      <c r="P411" s="83">
        <v>449462</v>
      </c>
      <c r="Q411" s="76">
        <v>0</v>
      </c>
      <c r="R411" s="67" t="s">
        <v>1622</v>
      </c>
      <c r="S411" s="68">
        <v>892399999</v>
      </c>
      <c r="T411" s="77"/>
      <c r="U411" s="78"/>
      <c r="V411" s="81"/>
      <c r="W411" s="80">
        <v>1064141</v>
      </c>
    </row>
    <row r="412" spans="1:23" ht="15.6" x14ac:dyDescent="0.3">
      <c r="A412" s="67" t="s">
        <v>1383</v>
      </c>
      <c r="B412" s="69">
        <v>9129659</v>
      </c>
      <c r="C412" s="69" t="s">
        <v>1384</v>
      </c>
      <c r="D412" s="69">
        <v>0</v>
      </c>
      <c r="E412" s="70" t="s">
        <v>592</v>
      </c>
      <c r="F412" s="67" t="s">
        <v>1643</v>
      </c>
      <c r="G412" s="71">
        <v>38796</v>
      </c>
      <c r="H412" s="121">
        <v>40543</v>
      </c>
      <c r="I412" s="133">
        <v>11279146.300000001</v>
      </c>
      <c r="J412" s="134">
        <v>1698231.05</v>
      </c>
      <c r="K412" s="125"/>
      <c r="L412" s="74">
        <v>0.28920000000000001</v>
      </c>
      <c r="M412" s="75">
        <v>427894</v>
      </c>
      <c r="N412" s="76">
        <v>14</v>
      </c>
      <c r="O412" s="76">
        <v>0</v>
      </c>
      <c r="P412" s="83">
        <v>1321886</v>
      </c>
      <c r="Q412" s="76"/>
      <c r="R412" s="67" t="s">
        <v>1622</v>
      </c>
      <c r="S412" s="68">
        <v>892399999</v>
      </c>
      <c r="T412" s="77">
        <v>36527388</v>
      </c>
      <c r="U412" s="78" t="s">
        <v>1766</v>
      </c>
      <c r="V412" s="81"/>
      <c r="W412" s="80">
        <v>943524</v>
      </c>
    </row>
    <row r="413" spans="1:23" ht="15.6" x14ac:dyDescent="0.3">
      <c r="A413" s="67" t="s">
        <v>498</v>
      </c>
      <c r="B413" s="69">
        <v>15240013</v>
      </c>
      <c r="C413" s="69" t="s">
        <v>499</v>
      </c>
      <c r="D413" s="69">
        <v>0</v>
      </c>
      <c r="E413" s="70" t="s">
        <v>19</v>
      </c>
      <c r="F413" s="67" t="s">
        <v>1643</v>
      </c>
      <c r="G413" s="71">
        <v>39569</v>
      </c>
      <c r="H413" s="119"/>
      <c r="I413" s="133">
        <v>13767618.460000001</v>
      </c>
      <c r="J413" s="134">
        <v>2072904.86</v>
      </c>
      <c r="K413" s="125"/>
      <c r="L413" s="74">
        <v>0.36099999999999999</v>
      </c>
      <c r="M413" s="75">
        <v>83579</v>
      </c>
      <c r="N413" s="76">
        <v>14</v>
      </c>
      <c r="O413" s="76"/>
      <c r="P413" s="76"/>
      <c r="Q413" s="76"/>
      <c r="R413" s="67" t="s">
        <v>1625</v>
      </c>
      <c r="S413" s="68">
        <v>892400038</v>
      </c>
      <c r="T413" s="77"/>
      <c r="U413" s="78"/>
      <c r="V413" s="81"/>
      <c r="W413" s="80">
        <v>922628</v>
      </c>
    </row>
    <row r="414" spans="1:23" ht="15.6" x14ac:dyDescent="0.3">
      <c r="A414" s="67" t="s">
        <v>1385</v>
      </c>
      <c r="B414" s="69">
        <v>23247979</v>
      </c>
      <c r="C414" s="69" t="s">
        <v>1386</v>
      </c>
      <c r="D414" s="69">
        <v>0</v>
      </c>
      <c r="E414" s="70" t="s">
        <v>19</v>
      </c>
      <c r="F414" s="67" t="s">
        <v>1643</v>
      </c>
      <c r="G414" s="71">
        <v>39569</v>
      </c>
      <c r="H414" s="119"/>
      <c r="I414" s="133">
        <v>7711201.71</v>
      </c>
      <c r="J414" s="134">
        <v>1161027.78</v>
      </c>
      <c r="K414" s="125"/>
      <c r="L414" s="74">
        <v>0.24199999999999999</v>
      </c>
      <c r="M414" s="75">
        <v>278310</v>
      </c>
      <c r="N414" s="76">
        <v>14</v>
      </c>
      <c r="O414" s="76"/>
      <c r="P414" s="76"/>
      <c r="Q414" s="76"/>
      <c r="R414" s="67" t="s">
        <v>1625</v>
      </c>
      <c r="S414" s="68">
        <v>892400038</v>
      </c>
      <c r="T414" s="77"/>
      <c r="U414" s="78"/>
      <c r="V414" s="81"/>
      <c r="W414" s="80">
        <v>770871</v>
      </c>
    </row>
    <row r="415" spans="1:23" ht="15.6" x14ac:dyDescent="0.3">
      <c r="A415" s="67" t="s">
        <v>961</v>
      </c>
      <c r="B415" s="69">
        <v>2419662</v>
      </c>
      <c r="C415" s="69" t="s">
        <v>962</v>
      </c>
      <c r="D415" s="69">
        <v>0</v>
      </c>
      <c r="E415" s="70" t="s">
        <v>21</v>
      </c>
      <c r="F415" s="67" t="s">
        <v>1643</v>
      </c>
      <c r="G415" s="71">
        <v>26846</v>
      </c>
      <c r="H415" s="119">
        <v>44196</v>
      </c>
      <c r="I415" s="133">
        <v>28040752.899999999</v>
      </c>
      <c r="J415" s="134">
        <v>4221922.13</v>
      </c>
      <c r="K415" s="125"/>
      <c r="L415" s="74">
        <v>0.25140000000000001</v>
      </c>
      <c r="M415" s="75">
        <v>1270</v>
      </c>
      <c r="N415" s="76">
        <v>14</v>
      </c>
      <c r="O415" s="76">
        <v>0</v>
      </c>
      <c r="P415" s="83">
        <v>5052</v>
      </c>
      <c r="Q415" s="76">
        <v>0</v>
      </c>
      <c r="R415" s="67" t="s">
        <v>1626</v>
      </c>
      <c r="S415" s="68">
        <v>899999072</v>
      </c>
      <c r="T415" s="77">
        <v>29071625</v>
      </c>
      <c r="U415" s="78" t="s">
        <v>1712</v>
      </c>
      <c r="V415" s="81"/>
      <c r="W415" s="80">
        <v>2698357</v>
      </c>
    </row>
    <row r="416" spans="1:23" ht="15.6" x14ac:dyDescent="0.3">
      <c r="A416" s="67" t="s">
        <v>1194</v>
      </c>
      <c r="B416" s="69">
        <v>21264648</v>
      </c>
      <c r="C416" s="69" t="s">
        <v>1195</v>
      </c>
      <c r="D416" s="69">
        <v>0</v>
      </c>
      <c r="E416" s="70" t="s">
        <v>19</v>
      </c>
      <c r="F416" s="67" t="s">
        <v>1643</v>
      </c>
      <c r="G416" s="71">
        <v>30864</v>
      </c>
      <c r="H416" s="119">
        <v>44561</v>
      </c>
      <c r="I416" s="133">
        <v>18267210.260000002</v>
      </c>
      <c r="J416" s="134">
        <v>2750380.47</v>
      </c>
      <c r="K416" s="125"/>
      <c r="L416" s="74">
        <v>0.26540000000000002</v>
      </c>
      <c r="M416" s="75">
        <v>12513</v>
      </c>
      <c r="N416" s="76">
        <v>14</v>
      </c>
      <c r="O416" s="76">
        <v>0</v>
      </c>
      <c r="P416" s="83">
        <v>27640</v>
      </c>
      <c r="Q416" s="83">
        <v>19505</v>
      </c>
      <c r="R416" s="67" t="s">
        <v>1626</v>
      </c>
      <c r="S416" s="68">
        <v>899999072</v>
      </c>
      <c r="T416" s="77">
        <v>3335726</v>
      </c>
      <c r="U416" s="78" t="s">
        <v>1792</v>
      </c>
      <c r="V416" s="81"/>
      <c r="W416" s="80">
        <v>1665123</v>
      </c>
    </row>
    <row r="417" spans="1:23" ht="15.6" x14ac:dyDescent="0.3">
      <c r="A417" s="67" t="s">
        <v>1389</v>
      </c>
      <c r="B417" s="69">
        <v>20333921</v>
      </c>
      <c r="C417" s="69" t="s">
        <v>1390</v>
      </c>
      <c r="D417" s="69">
        <v>0</v>
      </c>
      <c r="E417" s="70" t="s">
        <v>21</v>
      </c>
      <c r="F417" s="67" t="s">
        <v>1643</v>
      </c>
      <c r="G417" s="71">
        <v>34335</v>
      </c>
      <c r="H417" s="119">
        <v>44561</v>
      </c>
      <c r="I417" s="135">
        <v>2407954.4500000002</v>
      </c>
      <c r="J417" s="134">
        <v>362550.76</v>
      </c>
      <c r="K417" s="125"/>
      <c r="L417" s="74">
        <v>5.4600000000000003E-2</v>
      </c>
      <c r="M417" s="75">
        <v>30201</v>
      </c>
      <c r="N417" s="76">
        <v>14</v>
      </c>
      <c r="O417" s="76">
        <v>0</v>
      </c>
      <c r="P417" s="83">
        <v>160582</v>
      </c>
      <c r="Q417" s="83">
        <v>819529</v>
      </c>
      <c r="R417" s="67" t="s">
        <v>1626</v>
      </c>
      <c r="S417" s="68">
        <v>899999072</v>
      </c>
      <c r="T417" s="77"/>
      <c r="U417" s="78"/>
      <c r="V417" s="81"/>
      <c r="W417" s="80">
        <v>1066917</v>
      </c>
    </row>
    <row r="418" spans="1:23" ht="15.6" x14ac:dyDescent="0.3">
      <c r="A418" s="67" t="s">
        <v>1391</v>
      </c>
      <c r="B418" s="69">
        <v>41400678</v>
      </c>
      <c r="C418" s="69" t="s">
        <v>1392</v>
      </c>
      <c r="D418" s="69">
        <v>0</v>
      </c>
      <c r="E418" s="70" t="s">
        <v>21</v>
      </c>
      <c r="F418" s="67" t="s">
        <v>1643</v>
      </c>
      <c r="G418" s="71">
        <v>34700</v>
      </c>
      <c r="H418" s="119">
        <v>44561</v>
      </c>
      <c r="I418" s="133">
        <v>1203322.56</v>
      </c>
      <c r="J418" s="134">
        <v>181176.81</v>
      </c>
      <c r="K418" s="125"/>
      <c r="L418" s="74">
        <v>7.7899999999999997E-2</v>
      </c>
      <c r="M418" s="75">
        <v>31981</v>
      </c>
      <c r="N418" s="76">
        <v>14</v>
      </c>
      <c r="O418" s="76">
        <v>0</v>
      </c>
      <c r="P418" s="83">
        <v>93950</v>
      </c>
      <c r="Q418" s="83">
        <v>910768</v>
      </c>
      <c r="R418" s="67" t="s">
        <v>1626</v>
      </c>
      <c r="S418" s="68">
        <v>899999072</v>
      </c>
      <c r="T418" s="77"/>
      <c r="U418" s="78"/>
      <c r="V418" s="81"/>
      <c r="W418" s="80">
        <v>373697</v>
      </c>
    </row>
    <row r="419" spans="1:23" ht="15.6" x14ac:dyDescent="0.3">
      <c r="A419" s="67" t="s">
        <v>1393</v>
      </c>
      <c r="B419" s="69">
        <v>98344</v>
      </c>
      <c r="C419" s="69" t="s">
        <v>1394</v>
      </c>
      <c r="D419" s="69">
        <v>0</v>
      </c>
      <c r="E419" s="70" t="s">
        <v>472</v>
      </c>
      <c r="F419" s="67" t="s">
        <v>1643</v>
      </c>
      <c r="G419" s="71">
        <v>29626</v>
      </c>
      <c r="H419" s="119"/>
      <c r="I419" s="133">
        <v>1782288.35</v>
      </c>
      <c r="J419" s="134">
        <v>268348.09000000003</v>
      </c>
      <c r="K419" s="125"/>
      <c r="L419" s="74">
        <v>0.23469999999999999</v>
      </c>
      <c r="M419" s="75">
        <v>1703</v>
      </c>
      <c r="N419" s="76">
        <v>14</v>
      </c>
      <c r="O419" s="76"/>
      <c r="P419" s="76"/>
      <c r="Q419" s="76"/>
      <c r="R419" s="67" t="s">
        <v>1627</v>
      </c>
      <c r="S419" s="68">
        <v>899999082</v>
      </c>
      <c r="T419" s="77"/>
      <c r="U419" s="78"/>
      <c r="V419" s="81"/>
      <c r="W419" s="80">
        <v>183713</v>
      </c>
    </row>
    <row r="420" spans="1:23" ht="15.6" x14ac:dyDescent="0.3">
      <c r="A420" s="67" t="s">
        <v>1397</v>
      </c>
      <c r="B420" s="69">
        <v>467493</v>
      </c>
      <c r="C420" s="69" t="s">
        <v>1398</v>
      </c>
      <c r="D420" s="69">
        <v>0</v>
      </c>
      <c r="E420" s="70" t="s">
        <v>21</v>
      </c>
      <c r="F420" s="67" t="s">
        <v>1643</v>
      </c>
      <c r="G420" s="71">
        <v>27883</v>
      </c>
      <c r="H420" s="119">
        <v>44196</v>
      </c>
      <c r="I420" s="133">
        <v>126522467.75</v>
      </c>
      <c r="J420" s="134">
        <v>19049702.710000001</v>
      </c>
      <c r="K420" s="125"/>
      <c r="L420" s="74">
        <v>0.53349999999999997</v>
      </c>
      <c r="M420" s="75">
        <v>12544</v>
      </c>
      <c r="N420" s="76">
        <v>14</v>
      </c>
      <c r="O420" s="76">
        <v>0</v>
      </c>
      <c r="P420" s="83">
        <v>48698</v>
      </c>
      <c r="Q420" s="83">
        <v>37653</v>
      </c>
      <c r="R420" s="67" t="s">
        <v>1628</v>
      </c>
      <c r="S420" s="68">
        <v>899999114</v>
      </c>
      <c r="T420" s="77">
        <v>20150950</v>
      </c>
      <c r="U420" s="78" t="s">
        <v>1768</v>
      </c>
      <c r="V420" s="81"/>
      <c r="W420" s="80">
        <v>5737309</v>
      </c>
    </row>
    <row r="421" spans="1:23" ht="15.6" x14ac:dyDescent="0.3">
      <c r="A421" s="67" t="s">
        <v>674</v>
      </c>
      <c r="B421" s="69">
        <v>48463</v>
      </c>
      <c r="C421" s="69" t="s">
        <v>675</v>
      </c>
      <c r="D421" s="69">
        <v>0</v>
      </c>
      <c r="E421" s="70" t="s">
        <v>21</v>
      </c>
      <c r="F421" s="67" t="s">
        <v>1643</v>
      </c>
      <c r="G421" s="71">
        <v>28682</v>
      </c>
      <c r="H421" s="119">
        <v>44196</v>
      </c>
      <c r="I421" s="135">
        <v>6522030.5300000003</v>
      </c>
      <c r="J421" s="134">
        <v>981981.66</v>
      </c>
      <c r="K421" s="125"/>
      <c r="L421" s="74">
        <v>0.1135</v>
      </c>
      <c r="M421" s="75">
        <v>1153</v>
      </c>
      <c r="N421" s="76">
        <v>14</v>
      </c>
      <c r="O421" s="76">
        <v>0</v>
      </c>
      <c r="P421" s="83">
        <v>50047</v>
      </c>
      <c r="Q421" s="83">
        <v>51720</v>
      </c>
      <c r="R421" s="67" t="s">
        <v>1628</v>
      </c>
      <c r="S421" s="68">
        <v>899999114</v>
      </c>
      <c r="T421" s="77">
        <v>41353549</v>
      </c>
      <c r="U421" s="78" t="s">
        <v>1676</v>
      </c>
      <c r="V421" s="81"/>
      <c r="W421" s="80">
        <v>1390151</v>
      </c>
    </row>
    <row r="422" spans="1:23" ht="15.6" x14ac:dyDescent="0.3">
      <c r="A422" s="93" t="s">
        <v>613</v>
      </c>
      <c r="B422" s="148">
        <v>28505549</v>
      </c>
      <c r="C422" s="69" t="s">
        <v>614</v>
      </c>
      <c r="D422" s="69">
        <v>0</v>
      </c>
      <c r="E422" s="95" t="s">
        <v>21</v>
      </c>
      <c r="F422" s="67" t="s">
        <v>1643</v>
      </c>
      <c r="G422" s="71">
        <v>28897</v>
      </c>
      <c r="H422" s="119">
        <v>41274</v>
      </c>
      <c r="I422" s="133">
        <v>34911051.200000003</v>
      </c>
      <c r="J422" s="134">
        <v>5256340.3</v>
      </c>
      <c r="K422" s="125"/>
      <c r="L422" s="74">
        <v>0.35099999999999998</v>
      </c>
      <c r="M422" s="96">
        <v>6692</v>
      </c>
      <c r="N422" s="76">
        <v>14</v>
      </c>
      <c r="O422" s="76">
        <v>0</v>
      </c>
      <c r="P422" s="83">
        <v>30507</v>
      </c>
      <c r="Q422" s="83">
        <v>11298</v>
      </c>
      <c r="R422" s="67" t="s">
        <v>1628</v>
      </c>
      <c r="S422" s="68">
        <v>899999114</v>
      </c>
      <c r="T422" s="77">
        <v>1796134</v>
      </c>
      <c r="U422" s="78" t="s">
        <v>1671</v>
      </c>
      <c r="V422" s="81"/>
      <c r="W422" s="80">
        <v>2406195</v>
      </c>
    </row>
    <row r="423" spans="1:23" ht="15.6" x14ac:dyDescent="0.3">
      <c r="A423" s="67" t="s">
        <v>1403</v>
      </c>
      <c r="B423" s="69">
        <v>48483</v>
      </c>
      <c r="C423" s="69" t="s">
        <v>1404</v>
      </c>
      <c r="D423" s="69">
        <v>0</v>
      </c>
      <c r="E423" s="70" t="s">
        <v>472</v>
      </c>
      <c r="F423" s="67" t="s">
        <v>1643</v>
      </c>
      <c r="G423" s="71">
        <v>30317</v>
      </c>
      <c r="H423" s="119">
        <v>44196</v>
      </c>
      <c r="I423" s="135">
        <v>6635838.1399999997</v>
      </c>
      <c r="J423" s="134">
        <v>999116.96</v>
      </c>
      <c r="K423" s="125"/>
      <c r="L423" s="74">
        <v>0.1479</v>
      </c>
      <c r="M423" s="75">
        <v>3497</v>
      </c>
      <c r="N423" s="76">
        <v>14</v>
      </c>
      <c r="O423" s="76">
        <v>0</v>
      </c>
      <c r="P423" s="83">
        <v>82637</v>
      </c>
      <c r="Q423" s="83">
        <v>81510</v>
      </c>
      <c r="R423" s="67" t="s">
        <v>1628</v>
      </c>
      <c r="S423" s="68">
        <v>899999114</v>
      </c>
      <c r="T423" s="77">
        <v>20119888</v>
      </c>
      <c r="U423" s="78" t="s">
        <v>1771</v>
      </c>
      <c r="V423" s="81"/>
      <c r="W423" s="80">
        <v>1085432</v>
      </c>
    </row>
    <row r="424" spans="1:23" ht="15.6" x14ac:dyDescent="0.3">
      <c r="A424" s="67" t="s">
        <v>1411</v>
      </c>
      <c r="B424" s="69">
        <v>29022287</v>
      </c>
      <c r="C424" s="69" t="s">
        <v>1412</v>
      </c>
      <c r="D424" s="69">
        <v>0</v>
      </c>
      <c r="E424" s="70" t="s">
        <v>21</v>
      </c>
      <c r="F424" s="67" t="s">
        <v>1643</v>
      </c>
      <c r="G424" s="71">
        <v>32143</v>
      </c>
      <c r="H424" s="119">
        <v>44196</v>
      </c>
      <c r="I424" s="135">
        <v>34741409.469999999</v>
      </c>
      <c r="J424" s="134">
        <v>5230798.4000000004</v>
      </c>
      <c r="K424" s="125"/>
      <c r="L424" s="74">
        <v>0.2606</v>
      </c>
      <c r="M424" s="75">
        <v>26065</v>
      </c>
      <c r="N424" s="76">
        <v>14</v>
      </c>
      <c r="O424" s="76">
        <v>0</v>
      </c>
      <c r="P424" s="83">
        <v>331467</v>
      </c>
      <c r="Q424" s="83">
        <v>98700</v>
      </c>
      <c r="R424" s="67" t="s">
        <v>1628</v>
      </c>
      <c r="S424" s="68">
        <v>899999114</v>
      </c>
      <c r="T424" s="77"/>
      <c r="U424" s="78"/>
      <c r="V424" s="81"/>
      <c r="W424" s="80">
        <v>3225136</v>
      </c>
    </row>
    <row r="425" spans="1:23" ht="15.6" x14ac:dyDescent="0.3">
      <c r="A425" s="67" t="s">
        <v>1413</v>
      </c>
      <c r="B425" s="69">
        <v>23251569</v>
      </c>
      <c r="C425" s="69" t="s">
        <v>1414</v>
      </c>
      <c r="D425" s="69">
        <v>0</v>
      </c>
      <c r="E425" s="70" t="s">
        <v>21</v>
      </c>
      <c r="F425" s="67" t="s">
        <v>1643</v>
      </c>
      <c r="G425" s="71">
        <v>32509</v>
      </c>
      <c r="H425" s="119">
        <v>44196</v>
      </c>
      <c r="I425" s="133">
        <v>2991435.11</v>
      </c>
      <c r="J425" s="134">
        <v>450401.82</v>
      </c>
      <c r="K425" s="125"/>
      <c r="L425" s="74">
        <v>3.7499999999999999E-2</v>
      </c>
      <c r="M425" s="75">
        <v>3526</v>
      </c>
      <c r="N425" s="76">
        <v>14</v>
      </c>
      <c r="O425" s="76">
        <v>0</v>
      </c>
      <c r="P425" s="83">
        <v>51528</v>
      </c>
      <c r="Q425" s="83">
        <v>59179</v>
      </c>
      <c r="R425" s="67" t="s">
        <v>1628</v>
      </c>
      <c r="S425" s="68">
        <v>899999114</v>
      </c>
      <c r="T425" s="77"/>
      <c r="U425" s="78"/>
      <c r="V425" s="81"/>
      <c r="W425" s="80">
        <v>1929849</v>
      </c>
    </row>
    <row r="426" spans="1:23" ht="15.6" x14ac:dyDescent="0.3">
      <c r="A426" s="67" t="s">
        <v>1415</v>
      </c>
      <c r="B426" s="69">
        <v>20288423</v>
      </c>
      <c r="C426" s="69" t="s">
        <v>1416</v>
      </c>
      <c r="D426" s="69">
        <v>0</v>
      </c>
      <c r="E426" s="70" t="s">
        <v>818</v>
      </c>
      <c r="F426" s="67" t="s">
        <v>1643</v>
      </c>
      <c r="G426" s="71">
        <v>33207</v>
      </c>
      <c r="H426" s="119"/>
      <c r="I426" s="133">
        <v>12979475.029999999</v>
      </c>
      <c r="J426" s="134">
        <v>1954239</v>
      </c>
      <c r="K426" s="125"/>
      <c r="L426" s="74">
        <v>0.12529999999999999</v>
      </c>
      <c r="M426" s="75">
        <v>19600</v>
      </c>
      <c r="N426" s="76">
        <v>14</v>
      </c>
      <c r="O426" s="76"/>
      <c r="P426" s="76"/>
      <c r="Q426" s="76"/>
      <c r="R426" s="67" t="s">
        <v>1628</v>
      </c>
      <c r="S426" s="68">
        <v>899999114</v>
      </c>
      <c r="T426" s="77"/>
      <c r="U426" s="78"/>
      <c r="V426" s="81"/>
      <c r="W426" s="80">
        <v>2506000</v>
      </c>
    </row>
    <row r="427" spans="1:23" ht="15.6" x14ac:dyDescent="0.3">
      <c r="A427" s="67" t="s">
        <v>1417</v>
      </c>
      <c r="B427" s="69">
        <v>21286792</v>
      </c>
      <c r="C427" s="69" t="s">
        <v>1418</v>
      </c>
      <c r="D427" s="69">
        <v>0</v>
      </c>
      <c r="E427" s="70" t="s">
        <v>19</v>
      </c>
      <c r="F427" s="67" t="s">
        <v>1643</v>
      </c>
      <c r="G427" s="71">
        <v>33207</v>
      </c>
      <c r="H427" s="119"/>
      <c r="I427" s="135">
        <v>4752643.0199999996</v>
      </c>
      <c r="J427" s="134">
        <v>715575.96</v>
      </c>
      <c r="K427" s="125"/>
      <c r="L427" s="74">
        <v>2.7799999999999998E-2</v>
      </c>
      <c r="M427" s="75">
        <v>50167</v>
      </c>
      <c r="N427" s="76">
        <v>14</v>
      </c>
      <c r="O427" s="76"/>
      <c r="P427" s="76"/>
      <c r="Q427" s="76"/>
      <c r="R427" s="67" t="s">
        <v>1628</v>
      </c>
      <c r="S427" s="68">
        <v>899999114</v>
      </c>
      <c r="T427" s="77"/>
      <c r="U427" s="78"/>
      <c r="V427" s="81"/>
      <c r="W427" s="80">
        <v>4135856</v>
      </c>
    </row>
    <row r="428" spans="1:23" ht="15.6" x14ac:dyDescent="0.3">
      <c r="A428" s="67" t="s">
        <v>1419</v>
      </c>
      <c r="B428" s="69">
        <v>20334626</v>
      </c>
      <c r="C428" s="69" t="s">
        <v>1420</v>
      </c>
      <c r="D428" s="69">
        <v>0</v>
      </c>
      <c r="E428" s="70" t="s">
        <v>21</v>
      </c>
      <c r="F428" s="67" t="s">
        <v>1643</v>
      </c>
      <c r="G428" s="71">
        <v>76308</v>
      </c>
      <c r="H428" s="119"/>
      <c r="I428" s="135">
        <v>8105106.5800000001</v>
      </c>
      <c r="J428" s="134">
        <v>1220335.5900000001</v>
      </c>
      <c r="K428" s="125"/>
      <c r="L428" s="74">
        <v>0.1103</v>
      </c>
      <c r="M428" s="75">
        <v>35083</v>
      </c>
      <c r="N428" s="76">
        <v>14</v>
      </c>
      <c r="O428" s="76">
        <v>0</v>
      </c>
      <c r="P428" s="76">
        <v>0</v>
      </c>
      <c r="Q428" s="76">
        <v>0</v>
      </c>
      <c r="R428" s="67" t="s">
        <v>1628</v>
      </c>
      <c r="S428" s="68">
        <v>899999114</v>
      </c>
      <c r="T428" s="77"/>
      <c r="U428" s="78"/>
      <c r="V428" s="81"/>
      <c r="W428" s="80">
        <v>1777699</v>
      </c>
    </row>
    <row r="429" spans="1:23" ht="15.6" x14ac:dyDescent="0.3">
      <c r="A429" s="67" t="s">
        <v>1421</v>
      </c>
      <c r="B429" s="69">
        <v>13213283</v>
      </c>
      <c r="C429" s="69" t="s">
        <v>1422</v>
      </c>
      <c r="D429" s="69">
        <v>0</v>
      </c>
      <c r="E429" s="70" t="s">
        <v>472</v>
      </c>
      <c r="F429" s="67" t="s">
        <v>1643</v>
      </c>
      <c r="G429" s="71">
        <v>34700</v>
      </c>
      <c r="H429" s="119">
        <v>44196</v>
      </c>
      <c r="I429" s="133">
        <v>6865156.7300000004</v>
      </c>
      <c r="J429" s="134">
        <v>1033644.04</v>
      </c>
      <c r="K429" s="125"/>
      <c r="L429" s="74">
        <v>0.2273</v>
      </c>
      <c r="M429" s="75">
        <v>66436</v>
      </c>
      <c r="N429" s="76">
        <v>14</v>
      </c>
      <c r="O429" s="76">
        <v>0</v>
      </c>
      <c r="P429" s="83">
        <v>218212</v>
      </c>
      <c r="Q429" s="83">
        <v>744283</v>
      </c>
      <c r="R429" s="67" t="s">
        <v>1628</v>
      </c>
      <c r="S429" s="68">
        <v>899999114</v>
      </c>
      <c r="T429" s="77"/>
      <c r="U429" s="78"/>
      <c r="V429" s="81"/>
      <c r="W429" s="80">
        <v>730678</v>
      </c>
    </row>
    <row r="430" spans="1:23" ht="15.6" x14ac:dyDescent="0.3">
      <c r="A430" s="67" t="s">
        <v>1423</v>
      </c>
      <c r="B430" s="69">
        <v>3011821</v>
      </c>
      <c r="C430" s="69" t="s">
        <v>1424</v>
      </c>
      <c r="D430" s="69">
        <v>0</v>
      </c>
      <c r="E430" s="70" t="s">
        <v>472</v>
      </c>
      <c r="F430" s="67" t="s">
        <v>1643</v>
      </c>
      <c r="G430" s="71">
        <v>35431</v>
      </c>
      <c r="H430" s="119">
        <v>44196</v>
      </c>
      <c r="I430" s="135">
        <v>8829993.8300000001</v>
      </c>
      <c r="J430" s="134">
        <v>1329477.3700000001</v>
      </c>
      <c r="K430" s="131"/>
      <c r="L430" s="74">
        <v>0.2331</v>
      </c>
      <c r="M430" s="75">
        <v>290590</v>
      </c>
      <c r="N430" s="76">
        <v>14</v>
      </c>
      <c r="O430" s="76">
        <v>0</v>
      </c>
      <c r="P430" s="83">
        <v>294619</v>
      </c>
      <c r="Q430" s="83">
        <v>952014</v>
      </c>
      <c r="R430" s="67" t="s">
        <v>1628</v>
      </c>
      <c r="S430" s="68">
        <v>899999114</v>
      </c>
      <c r="T430" s="77"/>
      <c r="U430" s="78"/>
      <c r="V430" s="63"/>
      <c r="W430" s="80">
        <v>916417</v>
      </c>
    </row>
    <row r="431" spans="1:23" ht="15.6" x14ac:dyDescent="0.3">
      <c r="A431" s="67" t="s">
        <v>985</v>
      </c>
      <c r="B431" s="69">
        <v>20161316</v>
      </c>
      <c r="C431" s="69" t="s">
        <v>986</v>
      </c>
      <c r="D431" s="69">
        <v>0</v>
      </c>
      <c r="E431" s="70" t="s">
        <v>472</v>
      </c>
      <c r="F431" s="67" t="s">
        <v>1643</v>
      </c>
      <c r="G431" s="71">
        <v>73815</v>
      </c>
      <c r="H431" s="119">
        <v>44196</v>
      </c>
      <c r="I431" s="133">
        <v>5293244.3099999996</v>
      </c>
      <c r="J431" s="134">
        <v>796970.94</v>
      </c>
      <c r="K431" s="125"/>
      <c r="L431" s="74">
        <v>0.1244</v>
      </c>
      <c r="M431" s="75">
        <v>65140</v>
      </c>
      <c r="N431" s="76">
        <v>14</v>
      </c>
      <c r="O431" s="76">
        <v>0</v>
      </c>
      <c r="P431" s="83">
        <v>188445</v>
      </c>
      <c r="Q431" s="83">
        <v>1169054</v>
      </c>
      <c r="R431" s="67" t="s">
        <v>1628</v>
      </c>
      <c r="S431" s="68">
        <v>899999114</v>
      </c>
      <c r="T431" s="77"/>
      <c r="U431" s="78"/>
      <c r="V431" s="81"/>
      <c r="W431" s="80">
        <v>1029382</v>
      </c>
    </row>
    <row r="432" spans="1:23" ht="15.6" x14ac:dyDescent="0.3">
      <c r="A432" s="67" t="s">
        <v>1425</v>
      </c>
      <c r="B432" s="69">
        <v>17008660</v>
      </c>
      <c r="C432" s="69" t="s">
        <v>1426</v>
      </c>
      <c r="D432" s="69">
        <v>0</v>
      </c>
      <c r="E432" s="70" t="s">
        <v>21</v>
      </c>
      <c r="F432" s="67" t="s">
        <v>1643</v>
      </c>
      <c r="G432" s="71">
        <v>35796</v>
      </c>
      <c r="H432" s="119">
        <v>44196</v>
      </c>
      <c r="I432" s="133">
        <v>8196814.4699999997</v>
      </c>
      <c r="J432" s="134">
        <v>1234143.48</v>
      </c>
      <c r="K432" s="125"/>
      <c r="L432" s="74">
        <v>0.29909999999999998</v>
      </c>
      <c r="M432" s="75">
        <v>151722</v>
      </c>
      <c r="N432" s="76">
        <v>14</v>
      </c>
      <c r="O432" s="76">
        <v>0</v>
      </c>
      <c r="P432" s="83">
        <v>166682</v>
      </c>
      <c r="Q432" s="83">
        <v>862807</v>
      </c>
      <c r="R432" s="67" t="s">
        <v>1628</v>
      </c>
      <c r="S432" s="68">
        <v>899999114</v>
      </c>
      <c r="T432" s="77">
        <v>32401935</v>
      </c>
      <c r="U432" s="78" t="s">
        <v>1630</v>
      </c>
      <c r="V432" s="81"/>
      <c r="W432" s="80">
        <v>662985</v>
      </c>
    </row>
    <row r="433" spans="1:23" ht="15.6" x14ac:dyDescent="0.3">
      <c r="A433" s="67" t="s">
        <v>716</v>
      </c>
      <c r="B433" s="69">
        <v>41314945</v>
      </c>
      <c r="C433" s="69" t="s">
        <v>717</v>
      </c>
      <c r="D433" s="69">
        <v>0</v>
      </c>
      <c r="E433" s="70" t="s">
        <v>19</v>
      </c>
      <c r="F433" s="67" t="s">
        <v>1643</v>
      </c>
      <c r="G433" s="71">
        <v>36586</v>
      </c>
      <c r="H433" s="119">
        <v>44196</v>
      </c>
      <c r="I433" s="133">
        <v>9281330.4800000004</v>
      </c>
      <c r="J433" s="134">
        <v>1397432.33</v>
      </c>
      <c r="K433" s="125"/>
      <c r="L433" s="74">
        <v>6.0900000000000003E-2</v>
      </c>
      <c r="M433" s="75">
        <v>132354</v>
      </c>
      <c r="N433" s="76">
        <v>14</v>
      </c>
      <c r="O433" s="76">
        <v>0</v>
      </c>
      <c r="P433" s="83">
        <v>1012501</v>
      </c>
      <c r="Q433" s="83">
        <v>1161879</v>
      </c>
      <c r="R433" s="67" t="s">
        <v>1628</v>
      </c>
      <c r="S433" s="68">
        <v>899999114</v>
      </c>
      <c r="T433" s="77"/>
      <c r="U433" s="78"/>
      <c r="V433" s="81"/>
      <c r="W433" s="80">
        <v>3686956</v>
      </c>
    </row>
    <row r="434" spans="1:23" ht="15.6" x14ac:dyDescent="0.3">
      <c r="A434" s="67" t="s">
        <v>1429</v>
      </c>
      <c r="B434" s="69">
        <v>17135950</v>
      </c>
      <c r="C434" s="69" t="s">
        <v>1430</v>
      </c>
      <c r="D434" s="69">
        <v>0</v>
      </c>
      <c r="E434" s="70" t="s">
        <v>21</v>
      </c>
      <c r="F434" s="67" t="s">
        <v>1643</v>
      </c>
      <c r="G434" s="71">
        <v>36831</v>
      </c>
      <c r="H434" s="119">
        <v>44196</v>
      </c>
      <c r="I434" s="135">
        <v>2512168.16</v>
      </c>
      <c r="J434" s="134">
        <v>378241.57</v>
      </c>
      <c r="K434" s="125"/>
      <c r="L434" s="74">
        <v>0.23749999999999999</v>
      </c>
      <c r="M434" s="75">
        <v>176543</v>
      </c>
      <c r="N434" s="76">
        <v>14</v>
      </c>
      <c r="O434" s="76">
        <v>0</v>
      </c>
      <c r="P434" s="83">
        <v>347637</v>
      </c>
      <c r="Q434" s="83">
        <v>848299</v>
      </c>
      <c r="R434" s="67" t="s">
        <v>1628</v>
      </c>
      <c r="S434" s="68">
        <v>899999114</v>
      </c>
      <c r="T434" s="77">
        <v>41386340</v>
      </c>
      <c r="U434" s="78" t="s">
        <v>1774</v>
      </c>
      <c r="V434" s="81"/>
      <c r="W434" s="80">
        <v>255894</v>
      </c>
    </row>
    <row r="435" spans="1:23" ht="15.6" x14ac:dyDescent="0.3">
      <c r="A435" s="67" t="s">
        <v>1431</v>
      </c>
      <c r="B435" s="69">
        <v>41339522</v>
      </c>
      <c r="C435" s="69" t="s">
        <v>1432</v>
      </c>
      <c r="D435" s="69">
        <v>0</v>
      </c>
      <c r="E435" s="70" t="s">
        <v>592</v>
      </c>
      <c r="F435" s="67" t="s">
        <v>1643</v>
      </c>
      <c r="G435" s="71">
        <v>37041</v>
      </c>
      <c r="H435" s="119">
        <v>44196</v>
      </c>
      <c r="I435" s="133">
        <v>18393285.699999999</v>
      </c>
      <c r="J435" s="134">
        <v>2769362.87</v>
      </c>
      <c r="K435" s="125"/>
      <c r="L435" s="74">
        <v>0.30280000000000001</v>
      </c>
      <c r="M435" s="75">
        <v>572074</v>
      </c>
      <c r="N435" s="76">
        <v>14</v>
      </c>
      <c r="O435" s="76">
        <v>0</v>
      </c>
      <c r="P435" s="83">
        <v>1889281</v>
      </c>
      <c r="Q435" s="76">
        <v>0</v>
      </c>
      <c r="R435" s="67" t="s">
        <v>1628</v>
      </c>
      <c r="S435" s="68">
        <v>899999114</v>
      </c>
      <c r="T435" s="77"/>
      <c r="U435" s="78"/>
      <c r="V435" s="81"/>
      <c r="W435" s="80">
        <v>1469530</v>
      </c>
    </row>
    <row r="436" spans="1:23" ht="15.6" x14ac:dyDescent="0.3">
      <c r="A436" s="67" t="s">
        <v>1433</v>
      </c>
      <c r="B436" s="69">
        <v>17178348</v>
      </c>
      <c r="C436" s="69" t="s">
        <v>1434</v>
      </c>
      <c r="D436" s="69">
        <v>0</v>
      </c>
      <c r="E436" s="70" t="s">
        <v>472</v>
      </c>
      <c r="F436" s="67" t="s">
        <v>1643</v>
      </c>
      <c r="G436" s="71">
        <v>37100</v>
      </c>
      <c r="H436" s="119">
        <v>44196</v>
      </c>
      <c r="I436" s="133">
        <v>22130730.43</v>
      </c>
      <c r="J436" s="134">
        <v>3332086.73</v>
      </c>
      <c r="K436" s="125"/>
      <c r="L436" s="74">
        <v>0.31019999999999998</v>
      </c>
      <c r="M436" s="75">
        <v>613418</v>
      </c>
      <c r="N436" s="76">
        <v>14</v>
      </c>
      <c r="O436" s="76">
        <v>0</v>
      </c>
      <c r="P436" s="83">
        <v>831445</v>
      </c>
      <c r="Q436" s="83">
        <v>1955365</v>
      </c>
      <c r="R436" s="67" t="s">
        <v>1628</v>
      </c>
      <c r="S436" s="68">
        <v>899999114</v>
      </c>
      <c r="T436" s="77"/>
      <c r="U436" s="78"/>
      <c r="V436" s="81"/>
      <c r="W436" s="80">
        <v>1725953</v>
      </c>
    </row>
    <row r="437" spans="1:23" ht="15.6" x14ac:dyDescent="0.3">
      <c r="A437" s="67" t="s">
        <v>1435</v>
      </c>
      <c r="B437" s="69">
        <v>41448731</v>
      </c>
      <c r="C437" s="69" t="s">
        <v>1436</v>
      </c>
      <c r="D437" s="69">
        <v>0</v>
      </c>
      <c r="E437" s="70" t="s">
        <v>21</v>
      </c>
      <c r="F437" s="67" t="s">
        <v>1643</v>
      </c>
      <c r="G437" s="71">
        <v>38534</v>
      </c>
      <c r="H437" s="119">
        <v>44196</v>
      </c>
      <c r="I437" s="133">
        <v>2428775.9</v>
      </c>
      <c r="J437" s="134">
        <v>365685.71</v>
      </c>
      <c r="K437" s="125"/>
      <c r="L437" s="74">
        <v>0.1118</v>
      </c>
      <c r="M437" s="75">
        <v>185376</v>
      </c>
      <c r="N437" s="76">
        <v>14</v>
      </c>
      <c r="O437" s="76">
        <v>0</v>
      </c>
      <c r="P437" s="83">
        <v>194367</v>
      </c>
      <c r="Q437" s="83">
        <v>1562706</v>
      </c>
      <c r="R437" s="67" t="s">
        <v>1628</v>
      </c>
      <c r="S437" s="68">
        <v>899999114</v>
      </c>
      <c r="T437" s="77"/>
      <c r="U437" s="78"/>
      <c r="V437" s="81"/>
      <c r="W437" s="80">
        <v>525558</v>
      </c>
    </row>
    <row r="438" spans="1:23" ht="15.6" x14ac:dyDescent="0.3">
      <c r="A438" s="67" t="s">
        <v>1437</v>
      </c>
      <c r="B438" s="69">
        <v>41491714</v>
      </c>
      <c r="C438" s="69" t="s">
        <v>1438</v>
      </c>
      <c r="D438" s="69">
        <v>0</v>
      </c>
      <c r="E438" s="70" t="s">
        <v>722</v>
      </c>
      <c r="F438" s="67" t="s">
        <v>1643</v>
      </c>
      <c r="G438" s="71">
        <v>38749</v>
      </c>
      <c r="H438" s="119">
        <v>44196</v>
      </c>
      <c r="I438" s="133">
        <v>3366107.9</v>
      </c>
      <c r="J438" s="134">
        <v>506813.97</v>
      </c>
      <c r="K438" s="125"/>
      <c r="L438" s="74">
        <v>0.14419999999999999</v>
      </c>
      <c r="M438" s="75">
        <v>245759</v>
      </c>
      <c r="N438" s="76">
        <v>14</v>
      </c>
      <c r="O438" s="76">
        <v>0</v>
      </c>
      <c r="P438" s="83">
        <v>318092</v>
      </c>
      <c r="Q438" s="83">
        <v>1923171</v>
      </c>
      <c r="R438" s="67" t="s">
        <v>1628</v>
      </c>
      <c r="S438" s="68">
        <v>899999114</v>
      </c>
      <c r="T438" s="77"/>
      <c r="U438" s="78"/>
      <c r="V438" s="81"/>
      <c r="W438" s="80">
        <v>564726</v>
      </c>
    </row>
    <row r="439" spans="1:23" ht="15.6" x14ac:dyDescent="0.3">
      <c r="A439" s="67" t="s">
        <v>1439</v>
      </c>
      <c r="B439" s="69">
        <v>17182518</v>
      </c>
      <c r="C439" s="69" t="s">
        <v>1440</v>
      </c>
      <c r="D439" s="69">
        <v>0</v>
      </c>
      <c r="E439" s="70" t="s">
        <v>21</v>
      </c>
      <c r="F439" s="67" t="s">
        <v>1643</v>
      </c>
      <c r="G439" s="71">
        <v>38800</v>
      </c>
      <c r="H439" s="119">
        <v>44196</v>
      </c>
      <c r="I439" s="133">
        <v>15502932.58</v>
      </c>
      <c r="J439" s="134">
        <v>2334180.34</v>
      </c>
      <c r="K439" s="125"/>
      <c r="L439" s="74">
        <v>9.5000000000000001E-2</v>
      </c>
      <c r="M439" s="75">
        <v>359298</v>
      </c>
      <c r="N439" s="76">
        <v>14</v>
      </c>
      <c r="O439" s="76">
        <v>0</v>
      </c>
      <c r="P439" s="83">
        <v>1671254</v>
      </c>
      <c r="Q439" s="83">
        <v>2110827</v>
      </c>
      <c r="R439" s="67" t="s">
        <v>1628</v>
      </c>
      <c r="S439" s="68">
        <v>899999114</v>
      </c>
      <c r="T439" s="77"/>
      <c r="U439" s="78"/>
      <c r="V439" s="81"/>
      <c r="W439" s="80">
        <v>3947892</v>
      </c>
    </row>
    <row r="440" spans="1:23" ht="15.6" x14ac:dyDescent="0.3">
      <c r="A440" s="67" t="s">
        <v>1441</v>
      </c>
      <c r="B440" s="69">
        <v>11292350</v>
      </c>
      <c r="C440" s="69" t="s">
        <v>1442</v>
      </c>
      <c r="D440" s="69">
        <v>0</v>
      </c>
      <c r="E440" s="70" t="s">
        <v>472</v>
      </c>
      <c r="F440" s="67" t="s">
        <v>1643</v>
      </c>
      <c r="G440" s="71">
        <v>38838</v>
      </c>
      <c r="H440" s="119">
        <v>44196</v>
      </c>
      <c r="I440" s="133">
        <v>4783525.43</v>
      </c>
      <c r="J440" s="134">
        <v>720225.74</v>
      </c>
      <c r="K440" s="125"/>
      <c r="L440" s="74">
        <v>7.6600000000000001E-2</v>
      </c>
      <c r="M440" s="75">
        <v>201121</v>
      </c>
      <c r="N440" s="76">
        <v>14</v>
      </c>
      <c r="O440" s="76">
        <v>0</v>
      </c>
      <c r="P440" s="83">
        <v>727776</v>
      </c>
      <c r="Q440" s="83">
        <v>2445962</v>
      </c>
      <c r="R440" s="67" t="s">
        <v>1628</v>
      </c>
      <c r="S440" s="68">
        <v>899999114</v>
      </c>
      <c r="T440" s="77"/>
      <c r="U440" s="78"/>
      <c r="V440" s="81"/>
      <c r="W440" s="80">
        <v>1510756</v>
      </c>
    </row>
    <row r="441" spans="1:23" ht="15.6" x14ac:dyDescent="0.3">
      <c r="A441" s="67" t="s">
        <v>1443</v>
      </c>
      <c r="B441" s="69">
        <v>41443975</v>
      </c>
      <c r="C441" s="69" t="s">
        <v>1444</v>
      </c>
      <c r="D441" s="69">
        <v>0</v>
      </c>
      <c r="E441" s="70" t="s">
        <v>21</v>
      </c>
      <c r="F441" s="67" t="s">
        <v>1643</v>
      </c>
      <c r="G441" s="71">
        <v>38867</v>
      </c>
      <c r="H441" s="119">
        <v>44196</v>
      </c>
      <c r="I441" s="133">
        <v>7577300.3200000003</v>
      </c>
      <c r="J441" s="134">
        <v>1140867.08</v>
      </c>
      <c r="K441" s="125"/>
      <c r="L441" s="74">
        <v>0.2364</v>
      </c>
      <c r="M441" s="75">
        <v>417407</v>
      </c>
      <c r="N441" s="76">
        <v>14</v>
      </c>
      <c r="O441" s="76">
        <v>0</v>
      </c>
      <c r="P441" s="83">
        <v>417707</v>
      </c>
      <c r="Q441" s="83">
        <v>2000638</v>
      </c>
      <c r="R441" s="67" t="s">
        <v>1628</v>
      </c>
      <c r="S441" s="68">
        <v>899999114</v>
      </c>
      <c r="T441" s="77"/>
      <c r="U441" s="78"/>
      <c r="V441" s="81"/>
      <c r="W441" s="80">
        <v>775429</v>
      </c>
    </row>
    <row r="442" spans="1:23" ht="15.6" x14ac:dyDescent="0.3">
      <c r="A442" s="67" t="s">
        <v>1445</v>
      </c>
      <c r="B442" s="69">
        <v>41485099</v>
      </c>
      <c r="C442" s="69" t="s">
        <v>1446</v>
      </c>
      <c r="D442" s="69">
        <v>0</v>
      </c>
      <c r="E442" s="70" t="s">
        <v>19</v>
      </c>
      <c r="F442" s="67" t="s">
        <v>1643</v>
      </c>
      <c r="G442" s="71">
        <v>39037</v>
      </c>
      <c r="H442" s="119"/>
      <c r="I442" s="133">
        <v>13214649.029999999</v>
      </c>
      <c r="J442" s="134">
        <v>1989647.69</v>
      </c>
      <c r="K442" s="125"/>
      <c r="L442" s="74">
        <v>0.25059999999999999</v>
      </c>
      <c r="M442" s="75">
        <v>523218</v>
      </c>
      <c r="N442" s="76">
        <v>13</v>
      </c>
      <c r="O442" s="76"/>
      <c r="P442" s="76"/>
      <c r="Q442" s="76"/>
      <c r="R442" s="67" t="s">
        <v>1628</v>
      </c>
      <c r="S442" s="68">
        <v>899999114</v>
      </c>
      <c r="T442" s="77"/>
      <c r="U442" s="78"/>
      <c r="V442" s="81"/>
      <c r="W442" s="80">
        <v>1275703</v>
      </c>
    </row>
    <row r="443" spans="1:23" ht="15.6" x14ac:dyDescent="0.3">
      <c r="A443" s="67" t="s">
        <v>745</v>
      </c>
      <c r="B443" s="69">
        <v>17174648</v>
      </c>
      <c r="C443" s="69" t="s">
        <v>746</v>
      </c>
      <c r="D443" s="69">
        <v>0</v>
      </c>
      <c r="E443" s="70" t="s">
        <v>21</v>
      </c>
      <c r="F443" s="67" t="s">
        <v>1643</v>
      </c>
      <c r="G443" s="71">
        <v>39052</v>
      </c>
      <c r="H443" s="119">
        <v>44196</v>
      </c>
      <c r="I443" s="133">
        <v>1089219.06</v>
      </c>
      <c r="J443" s="134">
        <v>163996.95000000001</v>
      </c>
      <c r="K443" s="125"/>
      <c r="L443" s="74">
        <v>2.4E-2</v>
      </c>
      <c r="M443" s="75">
        <v>50624</v>
      </c>
      <c r="N443" s="76">
        <v>14</v>
      </c>
      <c r="O443" s="76">
        <v>0</v>
      </c>
      <c r="P443" s="83">
        <v>464786</v>
      </c>
      <c r="Q443" s="83">
        <v>4178696</v>
      </c>
      <c r="R443" s="67" t="s">
        <v>1628</v>
      </c>
      <c r="S443" s="68">
        <v>899999114</v>
      </c>
      <c r="T443" s="77"/>
      <c r="U443" s="78"/>
      <c r="V443" s="81"/>
      <c r="W443" s="80">
        <v>1097941</v>
      </c>
    </row>
    <row r="444" spans="1:23" ht="15.6" x14ac:dyDescent="0.3">
      <c r="A444" s="67" t="s">
        <v>1449</v>
      </c>
      <c r="B444" s="69">
        <v>3013490</v>
      </c>
      <c r="C444" s="69" t="s">
        <v>1450</v>
      </c>
      <c r="D444" s="69">
        <v>0</v>
      </c>
      <c r="E444" s="70" t="s">
        <v>19</v>
      </c>
      <c r="F444" s="67" t="s">
        <v>1643</v>
      </c>
      <c r="G444" s="71">
        <v>39059</v>
      </c>
      <c r="H444" s="119">
        <v>44196</v>
      </c>
      <c r="I444" s="133">
        <v>13941917.49</v>
      </c>
      <c r="J444" s="134">
        <v>2099147.9900000002</v>
      </c>
      <c r="K444" s="125"/>
      <c r="L444" s="74">
        <v>0.17979999999999999</v>
      </c>
      <c r="M444" s="75">
        <v>387336</v>
      </c>
      <c r="N444" s="76">
        <v>14</v>
      </c>
      <c r="O444" s="76">
        <v>0</v>
      </c>
      <c r="P444" s="83">
        <v>903674</v>
      </c>
      <c r="Q444" s="83">
        <v>1657623</v>
      </c>
      <c r="R444" s="67" t="s">
        <v>1628</v>
      </c>
      <c r="S444" s="68">
        <v>899999114</v>
      </c>
      <c r="T444" s="77"/>
      <c r="U444" s="78"/>
      <c r="V444" s="81"/>
      <c r="W444" s="80">
        <v>1875892</v>
      </c>
    </row>
    <row r="445" spans="1:23" ht="15.6" x14ac:dyDescent="0.3">
      <c r="A445" s="67" t="s">
        <v>1451</v>
      </c>
      <c r="B445" s="69">
        <v>41549095</v>
      </c>
      <c r="C445" s="69" t="s">
        <v>1452</v>
      </c>
      <c r="D445" s="69">
        <v>0</v>
      </c>
      <c r="E445" s="70" t="s">
        <v>472</v>
      </c>
      <c r="F445" s="67" t="s">
        <v>1643</v>
      </c>
      <c r="G445" s="71">
        <v>39173</v>
      </c>
      <c r="H445" s="119">
        <v>44196</v>
      </c>
      <c r="I445" s="133">
        <v>1679805.77</v>
      </c>
      <c r="J445" s="134">
        <v>252917.93</v>
      </c>
      <c r="K445" s="125"/>
      <c r="L445" s="74">
        <v>5.8000000000000003E-2</v>
      </c>
      <c r="M445" s="75">
        <v>92331</v>
      </c>
      <c r="N445" s="76">
        <v>13</v>
      </c>
      <c r="O445" s="76">
        <v>0</v>
      </c>
      <c r="P445" s="83">
        <v>162943</v>
      </c>
      <c r="Q445" s="83">
        <v>1699821</v>
      </c>
      <c r="R445" s="67" t="s">
        <v>1628</v>
      </c>
      <c r="S445" s="68">
        <v>899999114</v>
      </c>
      <c r="T445" s="77"/>
      <c r="U445" s="78"/>
      <c r="V445" s="81"/>
      <c r="W445" s="80">
        <v>700658</v>
      </c>
    </row>
    <row r="446" spans="1:23" ht="15.6" x14ac:dyDescent="0.3">
      <c r="A446" s="67" t="s">
        <v>771</v>
      </c>
      <c r="B446" s="69">
        <v>17196930</v>
      </c>
      <c r="C446" s="69" t="s">
        <v>772</v>
      </c>
      <c r="D446" s="69">
        <v>0</v>
      </c>
      <c r="E446" s="70" t="s">
        <v>472</v>
      </c>
      <c r="F446" s="67" t="s">
        <v>1643</v>
      </c>
      <c r="G446" s="71">
        <v>39753</v>
      </c>
      <c r="H446" s="119"/>
      <c r="I446" s="133">
        <v>6036247.0999999996</v>
      </c>
      <c r="J446" s="134">
        <v>908840.26</v>
      </c>
      <c r="K446" s="125"/>
      <c r="L446" s="74">
        <v>0.1381</v>
      </c>
      <c r="M446" s="75">
        <v>248632</v>
      </c>
      <c r="N446" s="76">
        <v>14</v>
      </c>
      <c r="O446" s="76">
        <v>0</v>
      </c>
      <c r="P446" s="83">
        <v>473106</v>
      </c>
      <c r="Q446" s="83">
        <v>1570233</v>
      </c>
      <c r="R446" s="67" t="s">
        <v>1628</v>
      </c>
      <c r="S446" s="68">
        <v>899999114</v>
      </c>
      <c r="T446" s="77">
        <v>41500005</v>
      </c>
      <c r="U446" s="78" t="s">
        <v>1788</v>
      </c>
      <c r="V446" s="81"/>
      <c r="W446" s="80">
        <v>1057422</v>
      </c>
    </row>
    <row r="447" spans="1:23" ht="15.6" x14ac:dyDescent="0.3">
      <c r="A447" s="67" t="s">
        <v>1455</v>
      </c>
      <c r="B447" s="69">
        <v>41621038</v>
      </c>
      <c r="C447" s="69" t="s">
        <v>1456</v>
      </c>
      <c r="D447" s="69">
        <v>0</v>
      </c>
      <c r="E447" s="70" t="s">
        <v>472</v>
      </c>
      <c r="F447" s="67" t="s">
        <v>1643</v>
      </c>
      <c r="G447" s="71">
        <v>40120</v>
      </c>
      <c r="H447" s="119"/>
      <c r="I447" s="133">
        <v>3729385.78</v>
      </c>
      <c r="J447" s="134">
        <v>561510.47</v>
      </c>
      <c r="K447" s="125"/>
      <c r="L447" s="74">
        <v>0.1137</v>
      </c>
      <c r="M447" s="75">
        <v>225638</v>
      </c>
      <c r="N447" s="76">
        <v>13</v>
      </c>
      <c r="O447" s="76">
        <v>0</v>
      </c>
      <c r="P447" s="83">
        <v>399663</v>
      </c>
      <c r="Q447" s="83">
        <v>2139229</v>
      </c>
      <c r="R447" s="67" t="s">
        <v>1628</v>
      </c>
      <c r="S447" s="68">
        <v>899999114</v>
      </c>
      <c r="T447" s="77"/>
      <c r="U447" s="78"/>
      <c r="V447" s="81"/>
      <c r="W447" s="80">
        <v>793509</v>
      </c>
    </row>
    <row r="448" spans="1:23" ht="15.6" x14ac:dyDescent="0.3">
      <c r="A448" s="67" t="s">
        <v>1457</v>
      </c>
      <c r="B448" s="69">
        <v>3226873</v>
      </c>
      <c r="C448" s="69" t="s">
        <v>1458</v>
      </c>
      <c r="D448" s="69">
        <v>0</v>
      </c>
      <c r="E448" s="70" t="s">
        <v>21</v>
      </c>
      <c r="F448" s="67" t="s">
        <v>1643</v>
      </c>
      <c r="G448" s="71">
        <v>40147</v>
      </c>
      <c r="H448" s="119"/>
      <c r="I448" s="133">
        <v>722293.52</v>
      </c>
      <c r="J448" s="134">
        <v>108751.25</v>
      </c>
      <c r="K448" s="125"/>
      <c r="L448" s="74">
        <v>1.7500000000000002E-2</v>
      </c>
      <c r="M448" s="75">
        <v>60559</v>
      </c>
      <c r="N448" s="76">
        <v>13</v>
      </c>
      <c r="O448" s="76">
        <v>0</v>
      </c>
      <c r="P448" s="83">
        <v>537877</v>
      </c>
      <c r="Q448" s="83">
        <v>3331747</v>
      </c>
      <c r="R448" s="67" t="s">
        <v>1628</v>
      </c>
      <c r="S448" s="68">
        <v>899999114</v>
      </c>
      <c r="T448" s="77"/>
      <c r="U448" s="78"/>
      <c r="V448" s="81"/>
      <c r="W448" s="80">
        <v>998506</v>
      </c>
    </row>
    <row r="449" spans="1:23" ht="15.6" x14ac:dyDescent="0.3">
      <c r="A449" s="67" t="s">
        <v>1460</v>
      </c>
      <c r="B449" s="69">
        <v>17110172</v>
      </c>
      <c r="C449" s="69" t="s">
        <v>1461</v>
      </c>
      <c r="D449" s="69">
        <v>0</v>
      </c>
      <c r="E449" s="70" t="s">
        <v>722</v>
      </c>
      <c r="F449" s="67" t="s">
        <v>1643</v>
      </c>
      <c r="G449" s="71">
        <v>40210</v>
      </c>
      <c r="H449" s="119"/>
      <c r="I449" s="133">
        <v>257690.59</v>
      </c>
      <c r="J449" s="134">
        <v>38798.870000000003</v>
      </c>
      <c r="K449" s="125"/>
      <c r="L449" s="74">
        <v>2.53E-2</v>
      </c>
      <c r="M449" s="75">
        <v>44442</v>
      </c>
      <c r="N449" s="76">
        <v>14</v>
      </c>
      <c r="O449" s="76">
        <v>0</v>
      </c>
      <c r="P449" s="83">
        <v>121072</v>
      </c>
      <c r="Q449" s="83">
        <v>1609133</v>
      </c>
      <c r="R449" s="67" t="s">
        <v>1628</v>
      </c>
      <c r="S449" s="68">
        <v>899999114</v>
      </c>
      <c r="T449" s="77"/>
      <c r="U449" s="78"/>
      <c r="V449" s="81"/>
      <c r="W449" s="80">
        <v>246407</v>
      </c>
    </row>
    <row r="450" spans="1:23" ht="15.6" x14ac:dyDescent="0.3">
      <c r="A450" s="67" t="s">
        <v>1403</v>
      </c>
      <c r="B450" s="69">
        <v>48483</v>
      </c>
      <c r="C450" s="69" t="s">
        <v>1404</v>
      </c>
      <c r="D450" s="69">
        <v>0</v>
      </c>
      <c r="E450" s="70" t="s">
        <v>472</v>
      </c>
      <c r="F450" s="67" t="s">
        <v>1643</v>
      </c>
      <c r="G450" s="71">
        <v>30317</v>
      </c>
      <c r="H450" s="119"/>
      <c r="I450" s="133">
        <v>6635838.1399999997</v>
      </c>
      <c r="J450" s="134">
        <v>999116.96</v>
      </c>
      <c r="K450" s="125"/>
      <c r="L450" s="74">
        <v>0.1479</v>
      </c>
      <c r="M450" s="85"/>
      <c r="N450" s="76">
        <v>14</v>
      </c>
      <c r="O450" s="76"/>
      <c r="P450" s="76"/>
      <c r="Q450" s="76"/>
      <c r="R450" s="67" t="s">
        <v>1631</v>
      </c>
      <c r="S450" s="68">
        <v>899999115</v>
      </c>
      <c r="T450" s="77">
        <v>20119888</v>
      </c>
      <c r="U450" s="78" t="s">
        <v>1771</v>
      </c>
      <c r="V450" s="81"/>
      <c r="W450" s="80">
        <v>1085432</v>
      </c>
    </row>
    <row r="451" spans="1:23" ht="15.6" x14ac:dyDescent="0.3">
      <c r="A451" s="67" t="s">
        <v>1462</v>
      </c>
      <c r="B451" s="69">
        <v>17161853</v>
      </c>
      <c r="C451" s="69" t="s">
        <v>1463</v>
      </c>
      <c r="D451" s="69">
        <v>0</v>
      </c>
      <c r="E451" s="70" t="s">
        <v>19</v>
      </c>
      <c r="F451" s="67" t="s">
        <v>1643</v>
      </c>
      <c r="G451" s="71">
        <v>37225</v>
      </c>
      <c r="H451" s="119"/>
      <c r="I451" s="135">
        <v>10305178.23</v>
      </c>
      <c r="J451" s="134">
        <v>1551586.73</v>
      </c>
      <c r="K451" s="125"/>
      <c r="L451" s="74">
        <v>0.24429999999999999</v>
      </c>
      <c r="M451" s="75">
        <v>309265</v>
      </c>
      <c r="N451" s="76">
        <v>14</v>
      </c>
      <c r="O451" s="76"/>
      <c r="P451" s="76"/>
      <c r="Q451" s="76"/>
      <c r="R451" s="67" t="s">
        <v>1631</v>
      </c>
      <c r="S451" s="68">
        <v>899999115</v>
      </c>
      <c r="T451" s="77"/>
      <c r="U451" s="78"/>
      <c r="V451" s="81"/>
      <c r="W451" s="80">
        <v>1020486</v>
      </c>
    </row>
    <row r="452" spans="1:23" ht="15.6" x14ac:dyDescent="0.3">
      <c r="A452" s="67" t="s">
        <v>1464</v>
      </c>
      <c r="B452" s="69">
        <v>19091072</v>
      </c>
      <c r="C452" s="69" t="s">
        <v>1465</v>
      </c>
      <c r="D452" s="69">
        <v>0</v>
      </c>
      <c r="E452" s="70" t="s">
        <v>592</v>
      </c>
      <c r="F452" s="67" t="s">
        <v>1643</v>
      </c>
      <c r="G452" s="71">
        <v>39028</v>
      </c>
      <c r="H452" s="119"/>
      <c r="I452" s="135">
        <v>6103369.4400000004</v>
      </c>
      <c r="J452" s="134">
        <v>918946.46</v>
      </c>
      <c r="K452" s="125"/>
      <c r="L452" s="74">
        <v>0.16039999999999999</v>
      </c>
      <c r="M452" s="75">
        <v>382044</v>
      </c>
      <c r="N452" s="76">
        <v>14</v>
      </c>
      <c r="O452" s="76"/>
      <c r="P452" s="76"/>
      <c r="Q452" s="76"/>
      <c r="R452" s="67" t="s">
        <v>1631</v>
      </c>
      <c r="S452" s="68">
        <v>899999115</v>
      </c>
      <c r="T452" s="77"/>
      <c r="U452" s="78"/>
      <c r="V452" s="81"/>
      <c r="W452" s="80">
        <v>920535</v>
      </c>
    </row>
    <row r="453" spans="1:23" ht="15.6" x14ac:dyDescent="0.3">
      <c r="A453" s="67" t="s">
        <v>1466</v>
      </c>
      <c r="B453" s="69">
        <v>2904614</v>
      </c>
      <c r="C453" s="69" t="s">
        <v>1467</v>
      </c>
      <c r="D453" s="69">
        <v>0</v>
      </c>
      <c r="E453" s="70" t="s">
        <v>472</v>
      </c>
      <c r="F453" s="67" t="s">
        <v>1643</v>
      </c>
      <c r="G453" s="71">
        <v>33572</v>
      </c>
      <c r="H453" s="119">
        <v>44944</v>
      </c>
      <c r="I453" s="133">
        <v>7080613.4100000001</v>
      </c>
      <c r="J453" s="133">
        <v>1066084.02</v>
      </c>
      <c r="K453" s="73"/>
      <c r="L453" s="74">
        <v>0.18090000000000001</v>
      </c>
      <c r="M453" s="75">
        <v>44291</v>
      </c>
      <c r="N453" s="76">
        <v>14</v>
      </c>
      <c r="O453" s="76"/>
      <c r="P453" s="76"/>
      <c r="Q453" s="76"/>
      <c r="R453" s="67" t="s">
        <v>1632</v>
      </c>
      <c r="S453" s="68">
        <v>899999230</v>
      </c>
      <c r="T453" s="77">
        <v>20321820</v>
      </c>
      <c r="U453" s="78" t="s">
        <v>1775</v>
      </c>
      <c r="V453" s="73"/>
      <c r="W453" s="80">
        <v>946907</v>
      </c>
    </row>
    <row r="454" spans="1:23" ht="15.6" x14ac:dyDescent="0.3">
      <c r="A454" s="67" t="s">
        <v>1403</v>
      </c>
      <c r="B454" s="69">
        <v>48483</v>
      </c>
      <c r="C454" s="69" t="s">
        <v>1404</v>
      </c>
      <c r="D454" s="69">
        <v>0</v>
      </c>
      <c r="E454" s="70" t="s">
        <v>19</v>
      </c>
      <c r="F454" s="67" t="s">
        <v>1643</v>
      </c>
      <c r="G454" s="71">
        <v>30317</v>
      </c>
      <c r="H454" s="119">
        <v>43621</v>
      </c>
      <c r="I454" s="133">
        <v>6635838.1399999997</v>
      </c>
      <c r="J454" s="133">
        <v>999116.96</v>
      </c>
      <c r="K454" s="73"/>
      <c r="L454" s="74">
        <v>0.1479</v>
      </c>
      <c r="M454" s="85"/>
      <c r="N454" s="76">
        <v>14</v>
      </c>
      <c r="O454" s="76"/>
      <c r="P454" s="76"/>
      <c r="Q454" s="76"/>
      <c r="R454" s="67" t="s">
        <v>1633</v>
      </c>
      <c r="S454" s="68">
        <v>899999318</v>
      </c>
      <c r="T454" s="77">
        <v>20119888</v>
      </c>
      <c r="U454" s="78" t="s">
        <v>1771</v>
      </c>
      <c r="V454" s="73"/>
      <c r="W454" s="80">
        <v>1085432</v>
      </c>
    </row>
    <row r="455" spans="1:23" ht="15.6" x14ac:dyDescent="0.3">
      <c r="A455" s="67" t="s">
        <v>1468</v>
      </c>
      <c r="B455" s="69">
        <v>41454822</v>
      </c>
      <c r="C455" s="69" t="s">
        <v>1469</v>
      </c>
      <c r="D455" s="69">
        <v>0</v>
      </c>
      <c r="E455" s="70" t="s">
        <v>472</v>
      </c>
      <c r="F455" s="67" t="s">
        <v>1643</v>
      </c>
      <c r="G455" s="71">
        <v>38899</v>
      </c>
      <c r="H455" s="119"/>
      <c r="I455" s="133">
        <v>1814361.04</v>
      </c>
      <c r="J455" s="133">
        <v>273177.08</v>
      </c>
      <c r="K455" s="73"/>
      <c r="L455" s="74">
        <v>0.1023</v>
      </c>
      <c r="M455" s="75">
        <v>170795</v>
      </c>
      <c r="N455" s="76">
        <v>14</v>
      </c>
      <c r="O455" s="76"/>
      <c r="P455" s="76"/>
      <c r="Q455" s="76"/>
      <c r="R455" s="67" t="s">
        <v>1634</v>
      </c>
      <c r="S455" s="68">
        <v>899999450</v>
      </c>
      <c r="T455" s="77"/>
      <c r="U455" s="78"/>
      <c r="V455" s="73"/>
      <c r="W455" s="80">
        <v>429065</v>
      </c>
    </row>
    <row r="456" spans="1:23" ht="15.6" x14ac:dyDescent="0.3">
      <c r="A456" s="67"/>
      <c r="B456" s="69"/>
      <c r="C456" s="69"/>
      <c r="D456" s="69"/>
      <c r="E456" s="70"/>
      <c r="F456" s="67"/>
      <c r="G456" s="71"/>
      <c r="H456" s="119"/>
      <c r="I456" s="135"/>
      <c r="J456" s="134"/>
      <c r="K456" s="125"/>
      <c r="L456" s="74"/>
      <c r="M456" s="75"/>
      <c r="N456" s="76"/>
      <c r="O456" s="76"/>
      <c r="P456" s="83"/>
      <c r="Q456" s="76"/>
      <c r="R456" s="67"/>
      <c r="S456" s="68"/>
      <c r="T456" s="77"/>
      <c r="U456" s="78"/>
      <c r="V456" s="63"/>
      <c r="W456" s="80"/>
    </row>
    <row r="457" spans="1:23" ht="15.6" x14ac:dyDescent="0.3">
      <c r="A457" s="67"/>
      <c r="B457" s="69"/>
      <c r="C457" s="69"/>
      <c r="D457" s="69"/>
      <c r="E457" s="70"/>
      <c r="F457" s="67"/>
      <c r="G457" s="71"/>
      <c r="H457" s="141"/>
      <c r="I457" s="142" t="s">
        <v>1784</v>
      </c>
      <c r="J457" s="142" t="s">
        <v>1785</v>
      </c>
      <c r="K457" s="125"/>
      <c r="L457" s="74"/>
      <c r="M457" s="75"/>
      <c r="N457" s="76"/>
      <c r="O457" s="76"/>
      <c r="P457" s="83"/>
      <c r="Q457" s="76"/>
      <c r="R457" s="67"/>
      <c r="S457" s="68"/>
      <c r="T457" s="77"/>
      <c r="U457" s="78"/>
      <c r="V457" s="81"/>
      <c r="W457" s="80"/>
    </row>
    <row r="458" spans="1:23" ht="15.6" x14ac:dyDescent="0.3">
      <c r="A458" s="67"/>
      <c r="B458" s="69"/>
      <c r="C458" s="69"/>
      <c r="D458" s="69"/>
      <c r="E458" s="70"/>
      <c r="F458" s="67"/>
      <c r="G458" s="71"/>
      <c r="H458" s="141" t="s">
        <v>1783</v>
      </c>
      <c r="I458" s="143">
        <f>SUM(I2:I455)</f>
        <v>5451034011.8900003</v>
      </c>
      <c r="J458" s="143">
        <f>SUM(J2:J455)</f>
        <v>820728359.21000099</v>
      </c>
      <c r="K458" s="125"/>
      <c r="L458" s="74"/>
      <c r="M458" s="75"/>
      <c r="N458" s="76"/>
      <c r="O458" s="76"/>
      <c r="P458" s="83"/>
      <c r="Q458" s="76"/>
      <c r="R458" s="67"/>
      <c r="S458" s="68"/>
      <c r="T458" s="77"/>
      <c r="U458" s="78"/>
      <c r="V458" s="81"/>
      <c r="W458" s="80"/>
    </row>
    <row r="459" spans="1:23" ht="15.6" x14ac:dyDescent="0.3">
      <c r="A459" s="67"/>
      <c r="B459" s="69"/>
      <c r="C459" s="69"/>
      <c r="D459" s="69"/>
      <c r="E459" s="70"/>
      <c r="F459" s="67"/>
      <c r="G459" s="71"/>
      <c r="H459" s="119"/>
      <c r="I459" s="135"/>
      <c r="J459" s="134"/>
      <c r="K459" s="125"/>
      <c r="L459" s="74"/>
      <c r="M459" s="75"/>
      <c r="N459" s="76"/>
      <c r="O459" s="76"/>
      <c r="P459" s="83"/>
      <c r="Q459" s="76"/>
      <c r="R459" s="67"/>
      <c r="S459" s="68"/>
      <c r="T459" s="77"/>
      <c r="U459" s="78"/>
      <c r="V459" s="81"/>
      <c r="W459" s="80"/>
    </row>
    <row r="460" spans="1:23" ht="16.2" thickBot="1" x14ac:dyDescent="0.35">
      <c r="A460" s="67"/>
      <c r="B460" s="69"/>
      <c r="C460" s="69"/>
      <c r="D460" s="69"/>
      <c r="E460" s="70"/>
      <c r="F460" s="67"/>
      <c r="G460" s="71"/>
      <c r="H460" s="119"/>
      <c r="I460" s="135"/>
      <c r="J460" s="134"/>
      <c r="K460" s="128"/>
      <c r="L460" s="74"/>
      <c r="M460" s="75"/>
      <c r="N460" s="76"/>
      <c r="O460" s="76"/>
      <c r="P460" s="83"/>
      <c r="Q460" s="83"/>
      <c r="R460" s="67"/>
      <c r="S460" s="68"/>
      <c r="T460" s="77"/>
      <c r="U460" s="78"/>
      <c r="V460" s="81"/>
      <c r="W460" s="80"/>
    </row>
    <row r="461" spans="1:23" ht="15.6" x14ac:dyDescent="0.3">
      <c r="A461" s="67"/>
      <c r="B461" s="69"/>
      <c r="C461" s="69"/>
      <c r="D461" s="69"/>
      <c r="E461" s="70"/>
      <c r="F461" s="67"/>
      <c r="G461" s="71"/>
      <c r="H461" s="119"/>
      <c r="I461" s="133"/>
      <c r="J461" s="134"/>
      <c r="K461" s="127"/>
      <c r="L461" s="74"/>
      <c r="M461" s="75"/>
      <c r="N461" s="76"/>
      <c r="O461" s="76"/>
      <c r="P461" s="83"/>
      <c r="Q461" s="76"/>
      <c r="R461" s="67"/>
      <c r="S461" s="68"/>
      <c r="T461" s="77"/>
      <c r="U461" s="78"/>
      <c r="V461" s="81"/>
      <c r="W461" s="80"/>
    </row>
    <row r="462" spans="1:23" ht="15.6" x14ac:dyDescent="0.3">
      <c r="A462" s="67"/>
      <c r="B462" s="69"/>
      <c r="C462" s="69"/>
      <c r="D462" s="69"/>
      <c r="E462" s="70"/>
      <c r="F462" s="67"/>
      <c r="G462" s="71"/>
      <c r="H462" s="119"/>
      <c r="I462" s="133"/>
      <c r="J462" s="134"/>
      <c r="K462" s="125"/>
      <c r="L462" s="74"/>
      <c r="M462" s="75"/>
      <c r="N462" s="76"/>
      <c r="O462" s="76"/>
      <c r="P462" s="83"/>
      <c r="Q462" s="76"/>
      <c r="R462" s="67"/>
      <c r="S462" s="68"/>
      <c r="T462" s="77"/>
      <c r="U462" s="78"/>
      <c r="V462" s="81"/>
      <c r="W462" s="80"/>
    </row>
    <row r="463" spans="1:23" ht="15.6" x14ac:dyDescent="0.3">
      <c r="A463" s="67"/>
      <c r="B463" s="69"/>
      <c r="C463" s="69"/>
      <c r="D463" s="69"/>
      <c r="E463" s="70"/>
      <c r="F463" s="67"/>
      <c r="G463" s="71"/>
      <c r="H463" s="119"/>
      <c r="I463" s="133"/>
      <c r="J463" s="134"/>
      <c r="K463" s="125"/>
      <c r="L463" s="74"/>
      <c r="M463" s="85"/>
      <c r="N463" s="76"/>
      <c r="O463" s="76"/>
      <c r="P463" s="76"/>
      <c r="Q463" s="76"/>
      <c r="R463" s="67"/>
      <c r="S463" s="68"/>
      <c r="T463" s="77"/>
      <c r="U463" s="78"/>
      <c r="V463" s="81"/>
      <c r="W463" s="80"/>
    </row>
    <row r="464" spans="1:23" ht="16.2" thickBot="1" x14ac:dyDescent="0.35">
      <c r="A464" s="89"/>
      <c r="B464" s="147"/>
      <c r="C464" s="69"/>
      <c r="D464" s="69"/>
      <c r="E464" s="91"/>
      <c r="F464" s="67"/>
      <c r="G464" s="71"/>
      <c r="H464" s="120"/>
      <c r="I464" s="133"/>
      <c r="J464" s="134"/>
      <c r="K464" s="125"/>
      <c r="L464" s="74"/>
      <c r="M464" s="100"/>
      <c r="N464" s="76"/>
      <c r="O464" s="76"/>
      <c r="P464" s="83"/>
      <c r="Q464" s="76"/>
      <c r="R464" s="67"/>
      <c r="S464" s="68"/>
      <c r="T464" s="77"/>
      <c r="U464" s="78"/>
      <c r="V464" s="81"/>
      <c r="W464" s="80"/>
    </row>
    <row r="465" spans="1:23" ht="15.6" x14ac:dyDescent="0.3">
      <c r="A465" s="93"/>
      <c r="B465" s="148"/>
      <c r="C465" s="69"/>
      <c r="D465" s="69"/>
      <c r="E465" s="95"/>
      <c r="F465" s="67"/>
      <c r="G465" s="71"/>
      <c r="H465" s="121"/>
      <c r="I465" s="133"/>
      <c r="J465" s="134"/>
      <c r="K465" s="125"/>
      <c r="L465" s="74"/>
      <c r="M465" s="96"/>
      <c r="N465" s="76"/>
      <c r="O465" s="76"/>
      <c r="P465" s="76"/>
      <c r="Q465" s="76"/>
      <c r="R465" s="67"/>
      <c r="S465" s="68"/>
      <c r="T465" s="77"/>
      <c r="U465" s="78"/>
      <c r="V465" s="81"/>
      <c r="W465" s="80"/>
    </row>
    <row r="466" spans="1:23" ht="15.6" x14ac:dyDescent="0.3">
      <c r="A466" s="67"/>
      <c r="B466" s="69"/>
      <c r="C466" s="69"/>
      <c r="D466" s="69"/>
      <c r="E466" s="70"/>
      <c r="F466" s="67"/>
      <c r="G466" s="71"/>
      <c r="H466" s="119"/>
      <c r="I466" s="135"/>
      <c r="J466" s="134"/>
      <c r="K466" s="125"/>
      <c r="L466" s="74"/>
      <c r="M466" s="85"/>
      <c r="N466" s="76"/>
      <c r="O466" s="76"/>
      <c r="P466" s="76"/>
      <c r="Q466" s="76"/>
      <c r="R466" s="67"/>
      <c r="S466" s="68"/>
      <c r="T466" s="77"/>
      <c r="U466" s="78"/>
      <c r="V466" s="81"/>
      <c r="W466" s="80"/>
    </row>
    <row r="467" spans="1:23" ht="15.6" x14ac:dyDescent="0.3">
      <c r="A467" s="67"/>
      <c r="B467" s="69"/>
      <c r="C467" s="69"/>
      <c r="D467" s="69"/>
      <c r="E467" s="70"/>
      <c r="F467" s="67"/>
      <c r="G467" s="71"/>
      <c r="K467" s="125"/>
      <c r="L467" s="74"/>
      <c r="M467" s="75"/>
      <c r="N467" s="76"/>
      <c r="O467" s="76"/>
      <c r="P467" s="76"/>
      <c r="Q467" s="76"/>
      <c r="R467" s="67"/>
      <c r="S467" s="68"/>
      <c r="T467" s="77"/>
      <c r="U467" s="78"/>
      <c r="V467" s="81"/>
      <c r="W467" s="80"/>
    </row>
    <row r="468" spans="1:23" ht="15.6" x14ac:dyDescent="0.3">
      <c r="A468" s="67"/>
      <c r="B468" s="69"/>
      <c r="C468" s="69"/>
      <c r="D468" s="69"/>
      <c r="E468" s="70"/>
      <c r="F468" s="67"/>
      <c r="G468" s="71"/>
      <c r="K468" s="125"/>
      <c r="L468" s="74"/>
      <c r="M468" s="85"/>
      <c r="N468" s="76"/>
      <c r="O468" s="76"/>
      <c r="P468" s="76"/>
      <c r="Q468" s="76"/>
      <c r="R468" s="67"/>
      <c r="S468" s="68"/>
      <c r="T468" s="77"/>
      <c r="U468" s="78"/>
      <c r="V468" s="81"/>
      <c r="W468" s="80"/>
    </row>
    <row r="469" spans="1:23" ht="15.6" x14ac:dyDescent="0.3">
      <c r="A469" s="67"/>
      <c r="B469" s="69"/>
      <c r="C469" s="69"/>
      <c r="D469" s="69"/>
      <c r="E469" s="70"/>
      <c r="F469" s="67"/>
      <c r="G469" s="71"/>
      <c r="H469" s="119"/>
      <c r="I469" s="135"/>
      <c r="J469" s="134"/>
      <c r="K469" s="125"/>
      <c r="L469" s="74"/>
      <c r="M469" s="75"/>
      <c r="N469" s="76"/>
      <c r="O469" s="76"/>
      <c r="P469" s="76"/>
      <c r="Q469" s="76"/>
      <c r="R469" s="67"/>
      <c r="S469" s="68"/>
      <c r="T469" s="77"/>
      <c r="U469" s="78"/>
      <c r="V469" s="81"/>
      <c r="W469" s="80"/>
    </row>
    <row r="470" spans="1:23" ht="15.6" x14ac:dyDescent="0.3">
      <c r="A470" s="67"/>
      <c r="B470" s="69"/>
      <c r="C470" s="69"/>
      <c r="D470" s="69"/>
      <c r="E470" s="70"/>
      <c r="F470" s="67"/>
      <c r="G470" s="71"/>
      <c r="H470" s="119"/>
      <c r="I470" s="133"/>
      <c r="J470" s="134"/>
      <c r="K470" s="125"/>
      <c r="L470" s="74"/>
      <c r="M470" s="75"/>
      <c r="N470" s="76"/>
      <c r="O470" s="76"/>
      <c r="P470" s="76"/>
      <c r="Q470" s="76"/>
      <c r="R470" s="67"/>
      <c r="S470" s="68"/>
      <c r="T470" s="77"/>
      <c r="U470" s="78"/>
      <c r="V470" s="81"/>
      <c r="W470" s="80"/>
    </row>
    <row r="471" spans="1:23" ht="15.6" x14ac:dyDescent="0.3">
      <c r="A471" s="67"/>
      <c r="B471" s="69"/>
      <c r="C471" s="69"/>
      <c r="D471" s="69"/>
      <c r="E471" s="70"/>
      <c r="F471" s="67"/>
      <c r="G471" s="71"/>
      <c r="H471" s="119"/>
      <c r="I471" s="133"/>
      <c r="J471" s="134"/>
      <c r="K471" s="125"/>
      <c r="L471" s="74"/>
      <c r="M471" s="75"/>
      <c r="N471" s="76"/>
      <c r="O471" s="76"/>
      <c r="P471" s="76"/>
      <c r="Q471" s="76"/>
      <c r="R471" s="67"/>
      <c r="S471" s="68"/>
      <c r="T471" s="77"/>
      <c r="U471" s="78"/>
      <c r="V471" s="63"/>
      <c r="W471" s="80"/>
    </row>
    <row r="472" spans="1:23" ht="15.6" x14ac:dyDescent="0.3">
      <c r="A472" s="67"/>
      <c r="B472" s="69"/>
      <c r="C472" s="69"/>
      <c r="D472" s="69"/>
      <c r="E472" s="70"/>
      <c r="F472" s="67"/>
      <c r="G472" s="71"/>
      <c r="H472" s="119"/>
      <c r="I472" s="133"/>
      <c r="J472" s="134"/>
      <c r="K472" s="125"/>
      <c r="L472" s="74"/>
      <c r="M472" s="75"/>
      <c r="N472" s="76"/>
      <c r="O472" s="76"/>
      <c r="P472" s="76"/>
      <c r="Q472" s="76"/>
      <c r="R472" s="67"/>
      <c r="S472" s="68"/>
      <c r="T472" s="77"/>
      <c r="U472" s="78"/>
      <c r="V472" s="81"/>
      <c r="W472" s="80"/>
    </row>
    <row r="473" spans="1:23" ht="15.6" x14ac:dyDescent="0.3">
      <c r="A473" s="67"/>
      <c r="B473" s="69"/>
      <c r="C473" s="69"/>
      <c r="D473" s="69"/>
      <c r="E473" s="70"/>
      <c r="F473" s="67"/>
      <c r="G473" s="71"/>
      <c r="H473" s="119"/>
      <c r="I473" s="135"/>
      <c r="J473" s="134"/>
      <c r="K473" s="125"/>
      <c r="L473" s="74"/>
      <c r="M473" s="75"/>
      <c r="N473" s="76"/>
      <c r="O473" s="76"/>
      <c r="P473" s="76"/>
      <c r="Q473" s="76"/>
      <c r="R473" s="67"/>
      <c r="S473" s="68"/>
      <c r="T473" s="77"/>
      <c r="U473" s="78"/>
      <c r="V473" s="81"/>
      <c r="W473" s="80"/>
    </row>
    <row r="474" spans="1:23" ht="15.6" x14ac:dyDescent="0.3">
      <c r="A474" s="67"/>
      <c r="B474" s="69"/>
      <c r="C474" s="69"/>
      <c r="D474" s="69"/>
      <c r="E474" s="70"/>
      <c r="F474" s="67"/>
      <c r="G474" s="71"/>
      <c r="H474" s="119"/>
      <c r="I474" s="135"/>
      <c r="J474" s="134"/>
      <c r="K474" s="125"/>
      <c r="L474" s="74"/>
      <c r="M474" s="75"/>
      <c r="N474" s="76"/>
      <c r="O474" s="76"/>
      <c r="P474" s="76"/>
      <c r="Q474" s="76"/>
      <c r="R474" s="67"/>
      <c r="S474" s="68"/>
      <c r="T474" s="77"/>
      <c r="U474" s="78"/>
      <c r="V474" s="81"/>
      <c r="W474" s="80"/>
    </row>
    <row r="475" spans="1:23" ht="15.6" x14ac:dyDescent="0.3">
      <c r="A475" s="67"/>
      <c r="B475" s="69"/>
      <c r="C475" s="69"/>
      <c r="D475" s="69"/>
      <c r="E475" s="70"/>
      <c r="F475" s="67"/>
      <c r="G475" s="71"/>
      <c r="H475" s="119"/>
      <c r="I475" s="133"/>
      <c r="J475" s="134"/>
      <c r="K475" s="125"/>
      <c r="L475" s="74"/>
      <c r="M475" s="75"/>
      <c r="N475" s="76"/>
      <c r="O475" s="76"/>
      <c r="P475" s="76"/>
      <c r="Q475" s="76"/>
      <c r="R475" s="67"/>
      <c r="S475" s="68"/>
      <c r="T475" s="77"/>
      <c r="U475" s="78"/>
      <c r="V475" s="81"/>
      <c r="W475" s="80"/>
    </row>
    <row r="476" spans="1:23" ht="15.6" x14ac:dyDescent="0.3">
      <c r="A476" s="67"/>
      <c r="B476" s="69"/>
      <c r="C476" s="69"/>
      <c r="D476" s="69"/>
      <c r="E476" s="70"/>
      <c r="F476" s="67"/>
      <c r="G476" s="71"/>
      <c r="H476" s="119"/>
      <c r="I476" s="133"/>
      <c r="J476" s="134"/>
      <c r="K476" s="125"/>
      <c r="L476" s="74"/>
      <c r="M476" s="75"/>
      <c r="N476" s="76"/>
      <c r="O476" s="76"/>
      <c r="P476" s="76"/>
      <c r="Q476" s="76"/>
      <c r="R476" s="67"/>
      <c r="S476" s="68"/>
      <c r="T476" s="77"/>
      <c r="U476" s="78"/>
      <c r="V476" s="81"/>
      <c r="W476" s="80"/>
    </row>
    <row r="477" spans="1:23" ht="15.6" x14ac:dyDescent="0.3">
      <c r="A477" s="67"/>
      <c r="B477" s="69"/>
      <c r="C477" s="69"/>
      <c r="D477" s="69"/>
      <c r="E477" s="70"/>
      <c r="F477" s="67"/>
      <c r="G477" s="71"/>
      <c r="H477" s="119"/>
      <c r="I477" s="133"/>
      <c r="J477" s="134"/>
      <c r="K477" s="125"/>
      <c r="L477" s="74"/>
      <c r="M477" s="75"/>
      <c r="N477" s="76"/>
      <c r="O477" s="76"/>
      <c r="P477" s="76"/>
      <c r="Q477" s="76"/>
      <c r="R477" s="67"/>
      <c r="S477" s="68"/>
      <c r="T477" s="77"/>
      <c r="U477" s="78"/>
      <c r="V477" s="81"/>
      <c r="W477" s="80"/>
    </row>
    <row r="478" spans="1:23" ht="15.6" x14ac:dyDescent="0.3">
      <c r="A478" s="67"/>
      <c r="B478" s="69"/>
      <c r="C478" s="69"/>
      <c r="D478" s="69"/>
      <c r="E478" s="70"/>
      <c r="F478" s="67"/>
      <c r="G478" s="71"/>
      <c r="H478" s="119"/>
      <c r="I478" s="133"/>
      <c r="J478" s="134"/>
      <c r="K478" s="125"/>
      <c r="L478" s="74"/>
      <c r="M478" s="75"/>
      <c r="N478" s="76"/>
      <c r="O478" s="76"/>
      <c r="P478" s="76"/>
      <c r="Q478" s="76"/>
      <c r="R478" s="67"/>
      <c r="S478" s="68"/>
      <c r="T478" s="77"/>
      <c r="U478" s="78"/>
      <c r="V478" s="81"/>
      <c r="W478" s="80"/>
    </row>
    <row r="479" spans="1:23" ht="15.6" x14ac:dyDescent="0.3">
      <c r="A479" s="67"/>
      <c r="B479" s="69"/>
      <c r="C479" s="69"/>
      <c r="D479" s="69"/>
      <c r="E479" s="70"/>
      <c r="F479" s="67"/>
      <c r="G479" s="71"/>
      <c r="H479" s="119"/>
      <c r="I479" s="133"/>
      <c r="J479" s="134"/>
      <c r="K479" s="125"/>
      <c r="L479" s="74"/>
      <c r="M479" s="75"/>
      <c r="N479" s="76"/>
      <c r="O479" s="76"/>
      <c r="P479" s="76"/>
      <c r="Q479" s="76"/>
      <c r="R479" s="67"/>
      <c r="S479" s="68"/>
      <c r="T479" s="77"/>
      <c r="U479" s="78"/>
      <c r="V479" s="81"/>
      <c r="W479" s="80"/>
    </row>
    <row r="480" spans="1:23" ht="15.6" x14ac:dyDescent="0.3">
      <c r="A480" s="67"/>
      <c r="B480" s="69"/>
      <c r="C480" s="69"/>
      <c r="D480" s="69"/>
      <c r="E480" s="70"/>
      <c r="F480" s="67"/>
      <c r="G480" s="71"/>
      <c r="H480" s="119"/>
      <c r="I480" s="135"/>
      <c r="J480" s="134"/>
      <c r="K480" s="125"/>
      <c r="L480" s="74"/>
      <c r="M480" s="75"/>
      <c r="N480" s="76"/>
      <c r="O480" s="76"/>
      <c r="P480" s="76"/>
      <c r="Q480" s="76"/>
      <c r="R480" s="67"/>
      <c r="S480" s="68"/>
      <c r="T480" s="77"/>
      <c r="U480" s="78"/>
      <c r="V480" s="81"/>
      <c r="W480" s="80"/>
    </row>
    <row r="481" spans="1:23" ht="15.6" x14ac:dyDescent="0.3">
      <c r="A481" s="67"/>
      <c r="B481" s="69"/>
      <c r="C481" s="69"/>
      <c r="D481" s="69"/>
      <c r="E481" s="70"/>
      <c r="F481" s="67"/>
      <c r="G481" s="71"/>
      <c r="H481" s="119"/>
      <c r="I481" s="133"/>
      <c r="J481" s="134"/>
      <c r="K481" s="125"/>
      <c r="L481" s="74"/>
      <c r="M481" s="75"/>
      <c r="N481" s="76"/>
      <c r="O481" s="76"/>
      <c r="P481" s="76"/>
      <c r="Q481" s="76"/>
      <c r="R481" s="67"/>
      <c r="S481" s="68"/>
      <c r="T481" s="77"/>
      <c r="U481" s="78"/>
      <c r="V481" s="81"/>
      <c r="W481" s="80"/>
    </row>
    <row r="482" spans="1:23" ht="15.6" x14ac:dyDescent="0.3">
      <c r="A482" s="67"/>
      <c r="B482" s="69"/>
      <c r="C482" s="69"/>
      <c r="D482" s="69"/>
      <c r="E482" s="70"/>
      <c r="F482" s="67"/>
      <c r="G482" s="71"/>
      <c r="H482" s="119"/>
      <c r="I482" s="133"/>
      <c r="J482" s="134"/>
      <c r="K482" s="125"/>
      <c r="L482" s="74"/>
      <c r="M482" s="75"/>
      <c r="N482" s="76"/>
      <c r="O482" s="76"/>
      <c r="P482" s="76"/>
      <c r="Q482" s="76"/>
      <c r="R482" s="67"/>
      <c r="S482" s="68"/>
      <c r="T482" s="77"/>
      <c r="U482" s="78"/>
      <c r="V482" s="81"/>
      <c r="W482" s="80"/>
    </row>
    <row r="483" spans="1:23" ht="15.6" x14ac:dyDescent="0.3">
      <c r="A483" s="67"/>
      <c r="B483" s="69"/>
      <c r="C483" s="69"/>
      <c r="D483" s="69"/>
      <c r="E483" s="70"/>
      <c r="F483" s="67"/>
      <c r="G483" s="71"/>
      <c r="H483" s="119"/>
      <c r="I483" s="133"/>
      <c r="J483" s="134"/>
      <c r="K483" s="125"/>
      <c r="L483" s="74"/>
      <c r="M483" s="75"/>
      <c r="N483" s="76"/>
      <c r="O483" s="76"/>
      <c r="P483" s="76"/>
      <c r="Q483" s="76"/>
      <c r="R483" s="67"/>
      <c r="S483" s="68"/>
      <c r="T483" s="77"/>
      <c r="U483" s="78"/>
      <c r="V483" s="81"/>
      <c r="W483" s="80"/>
    </row>
    <row r="484" spans="1:23" ht="15.6" x14ac:dyDescent="0.3">
      <c r="A484" s="67"/>
      <c r="B484" s="69"/>
      <c r="C484" s="69"/>
      <c r="D484" s="69"/>
      <c r="E484" s="70"/>
      <c r="F484" s="67"/>
      <c r="G484" s="71"/>
      <c r="H484" s="119"/>
      <c r="I484" s="133"/>
      <c r="J484" s="134"/>
      <c r="K484" s="125"/>
      <c r="L484" s="74"/>
      <c r="M484" s="75"/>
      <c r="N484" s="76"/>
      <c r="O484" s="76"/>
      <c r="P484" s="76"/>
      <c r="Q484" s="76"/>
      <c r="R484" s="67"/>
      <c r="S484" s="68"/>
      <c r="T484" s="77"/>
      <c r="U484" s="78"/>
      <c r="V484" s="81"/>
      <c r="W484" s="80"/>
    </row>
    <row r="485" spans="1:23" ht="15.6" x14ac:dyDescent="0.3">
      <c r="A485" s="67"/>
      <c r="B485" s="69"/>
      <c r="C485" s="69"/>
      <c r="D485" s="69"/>
      <c r="E485" s="70"/>
      <c r="F485" s="67"/>
      <c r="G485" s="71"/>
      <c r="H485" s="119"/>
      <c r="I485" s="133"/>
      <c r="J485" s="134"/>
      <c r="K485" s="125"/>
      <c r="L485" s="74"/>
      <c r="M485" s="75"/>
      <c r="N485" s="76"/>
      <c r="O485" s="76"/>
      <c r="P485" s="76"/>
      <c r="Q485" s="76"/>
      <c r="R485" s="67"/>
      <c r="S485" s="68"/>
      <c r="T485" s="77"/>
      <c r="U485" s="78"/>
      <c r="V485" s="81"/>
      <c r="W485" s="80"/>
    </row>
    <row r="486" spans="1:23" ht="15.6" x14ac:dyDescent="0.3">
      <c r="A486" s="67"/>
      <c r="B486" s="69"/>
      <c r="C486" s="69"/>
      <c r="D486" s="69"/>
      <c r="E486" s="70"/>
      <c r="F486" s="67"/>
      <c r="G486" s="71"/>
      <c r="H486" s="119"/>
      <c r="I486" s="135"/>
      <c r="J486" s="134"/>
      <c r="K486" s="125"/>
      <c r="L486" s="74"/>
      <c r="M486" s="75"/>
      <c r="N486" s="76"/>
      <c r="O486" s="76"/>
      <c r="P486" s="76"/>
      <c r="Q486" s="76"/>
      <c r="R486" s="67"/>
      <c r="S486" s="68"/>
      <c r="T486" s="77"/>
      <c r="U486" s="78"/>
      <c r="V486" s="81"/>
      <c r="W486" s="80"/>
    </row>
    <row r="487" spans="1:23" ht="15.6" x14ac:dyDescent="0.3">
      <c r="A487" s="67"/>
      <c r="B487" s="69"/>
      <c r="C487" s="69"/>
      <c r="D487" s="69"/>
      <c r="E487" s="70"/>
      <c r="F487" s="67"/>
      <c r="G487" s="71"/>
      <c r="H487" s="119"/>
      <c r="I487" s="133"/>
      <c r="J487" s="134"/>
      <c r="K487" s="127"/>
      <c r="L487" s="74"/>
      <c r="M487" s="75"/>
      <c r="N487" s="76"/>
      <c r="O487" s="76"/>
      <c r="P487" s="76"/>
      <c r="Q487" s="76"/>
      <c r="R487" s="67"/>
      <c r="S487" s="68"/>
      <c r="T487" s="77"/>
      <c r="U487" s="78"/>
      <c r="V487" s="81"/>
      <c r="W487" s="80"/>
    </row>
    <row r="488" spans="1:23" ht="15.6" x14ac:dyDescent="0.3">
      <c r="A488" s="67"/>
      <c r="B488" s="69"/>
      <c r="C488" s="69"/>
      <c r="D488" s="69"/>
      <c r="E488" s="70"/>
      <c r="F488" s="67"/>
      <c r="G488" s="71"/>
      <c r="H488" s="119"/>
      <c r="I488" s="135"/>
      <c r="J488" s="134"/>
      <c r="K488" s="125"/>
      <c r="L488" s="74"/>
      <c r="M488" s="75"/>
      <c r="N488" s="76"/>
      <c r="O488" s="76"/>
      <c r="P488" s="76"/>
      <c r="Q488" s="76"/>
      <c r="R488" s="67"/>
      <c r="S488" s="68"/>
      <c r="T488" s="77"/>
      <c r="U488" s="78"/>
      <c r="V488" s="63"/>
      <c r="W488" s="80"/>
    </row>
    <row r="489" spans="1:23" ht="15.6" x14ac:dyDescent="0.3">
      <c r="A489" s="67"/>
      <c r="B489" s="69"/>
      <c r="C489" s="69"/>
      <c r="D489" s="69"/>
      <c r="E489" s="70"/>
      <c r="F489" s="67"/>
      <c r="G489" s="71"/>
      <c r="H489" s="119"/>
      <c r="I489" s="133"/>
      <c r="J489" s="134"/>
      <c r="K489" s="125"/>
      <c r="L489" s="74"/>
      <c r="M489" s="75"/>
      <c r="N489" s="76"/>
      <c r="O489" s="76"/>
      <c r="P489" s="76"/>
      <c r="Q489" s="76"/>
      <c r="R489" s="67"/>
      <c r="S489" s="68"/>
      <c r="T489" s="77"/>
      <c r="U489" s="78"/>
      <c r="V489" s="81"/>
      <c r="W489" s="80"/>
    </row>
    <row r="490" spans="1:23" ht="15.6" x14ac:dyDescent="0.3">
      <c r="A490" s="67"/>
      <c r="B490" s="69"/>
      <c r="C490" s="69"/>
      <c r="D490" s="69"/>
      <c r="E490" s="70"/>
      <c r="F490" s="67"/>
      <c r="G490" s="71"/>
      <c r="H490" s="119"/>
      <c r="I490" s="133"/>
      <c r="J490" s="134"/>
      <c r="K490" s="125"/>
      <c r="L490" s="74"/>
      <c r="M490" s="85"/>
      <c r="N490" s="76"/>
      <c r="O490" s="76"/>
      <c r="P490" s="76"/>
      <c r="Q490" s="76"/>
      <c r="R490" s="67"/>
      <c r="S490" s="68"/>
      <c r="T490" s="77"/>
      <c r="U490" s="78"/>
      <c r="V490" s="81"/>
      <c r="W490" s="80"/>
    </row>
    <row r="491" spans="1:23" ht="15.6" x14ac:dyDescent="0.3">
      <c r="A491" s="93"/>
      <c r="B491" s="148"/>
      <c r="C491" s="69"/>
      <c r="D491" s="69"/>
      <c r="E491" s="95"/>
      <c r="F491" s="67"/>
      <c r="G491" s="71"/>
      <c r="H491" s="121"/>
      <c r="I491" s="133"/>
      <c r="J491" s="134"/>
      <c r="K491" s="125"/>
      <c r="L491" s="74"/>
      <c r="M491" s="96"/>
      <c r="N491" s="76"/>
      <c r="O491" s="76"/>
      <c r="P491" s="83"/>
      <c r="Q491" s="83"/>
      <c r="R491" s="67"/>
      <c r="S491" s="68"/>
      <c r="T491" s="77"/>
      <c r="U491" s="78"/>
      <c r="V491" s="81"/>
      <c r="W491" s="80"/>
    </row>
    <row r="492" spans="1:23" ht="15.6" x14ac:dyDescent="0.3">
      <c r="A492" s="67"/>
      <c r="B492" s="69"/>
      <c r="C492" s="69"/>
      <c r="D492" s="69"/>
      <c r="E492" s="70"/>
      <c r="F492" s="67"/>
      <c r="G492" s="71"/>
      <c r="H492" s="121"/>
      <c r="I492" s="133"/>
      <c r="J492" s="134"/>
      <c r="K492" s="125"/>
      <c r="L492" s="74"/>
      <c r="M492" s="75"/>
      <c r="N492" s="76"/>
      <c r="O492" s="76"/>
      <c r="P492" s="83"/>
      <c r="Q492" s="83"/>
      <c r="R492" s="67"/>
      <c r="S492" s="68"/>
      <c r="T492" s="77"/>
      <c r="U492" s="78"/>
      <c r="V492" s="81"/>
      <c r="W492" s="80"/>
    </row>
    <row r="493" spans="1:23" ht="15.6" x14ac:dyDescent="0.3">
      <c r="A493" s="67"/>
      <c r="B493" s="69"/>
      <c r="C493" s="69"/>
      <c r="D493" s="69"/>
      <c r="E493" s="70"/>
      <c r="F493" s="67"/>
      <c r="G493" s="71"/>
      <c r="H493" s="121"/>
      <c r="I493" s="133"/>
      <c r="J493" s="134"/>
      <c r="K493" s="125"/>
      <c r="L493" s="74"/>
      <c r="M493" s="75"/>
      <c r="N493" s="76"/>
      <c r="O493" s="76"/>
      <c r="P493" s="83"/>
      <c r="Q493" s="83"/>
      <c r="R493" s="67"/>
      <c r="S493" s="68"/>
      <c r="T493" s="77"/>
      <c r="U493" s="78"/>
      <c r="V493" s="81"/>
      <c r="W493" s="80"/>
    </row>
    <row r="494" spans="1:23" ht="15.6" x14ac:dyDescent="0.3">
      <c r="A494" s="67"/>
      <c r="B494" s="69"/>
      <c r="C494" s="69"/>
      <c r="D494" s="69"/>
      <c r="E494" s="70"/>
      <c r="F494" s="67"/>
      <c r="G494" s="71"/>
      <c r="H494" s="119"/>
      <c r="I494" s="135"/>
      <c r="J494" s="134"/>
      <c r="K494" s="125"/>
      <c r="L494" s="74"/>
      <c r="M494" s="75"/>
      <c r="N494" s="76"/>
      <c r="O494" s="76"/>
      <c r="P494" s="76"/>
      <c r="Q494" s="76"/>
      <c r="R494" s="67"/>
      <c r="S494" s="68"/>
      <c r="T494" s="77"/>
      <c r="U494" s="78"/>
      <c r="V494" s="81"/>
      <c r="W494" s="80"/>
    </row>
    <row r="495" spans="1:23" ht="15.6" x14ac:dyDescent="0.3">
      <c r="A495" s="67"/>
      <c r="B495" s="69"/>
      <c r="C495" s="69"/>
      <c r="D495" s="69"/>
      <c r="E495" s="70"/>
      <c r="F495" s="67"/>
      <c r="G495" s="71"/>
      <c r="H495" s="121"/>
      <c r="I495" s="133"/>
      <c r="J495" s="134"/>
      <c r="K495" s="125"/>
      <c r="L495" s="74"/>
      <c r="M495" s="75"/>
      <c r="N495" s="76"/>
      <c r="O495" s="76"/>
      <c r="P495" s="83"/>
      <c r="Q495" s="76"/>
      <c r="R495" s="67"/>
      <c r="S495" s="68"/>
      <c r="T495" s="77"/>
      <c r="U495" s="78"/>
      <c r="V495" s="81"/>
      <c r="W495" s="80"/>
    </row>
    <row r="496" spans="1:23" ht="15.6" x14ac:dyDescent="0.3">
      <c r="A496" s="67"/>
      <c r="B496" s="69"/>
      <c r="C496" s="69"/>
      <c r="D496" s="69"/>
      <c r="E496" s="70"/>
      <c r="F496" s="67"/>
      <c r="G496" s="71"/>
      <c r="H496" s="119"/>
      <c r="I496" s="135"/>
      <c r="J496" s="134"/>
      <c r="K496" s="125"/>
      <c r="L496" s="74"/>
      <c r="M496" s="75"/>
      <c r="N496" s="76"/>
      <c r="O496" s="76"/>
      <c r="P496" s="76"/>
      <c r="Q496" s="76"/>
      <c r="R496" s="67"/>
      <c r="S496" s="68"/>
      <c r="T496" s="77"/>
      <c r="U496" s="78"/>
      <c r="V496" s="81"/>
      <c r="W496" s="80"/>
    </row>
    <row r="497" spans="1:23" ht="15.6" x14ac:dyDescent="0.3">
      <c r="A497" s="67"/>
      <c r="B497" s="69"/>
      <c r="C497" s="69"/>
      <c r="D497" s="69"/>
      <c r="E497" s="70"/>
      <c r="F497" s="67"/>
      <c r="G497" s="71"/>
      <c r="H497" s="119"/>
      <c r="I497" s="133"/>
      <c r="J497" s="134"/>
      <c r="K497" s="125"/>
      <c r="L497" s="74"/>
      <c r="M497" s="75"/>
      <c r="N497" s="76"/>
      <c r="O497" s="76"/>
      <c r="P497" s="76"/>
      <c r="Q497" s="76"/>
      <c r="R497" s="67"/>
      <c r="S497" s="68"/>
      <c r="T497" s="77"/>
      <c r="U497" s="78"/>
      <c r="V497" s="81"/>
      <c r="W497" s="80"/>
    </row>
    <row r="498" spans="1:23" ht="15.6" x14ac:dyDescent="0.3">
      <c r="A498" s="67"/>
      <c r="B498" s="69"/>
      <c r="C498" s="69"/>
      <c r="D498" s="69"/>
      <c r="E498" s="70"/>
      <c r="F498" s="67"/>
      <c r="G498" s="71"/>
      <c r="H498" s="121"/>
      <c r="I498" s="135"/>
      <c r="J498" s="134"/>
      <c r="K498" s="125"/>
      <c r="L498" s="74"/>
      <c r="M498" s="75"/>
      <c r="N498" s="76"/>
      <c r="O498" s="76"/>
      <c r="P498" s="83"/>
      <c r="Q498" s="76"/>
      <c r="R498" s="67"/>
      <c r="S498" s="68"/>
      <c r="T498" s="77"/>
      <c r="U498" s="78"/>
      <c r="V498" s="81"/>
      <c r="W498" s="80"/>
    </row>
    <row r="499" spans="1:23" ht="15.6" x14ac:dyDescent="0.3">
      <c r="A499" s="67"/>
      <c r="B499" s="69"/>
      <c r="C499" s="69"/>
      <c r="D499" s="69"/>
      <c r="E499" s="70"/>
      <c r="F499" s="67"/>
      <c r="G499" s="71"/>
      <c r="H499" s="121"/>
      <c r="I499" s="135"/>
      <c r="J499" s="134"/>
      <c r="K499" s="125"/>
      <c r="L499" s="74"/>
      <c r="M499" s="75"/>
      <c r="N499" s="76"/>
      <c r="O499" s="76"/>
      <c r="P499" s="83"/>
      <c r="Q499" s="76"/>
      <c r="R499" s="67"/>
      <c r="S499" s="68"/>
      <c r="T499" s="77"/>
      <c r="U499" s="78"/>
      <c r="V499" s="81"/>
      <c r="W499" s="80"/>
    </row>
    <row r="500" spans="1:23" ht="15.6" x14ac:dyDescent="0.3">
      <c r="A500" s="67"/>
      <c r="B500" s="69"/>
      <c r="C500" s="69"/>
      <c r="D500" s="69"/>
      <c r="E500" s="70"/>
      <c r="F500" s="67"/>
      <c r="G500" s="71"/>
      <c r="H500" s="121"/>
      <c r="I500" s="133"/>
      <c r="J500" s="134"/>
      <c r="K500" s="125"/>
      <c r="L500" s="74"/>
      <c r="M500" s="75"/>
      <c r="N500" s="76"/>
      <c r="O500" s="76"/>
      <c r="P500" s="83"/>
      <c r="Q500" s="76"/>
      <c r="R500" s="67"/>
      <c r="S500" s="68"/>
      <c r="T500" s="77"/>
      <c r="U500" s="78"/>
      <c r="V500" s="81"/>
      <c r="W500" s="80"/>
    </row>
    <row r="501" spans="1:23" ht="15.6" x14ac:dyDescent="0.3">
      <c r="A501" s="67"/>
      <c r="B501" s="69"/>
      <c r="C501" s="69"/>
      <c r="D501" s="69"/>
      <c r="E501" s="70"/>
      <c r="F501" s="67"/>
      <c r="G501" s="71"/>
      <c r="H501" s="119"/>
      <c r="I501" s="133"/>
      <c r="J501" s="134"/>
      <c r="K501" s="125"/>
      <c r="L501" s="74"/>
      <c r="M501" s="75"/>
      <c r="N501" s="76"/>
      <c r="O501" s="76"/>
      <c r="P501" s="76"/>
      <c r="Q501" s="76"/>
      <c r="R501" s="67"/>
      <c r="S501" s="68"/>
      <c r="T501" s="77"/>
      <c r="U501" s="78"/>
      <c r="V501" s="81"/>
      <c r="W501" s="80"/>
    </row>
    <row r="502" spans="1:23" ht="15.6" x14ac:dyDescent="0.3">
      <c r="A502" s="67"/>
      <c r="B502" s="69"/>
      <c r="C502" s="69"/>
      <c r="D502" s="69"/>
      <c r="E502" s="70"/>
      <c r="F502" s="67"/>
      <c r="G502" s="71"/>
      <c r="H502" s="119"/>
      <c r="I502" s="133"/>
      <c r="J502" s="134"/>
      <c r="K502" s="125"/>
      <c r="L502" s="74"/>
      <c r="M502" s="75"/>
      <c r="N502" s="76"/>
      <c r="O502" s="76"/>
      <c r="P502" s="76"/>
      <c r="Q502" s="76"/>
      <c r="R502" s="67"/>
      <c r="S502" s="68"/>
      <c r="T502" s="77"/>
      <c r="U502" s="78"/>
      <c r="V502" s="81"/>
      <c r="W502" s="80"/>
    </row>
    <row r="503" spans="1:23" ht="15.6" x14ac:dyDescent="0.3">
      <c r="A503" s="67"/>
      <c r="B503" s="69"/>
      <c r="C503" s="69"/>
      <c r="D503" s="69"/>
      <c r="E503" s="70"/>
      <c r="F503" s="67"/>
      <c r="G503" s="71"/>
      <c r="H503" s="119"/>
      <c r="I503" s="133"/>
      <c r="J503" s="134"/>
      <c r="K503" s="125"/>
      <c r="L503" s="74"/>
      <c r="M503" s="75"/>
      <c r="N503" s="76"/>
      <c r="O503" s="76"/>
      <c r="P503" s="83"/>
      <c r="Q503" s="76"/>
      <c r="R503" s="67"/>
      <c r="S503" s="68"/>
      <c r="T503" s="77"/>
      <c r="U503" s="78"/>
      <c r="V503" s="81"/>
      <c r="W503" s="80"/>
    </row>
    <row r="504" spans="1:23" ht="15.6" x14ac:dyDescent="0.3">
      <c r="A504" s="67"/>
      <c r="B504" s="69"/>
      <c r="C504" s="69"/>
      <c r="D504" s="69"/>
      <c r="E504" s="70"/>
      <c r="F504" s="67"/>
      <c r="G504" s="71"/>
      <c r="H504" s="119"/>
      <c r="I504" s="133"/>
      <c r="J504" s="134"/>
      <c r="K504" s="125"/>
      <c r="L504" s="74"/>
      <c r="M504" s="75"/>
      <c r="N504" s="76"/>
      <c r="O504" s="76"/>
      <c r="P504" s="83"/>
      <c r="Q504" s="83"/>
      <c r="R504" s="67"/>
      <c r="S504" s="68"/>
      <c r="T504" s="77"/>
      <c r="U504" s="78"/>
      <c r="V504" s="81"/>
      <c r="W504" s="80"/>
    </row>
    <row r="505" spans="1:23" ht="15.6" x14ac:dyDescent="0.3">
      <c r="A505" s="67"/>
      <c r="B505" s="69"/>
      <c r="C505" s="69"/>
      <c r="D505" s="69"/>
      <c r="E505" s="70"/>
      <c r="F505" s="67"/>
      <c r="G505" s="71"/>
      <c r="K505" s="125"/>
      <c r="L505" s="74"/>
      <c r="M505" s="75"/>
      <c r="N505" s="76"/>
      <c r="O505" s="76"/>
      <c r="P505" s="83"/>
      <c r="Q505" s="83"/>
      <c r="R505" s="67"/>
      <c r="S505" s="68"/>
      <c r="T505" s="77"/>
      <c r="U505" s="78"/>
      <c r="V505" s="81"/>
      <c r="W505" s="80"/>
    </row>
    <row r="506" spans="1:23" ht="15.6" x14ac:dyDescent="0.3">
      <c r="A506" s="67"/>
      <c r="B506" s="69"/>
      <c r="C506" s="69"/>
      <c r="D506" s="69"/>
      <c r="E506" s="70"/>
      <c r="F506" s="67"/>
      <c r="G506" s="71"/>
      <c r="K506" s="125"/>
      <c r="L506" s="74"/>
      <c r="M506" s="75"/>
      <c r="N506" s="76"/>
      <c r="O506" s="76"/>
      <c r="P506" s="83"/>
      <c r="Q506" s="83"/>
      <c r="R506" s="67"/>
      <c r="S506" s="68"/>
      <c r="T506" s="77"/>
      <c r="U506" s="78"/>
      <c r="V506" s="81"/>
      <c r="W506" s="80"/>
    </row>
    <row r="507" spans="1:23" ht="15.6" x14ac:dyDescent="0.3">
      <c r="A507" s="67"/>
      <c r="B507" s="69"/>
      <c r="C507" s="69"/>
      <c r="D507" s="69"/>
      <c r="E507" s="70"/>
      <c r="F507" s="67"/>
      <c r="G507" s="71"/>
      <c r="H507" s="119"/>
      <c r="I507" s="133"/>
      <c r="J507" s="134"/>
      <c r="K507" s="125"/>
      <c r="L507" s="74"/>
      <c r="M507" s="75"/>
      <c r="N507" s="76"/>
      <c r="O507" s="76"/>
      <c r="P507" s="83"/>
      <c r="Q507" s="83"/>
      <c r="R507" s="67"/>
      <c r="S507" s="68"/>
      <c r="T507" s="77"/>
      <c r="U507" s="78"/>
      <c r="V507" s="81"/>
      <c r="W507" s="80"/>
    </row>
    <row r="508" spans="1:23" ht="15.6" x14ac:dyDescent="0.3">
      <c r="A508" s="67"/>
      <c r="B508" s="69"/>
      <c r="C508" s="69"/>
      <c r="D508" s="69"/>
      <c r="E508" s="70"/>
      <c r="F508" s="67"/>
      <c r="G508" s="71"/>
      <c r="H508" s="119"/>
      <c r="I508" s="133"/>
      <c r="J508" s="134"/>
      <c r="K508" s="125"/>
      <c r="L508" s="74"/>
      <c r="M508" s="75"/>
      <c r="N508" s="76"/>
      <c r="O508" s="76"/>
      <c r="P508" s="76"/>
      <c r="Q508" s="76"/>
      <c r="R508" s="67"/>
      <c r="S508" s="68"/>
      <c r="T508" s="77"/>
      <c r="U508" s="78"/>
      <c r="V508" s="81"/>
      <c r="W508" s="80"/>
    </row>
    <row r="509" spans="1:23" ht="15.6" x14ac:dyDescent="0.3">
      <c r="A509" s="67"/>
      <c r="B509" s="69"/>
      <c r="C509" s="69"/>
      <c r="D509" s="69"/>
      <c r="E509" s="70"/>
      <c r="F509" s="67"/>
      <c r="G509" s="71"/>
      <c r="H509" s="119"/>
      <c r="I509" s="133"/>
      <c r="J509" s="134"/>
      <c r="K509" s="127"/>
      <c r="L509" s="74"/>
      <c r="M509" s="75"/>
      <c r="N509" s="76"/>
      <c r="O509" s="76"/>
      <c r="P509" s="76"/>
      <c r="Q509" s="76"/>
      <c r="R509" s="67"/>
      <c r="S509" s="68"/>
      <c r="T509" s="77"/>
      <c r="U509" s="78"/>
      <c r="V509" s="81"/>
      <c r="W509" s="80"/>
    </row>
    <row r="510" spans="1:23" ht="15.6" x14ac:dyDescent="0.3">
      <c r="A510" s="67"/>
      <c r="B510" s="69"/>
      <c r="C510" s="69"/>
      <c r="D510" s="69"/>
      <c r="E510" s="70"/>
      <c r="F510" s="67"/>
      <c r="G510" s="71"/>
      <c r="H510" s="119"/>
      <c r="I510" s="133"/>
      <c r="J510" s="134"/>
      <c r="K510" s="125"/>
      <c r="L510" s="74"/>
      <c r="M510" s="75"/>
      <c r="N510" s="76"/>
      <c r="O510" s="76"/>
      <c r="P510" s="83"/>
      <c r="Q510" s="83"/>
      <c r="R510" s="67"/>
      <c r="S510" s="68"/>
      <c r="T510" s="77"/>
      <c r="U510" s="78"/>
      <c r="V510" s="81"/>
      <c r="W510" s="80"/>
    </row>
    <row r="511" spans="1:23" ht="15.6" x14ac:dyDescent="0.3">
      <c r="A511" s="67"/>
      <c r="B511" s="69"/>
      <c r="C511" s="69"/>
      <c r="D511" s="69"/>
      <c r="E511" s="70"/>
      <c r="F511" s="67"/>
      <c r="G511" s="71"/>
      <c r="H511" s="119"/>
      <c r="I511" s="133"/>
      <c r="J511" s="134"/>
      <c r="K511" s="125"/>
      <c r="L511" s="74"/>
      <c r="M511" s="75"/>
      <c r="N511" s="76"/>
      <c r="O511" s="76"/>
      <c r="P511" s="83"/>
      <c r="Q511" s="83"/>
      <c r="R511" s="67"/>
      <c r="S511" s="68"/>
      <c r="T511" s="77"/>
      <c r="U511" s="78"/>
      <c r="V511" s="81"/>
      <c r="W511" s="80"/>
    </row>
    <row r="512" spans="1:23" ht="15.6" x14ac:dyDescent="0.3">
      <c r="A512" s="67"/>
      <c r="B512" s="69"/>
      <c r="C512" s="69"/>
      <c r="D512" s="69"/>
      <c r="E512" s="70"/>
      <c r="F512" s="67"/>
      <c r="G512" s="71"/>
      <c r="H512" s="119"/>
      <c r="I512" s="135"/>
      <c r="J512" s="134"/>
      <c r="K512" s="125"/>
      <c r="L512" s="74"/>
      <c r="M512" s="75"/>
      <c r="N512" s="76"/>
      <c r="O512" s="76"/>
      <c r="P512" s="83"/>
      <c r="Q512" s="83"/>
      <c r="R512" s="67"/>
      <c r="S512" s="68"/>
      <c r="T512" s="77"/>
      <c r="U512" s="78"/>
      <c r="V512" s="81"/>
      <c r="W512" s="80"/>
    </row>
    <row r="513" spans="1:23" ht="15.6" x14ac:dyDescent="0.3">
      <c r="A513" s="93"/>
      <c r="B513" s="148"/>
      <c r="C513" s="69"/>
      <c r="D513" s="69"/>
      <c r="E513" s="95"/>
      <c r="F513" s="67"/>
      <c r="G513" s="71"/>
      <c r="H513" s="119"/>
      <c r="I513" s="133"/>
      <c r="J513" s="134"/>
      <c r="K513" s="125"/>
      <c r="L513" s="74"/>
      <c r="M513" s="96"/>
      <c r="N513" s="76"/>
      <c r="O513" s="76"/>
      <c r="P513" s="83"/>
      <c r="Q513" s="83"/>
      <c r="R513" s="67"/>
      <c r="S513" s="68"/>
      <c r="T513" s="77"/>
      <c r="U513" s="78"/>
      <c r="V513" s="81"/>
      <c r="W513" s="80"/>
    </row>
    <row r="514" spans="1:23" ht="15.6" x14ac:dyDescent="0.3">
      <c r="A514" s="67"/>
      <c r="B514" s="69"/>
      <c r="C514" s="69"/>
      <c r="D514" s="69"/>
      <c r="E514" s="70"/>
      <c r="F514" s="67"/>
      <c r="G514" s="71"/>
      <c r="H514" s="119"/>
      <c r="I514" s="133"/>
      <c r="J514" s="134"/>
      <c r="K514" s="125"/>
      <c r="L514" s="74"/>
      <c r="M514" s="75"/>
      <c r="N514" s="76"/>
      <c r="O514" s="76"/>
      <c r="P514" s="83"/>
      <c r="Q514" s="83"/>
      <c r="R514" s="67"/>
      <c r="S514" s="68"/>
      <c r="T514" s="77"/>
      <c r="U514" s="78"/>
      <c r="V514" s="81"/>
      <c r="W514" s="80"/>
    </row>
    <row r="515" spans="1:23" ht="15.6" x14ac:dyDescent="0.3">
      <c r="A515" s="67"/>
      <c r="B515" s="69"/>
      <c r="C515" s="69"/>
      <c r="D515" s="69"/>
      <c r="E515" s="70"/>
      <c r="F515" s="67"/>
      <c r="G515" s="71"/>
      <c r="H515" s="119"/>
      <c r="I515" s="133"/>
      <c r="J515" s="134"/>
      <c r="K515" s="125"/>
      <c r="L515" s="74"/>
      <c r="M515" s="75"/>
      <c r="N515" s="76"/>
      <c r="O515" s="76"/>
      <c r="P515" s="83"/>
      <c r="Q515" s="83"/>
      <c r="R515" s="67"/>
      <c r="S515" s="68"/>
      <c r="T515" s="77"/>
      <c r="U515" s="78"/>
      <c r="V515" s="81"/>
      <c r="W515" s="80"/>
    </row>
    <row r="516" spans="1:23" ht="15.6" x14ac:dyDescent="0.3">
      <c r="A516" s="67"/>
      <c r="B516" s="69"/>
      <c r="C516" s="69"/>
      <c r="D516" s="69"/>
      <c r="E516" s="70"/>
      <c r="F516" s="67"/>
      <c r="G516" s="71"/>
      <c r="H516" s="119"/>
      <c r="I516" s="135"/>
      <c r="J516" s="134"/>
      <c r="K516" s="125"/>
      <c r="L516" s="74"/>
      <c r="M516" s="75"/>
      <c r="N516" s="76"/>
      <c r="O516" s="76"/>
      <c r="P516" s="83"/>
      <c r="Q516" s="83"/>
      <c r="R516" s="67"/>
      <c r="S516" s="68"/>
      <c r="T516" s="77"/>
      <c r="U516" s="78"/>
      <c r="V516" s="81"/>
      <c r="W516" s="80"/>
    </row>
    <row r="517" spans="1:23" ht="15.6" x14ac:dyDescent="0.3">
      <c r="A517" s="67"/>
      <c r="B517" s="69"/>
      <c r="C517" s="69"/>
      <c r="D517" s="69"/>
      <c r="E517" s="70"/>
      <c r="F517" s="67"/>
      <c r="G517" s="71"/>
      <c r="H517" s="119"/>
      <c r="I517" s="133"/>
      <c r="J517" s="134"/>
      <c r="K517" s="125"/>
      <c r="L517" s="74"/>
      <c r="M517" s="75"/>
      <c r="N517" s="76"/>
      <c r="O517" s="76"/>
      <c r="P517" s="76"/>
      <c r="Q517" s="76"/>
      <c r="R517" s="67"/>
      <c r="S517" s="68"/>
      <c r="T517" s="77"/>
      <c r="U517" s="78"/>
      <c r="V517" s="81"/>
      <c r="W517" s="80"/>
    </row>
    <row r="518" spans="1:23" ht="15.6" x14ac:dyDescent="0.3">
      <c r="A518" s="67"/>
      <c r="B518" s="69"/>
      <c r="C518" s="69"/>
      <c r="D518" s="69"/>
      <c r="E518" s="70"/>
      <c r="F518" s="67"/>
      <c r="G518" s="71"/>
      <c r="H518" s="119"/>
      <c r="I518" s="133"/>
      <c r="J518" s="134"/>
      <c r="K518" s="125"/>
      <c r="L518" s="74"/>
      <c r="M518" s="75"/>
      <c r="N518" s="76"/>
      <c r="O518" s="76"/>
      <c r="P518" s="83"/>
      <c r="Q518" s="83"/>
      <c r="R518" s="67"/>
      <c r="S518" s="68"/>
      <c r="T518" s="77"/>
      <c r="U518" s="78"/>
      <c r="V518" s="81"/>
      <c r="W518" s="80"/>
    </row>
    <row r="519" spans="1:23" ht="15.6" x14ac:dyDescent="0.3">
      <c r="A519" s="67"/>
      <c r="B519" s="69"/>
      <c r="C519" s="69"/>
      <c r="D519" s="69"/>
      <c r="E519" s="70"/>
      <c r="F519" s="67"/>
      <c r="G519" s="71"/>
      <c r="H519" s="119"/>
      <c r="I519" s="133"/>
      <c r="J519" s="134"/>
      <c r="K519" s="125"/>
      <c r="L519" s="74"/>
      <c r="M519" s="75"/>
      <c r="N519" s="76"/>
      <c r="O519" s="76"/>
      <c r="P519" s="83"/>
      <c r="Q519" s="83"/>
      <c r="R519" s="67"/>
      <c r="S519" s="68"/>
      <c r="T519" s="77"/>
      <c r="U519" s="78"/>
      <c r="V519" s="81"/>
      <c r="W519" s="80"/>
    </row>
    <row r="520" spans="1:23" ht="15.6" x14ac:dyDescent="0.3">
      <c r="A520" s="67"/>
      <c r="B520" s="69"/>
      <c r="C520" s="69"/>
      <c r="D520" s="69"/>
      <c r="E520" s="70"/>
      <c r="F520" s="67"/>
      <c r="G520" s="71"/>
      <c r="H520" s="119"/>
      <c r="I520" s="133"/>
      <c r="J520" s="134"/>
      <c r="K520" s="125"/>
      <c r="L520" s="74"/>
      <c r="M520" s="75"/>
      <c r="N520" s="76"/>
      <c r="O520" s="76"/>
      <c r="P520" s="83"/>
      <c r="Q520" s="83"/>
      <c r="R520" s="67"/>
      <c r="S520" s="68"/>
      <c r="T520" s="77"/>
      <c r="U520" s="78"/>
      <c r="V520" s="81"/>
      <c r="W520" s="80"/>
    </row>
    <row r="521" spans="1:23" ht="15.6" x14ac:dyDescent="0.3">
      <c r="A521" s="67"/>
      <c r="B521" s="69"/>
      <c r="C521" s="69"/>
      <c r="D521" s="69"/>
      <c r="E521" s="70"/>
      <c r="F521" s="67"/>
      <c r="G521" s="71"/>
      <c r="H521" s="119"/>
      <c r="I521" s="135"/>
      <c r="J521" s="134"/>
      <c r="K521" s="125"/>
      <c r="L521" s="74"/>
      <c r="M521" s="75"/>
      <c r="N521" s="76"/>
      <c r="O521" s="76"/>
      <c r="P521" s="83"/>
      <c r="Q521" s="83"/>
      <c r="R521" s="67"/>
      <c r="S521" s="68"/>
      <c r="T521" s="77"/>
      <c r="U521" s="78"/>
      <c r="V521" s="81"/>
      <c r="W521" s="80"/>
    </row>
    <row r="522" spans="1:23" ht="15.6" x14ac:dyDescent="0.3">
      <c r="A522" s="67"/>
      <c r="B522" s="69"/>
      <c r="C522" s="69"/>
      <c r="D522" s="69"/>
      <c r="E522" s="70"/>
      <c r="F522" s="67"/>
      <c r="G522" s="71"/>
      <c r="H522" s="119"/>
      <c r="I522" s="133"/>
      <c r="J522" s="134"/>
      <c r="K522" s="125"/>
      <c r="L522" s="74"/>
      <c r="M522" s="75"/>
      <c r="N522" s="76"/>
      <c r="O522" s="76"/>
      <c r="P522" s="83"/>
      <c r="Q522" s="83"/>
      <c r="R522" s="67"/>
      <c r="S522" s="68"/>
      <c r="T522" s="77"/>
      <c r="U522" s="78"/>
      <c r="V522" s="81"/>
      <c r="W522" s="80"/>
    </row>
    <row r="523" spans="1:23" ht="15.6" x14ac:dyDescent="0.3">
      <c r="A523" s="67"/>
      <c r="B523" s="69"/>
      <c r="C523" s="69"/>
      <c r="D523" s="69"/>
      <c r="E523" s="70"/>
      <c r="F523" s="67"/>
      <c r="G523" s="71"/>
      <c r="H523" s="119"/>
      <c r="I523" s="133"/>
      <c r="J523" s="134"/>
      <c r="K523" s="125"/>
      <c r="L523" s="74"/>
      <c r="M523" s="75"/>
      <c r="N523" s="76"/>
      <c r="O523" s="76"/>
      <c r="P523" s="76"/>
      <c r="Q523" s="76"/>
      <c r="R523" s="67"/>
      <c r="S523" s="68"/>
      <c r="T523" s="77"/>
      <c r="U523" s="78"/>
      <c r="V523" s="81"/>
      <c r="W523" s="80"/>
    </row>
    <row r="524" spans="1:23" ht="15.6" x14ac:dyDescent="0.3">
      <c r="A524" s="67"/>
      <c r="B524" s="69"/>
      <c r="C524" s="69"/>
      <c r="D524" s="69"/>
      <c r="E524" s="70"/>
      <c r="F524" s="67"/>
      <c r="G524" s="71"/>
      <c r="H524" s="119"/>
      <c r="I524" s="135"/>
      <c r="J524" s="134"/>
      <c r="K524" s="125"/>
      <c r="L524" s="74"/>
      <c r="M524" s="75"/>
      <c r="N524" s="76"/>
      <c r="O524" s="76"/>
      <c r="P524" s="76"/>
      <c r="Q524" s="76"/>
      <c r="R524" s="67"/>
      <c r="S524" s="68"/>
      <c r="T524" s="77"/>
      <c r="U524" s="78"/>
      <c r="V524" s="81"/>
      <c r="W524" s="80"/>
    </row>
    <row r="525" spans="1:23" ht="15.6" x14ac:dyDescent="0.3">
      <c r="A525" s="67"/>
      <c r="B525" s="69"/>
      <c r="C525" s="69"/>
      <c r="D525" s="69"/>
      <c r="E525" s="70"/>
      <c r="F525" s="67"/>
      <c r="G525" s="71"/>
      <c r="H525" s="119"/>
      <c r="I525" s="135"/>
      <c r="J525" s="134"/>
      <c r="K525" s="125"/>
      <c r="L525" s="74"/>
      <c r="M525" s="75"/>
      <c r="N525" s="76"/>
      <c r="O525" s="76"/>
      <c r="P525" s="76"/>
      <c r="Q525" s="76"/>
      <c r="R525" s="67"/>
      <c r="S525" s="68"/>
      <c r="T525" s="77"/>
      <c r="U525" s="78"/>
      <c r="V525" s="81"/>
      <c r="W525" s="80"/>
    </row>
    <row r="526" spans="1:23" ht="15.6" x14ac:dyDescent="0.3">
      <c r="A526" s="67"/>
      <c r="B526" s="69"/>
      <c r="C526" s="69"/>
      <c r="D526" s="69"/>
      <c r="E526" s="70"/>
      <c r="F526" s="67"/>
      <c r="G526" s="71"/>
      <c r="H526" s="119"/>
      <c r="I526" s="133"/>
      <c r="J526" s="134"/>
      <c r="K526" s="125"/>
      <c r="L526" s="74"/>
      <c r="M526" s="75"/>
      <c r="N526" s="76"/>
      <c r="O526" s="76"/>
      <c r="P526" s="83"/>
      <c r="Q526" s="83"/>
      <c r="R526" s="67"/>
      <c r="S526" s="68"/>
      <c r="T526" s="77"/>
      <c r="U526" s="78"/>
      <c r="V526" s="81"/>
      <c r="W526" s="80"/>
    </row>
    <row r="527" spans="1:23" ht="15.6" x14ac:dyDescent="0.3">
      <c r="A527" s="67"/>
      <c r="B527" s="69"/>
      <c r="C527" s="69"/>
      <c r="D527" s="69"/>
      <c r="E527" s="70"/>
      <c r="F527" s="67"/>
      <c r="G527" s="71"/>
      <c r="H527" s="119"/>
      <c r="I527" s="133"/>
      <c r="J527" s="134"/>
      <c r="K527" s="125"/>
      <c r="L527" s="74"/>
      <c r="M527" s="75"/>
      <c r="N527" s="76"/>
      <c r="O527" s="76"/>
      <c r="P527" s="83"/>
      <c r="Q527" s="83"/>
      <c r="R527" s="67"/>
      <c r="S527" s="68"/>
      <c r="T527" s="77"/>
      <c r="U527" s="78"/>
      <c r="V527" s="81"/>
      <c r="W527" s="80"/>
    </row>
    <row r="528" spans="1:23" ht="15.6" x14ac:dyDescent="0.3">
      <c r="A528" s="67"/>
      <c r="B528" s="69"/>
      <c r="C528" s="69"/>
      <c r="D528" s="69"/>
      <c r="E528" s="70"/>
      <c r="F528" s="67"/>
      <c r="G528" s="71"/>
      <c r="H528" s="119"/>
      <c r="I528" s="135"/>
      <c r="J528" s="134"/>
      <c r="K528" s="131"/>
      <c r="L528" s="74"/>
      <c r="M528" s="75"/>
      <c r="N528" s="76"/>
      <c r="O528" s="76"/>
      <c r="P528" s="83"/>
      <c r="Q528" s="83"/>
      <c r="R528" s="67"/>
      <c r="S528" s="68"/>
      <c r="T528" s="77"/>
      <c r="U528" s="78"/>
      <c r="V528" s="63"/>
      <c r="W528" s="80"/>
    </row>
    <row r="529" spans="1:23" ht="15.6" x14ac:dyDescent="0.3">
      <c r="A529" s="67"/>
      <c r="B529" s="69"/>
      <c r="C529" s="69"/>
      <c r="D529" s="69"/>
      <c r="E529" s="70"/>
      <c r="F529" s="67"/>
      <c r="G529" s="71"/>
      <c r="H529" s="119"/>
      <c r="I529" s="133"/>
      <c r="J529" s="134"/>
      <c r="K529" s="125"/>
      <c r="L529" s="74"/>
      <c r="M529" s="75"/>
      <c r="N529" s="76"/>
      <c r="O529" s="76"/>
      <c r="P529" s="83"/>
      <c r="Q529" s="83"/>
      <c r="R529" s="67"/>
      <c r="S529" s="68"/>
      <c r="T529" s="77"/>
      <c r="U529" s="78"/>
      <c r="V529" s="81"/>
      <c r="W529" s="80"/>
    </row>
    <row r="530" spans="1:23" ht="15.6" x14ac:dyDescent="0.3">
      <c r="A530" s="67"/>
      <c r="B530" s="69"/>
      <c r="C530" s="69"/>
      <c r="D530" s="69"/>
      <c r="E530" s="70"/>
      <c r="F530" s="67"/>
      <c r="G530" s="71"/>
      <c r="H530" s="119"/>
      <c r="I530" s="133"/>
      <c r="J530" s="134"/>
      <c r="K530" s="125"/>
      <c r="L530" s="74"/>
      <c r="M530" s="75"/>
      <c r="N530" s="76"/>
      <c r="O530" s="76"/>
      <c r="P530" s="83"/>
      <c r="Q530" s="83"/>
      <c r="R530" s="67"/>
      <c r="S530" s="68"/>
      <c r="T530" s="77"/>
      <c r="U530" s="78"/>
      <c r="V530" s="81"/>
      <c r="W530" s="80"/>
    </row>
    <row r="531" spans="1:23" ht="15.6" x14ac:dyDescent="0.3">
      <c r="A531" s="67"/>
      <c r="B531" s="69"/>
      <c r="C531" s="69"/>
      <c r="D531" s="69"/>
      <c r="E531" s="70"/>
      <c r="F531" s="67"/>
      <c r="G531" s="71"/>
      <c r="H531" s="119"/>
      <c r="I531" s="133"/>
      <c r="J531" s="134"/>
      <c r="K531" s="125"/>
      <c r="L531" s="74"/>
      <c r="M531" s="75"/>
      <c r="N531" s="76"/>
      <c r="O531" s="76"/>
      <c r="P531" s="83"/>
      <c r="Q531" s="83"/>
      <c r="R531" s="67"/>
      <c r="S531" s="68"/>
      <c r="T531" s="77"/>
      <c r="U531" s="78"/>
      <c r="V531" s="81"/>
      <c r="W531" s="80"/>
    </row>
    <row r="532" spans="1:23" ht="15.6" x14ac:dyDescent="0.3">
      <c r="A532" s="67"/>
      <c r="B532" s="69"/>
      <c r="C532" s="69"/>
      <c r="D532" s="69"/>
      <c r="E532" s="70"/>
      <c r="F532" s="67"/>
      <c r="G532" s="71"/>
      <c r="H532" s="119"/>
      <c r="I532" s="133"/>
      <c r="J532" s="134"/>
      <c r="K532" s="125"/>
      <c r="L532" s="74"/>
      <c r="M532" s="75"/>
      <c r="N532" s="76"/>
      <c r="O532" s="76"/>
      <c r="P532" s="83"/>
      <c r="Q532" s="83"/>
      <c r="R532" s="67"/>
      <c r="S532" s="68"/>
      <c r="T532" s="77"/>
      <c r="U532" s="78"/>
      <c r="V532" s="81"/>
      <c r="W532" s="80"/>
    </row>
    <row r="533" spans="1:23" ht="15.6" x14ac:dyDescent="0.3">
      <c r="A533" s="67"/>
      <c r="B533" s="69"/>
      <c r="C533" s="69"/>
      <c r="D533" s="69"/>
      <c r="E533" s="70"/>
      <c r="F533" s="67"/>
      <c r="G533" s="71"/>
      <c r="H533" s="119"/>
      <c r="I533" s="135"/>
      <c r="J533" s="134"/>
      <c r="K533" s="125"/>
      <c r="L533" s="74"/>
      <c r="M533" s="75"/>
      <c r="N533" s="76"/>
      <c r="O533" s="76"/>
      <c r="P533" s="83"/>
      <c r="Q533" s="83"/>
      <c r="R533" s="67"/>
      <c r="S533" s="68"/>
      <c r="T533" s="77"/>
      <c r="U533" s="78"/>
      <c r="V533" s="81"/>
      <c r="W533" s="80"/>
    </row>
    <row r="534" spans="1:23" ht="15.6" x14ac:dyDescent="0.3">
      <c r="A534" s="67"/>
      <c r="B534" s="69"/>
      <c r="C534" s="69"/>
      <c r="D534" s="69"/>
      <c r="E534" s="70"/>
      <c r="F534" s="67"/>
      <c r="G534" s="71"/>
      <c r="H534" s="119"/>
      <c r="I534" s="133"/>
      <c r="J534" s="134"/>
      <c r="K534" s="125"/>
      <c r="L534" s="74"/>
      <c r="M534" s="75"/>
      <c r="N534" s="76"/>
      <c r="O534" s="76"/>
      <c r="P534" s="83"/>
      <c r="Q534" s="76"/>
      <c r="R534" s="67"/>
      <c r="S534" s="68"/>
      <c r="T534" s="77"/>
      <c r="U534" s="78"/>
      <c r="V534" s="81"/>
      <c r="W534" s="80"/>
    </row>
    <row r="535" spans="1:23" ht="15.6" x14ac:dyDescent="0.3">
      <c r="A535" s="67"/>
      <c r="B535" s="69"/>
      <c r="C535" s="69"/>
      <c r="D535" s="69"/>
      <c r="E535" s="70"/>
      <c r="F535" s="67"/>
      <c r="G535" s="71"/>
      <c r="H535" s="119"/>
      <c r="I535" s="133"/>
      <c r="J535" s="134"/>
      <c r="K535" s="125"/>
      <c r="L535" s="74"/>
      <c r="M535" s="75"/>
      <c r="N535" s="76"/>
      <c r="O535" s="76"/>
      <c r="P535" s="83"/>
      <c r="Q535" s="83"/>
      <c r="R535" s="67"/>
      <c r="S535" s="68"/>
      <c r="T535" s="77"/>
      <c r="U535" s="78"/>
      <c r="V535" s="81"/>
      <c r="W535" s="80"/>
    </row>
    <row r="536" spans="1:23" ht="15.6" x14ac:dyDescent="0.3">
      <c r="A536" s="67"/>
      <c r="B536" s="69"/>
      <c r="C536" s="69"/>
      <c r="D536" s="69"/>
      <c r="E536" s="70"/>
      <c r="F536" s="67"/>
      <c r="G536" s="71"/>
      <c r="H536" s="119"/>
      <c r="I536" s="133"/>
      <c r="J536" s="134"/>
      <c r="K536" s="125"/>
      <c r="L536" s="74"/>
      <c r="M536" s="75"/>
      <c r="N536" s="76"/>
      <c r="O536" s="76"/>
      <c r="P536" s="83"/>
      <c r="Q536" s="83"/>
      <c r="R536" s="67"/>
      <c r="S536" s="68"/>
      <c r="T536" s="77"/>
      <c r="U536" s="78"/>
      <c r="V536" s="81"/>
      <c r="W536" s="80"/>
    </row>
    <row r="537" spans="1:23" ht="15.6" x14ac:dyDescent="0.3">
      <c r="A537" s="67"/>
      <c r="B537" s="69"/>
      <c r="C537" s="69"/>
      <c r="D537" s="69"/>
      <c r="E537" s="70"/>
      <c r="F537" s="67"/>
      <c r="G537" s="71"/>
      <c r="H537" s="119"/>
      <c r="I537" s="133"/>
      <c r="J537" s="134"/>
      <c r="K537" s="125"/>
      <c r="L537" s="74"/>
      <c r="M537" s="75"/>
      <c r="N537" s="76"/>
      <c r="O537" s="76"/>
      <c r="P537" s="83"/>
      <c r="Q537" s="83"/>
      <c r="R537" s="67"/>
      <c r="S537" s="68"/>
      <c r="T537" s="77"/>
      <c r="U537" s="78"/>
      <c r="V537" s="81"/>
      <c r="W537" s="80"/>
    </row>
    <row r="538" spans="1:23" ht="15.6" x14ac:dyDescent="0.3">
      <c r="A538" s="67"/>
      <c r="B538" s="69"/>
      <c r="C538" s="69"/>
      <c r="D538" s="69"/>
      <c r="E538" s="70"/>
      <c r="F538" s="67"/>
      <c r="G538" s="71"/>
      <c r="K538" s="125"/>
      <c r="L538" s="74"/>
      <c r="M538" s="75"/>
      <c r="N538" s="76"/>
      <c r="O538" s="76"/>
      <c r="P538" s="83"/>
      <c r="Q538" s="83"/>
      <c r="R538" s="67"/>
      <c r="S538" s="68"/>
      <c r="T538" s="77"/>
      <c r="U538" s="78"/>
      <c r="V538" s="81"/>
      <c r="W538" s="80"/>
    </row>
    <row r="539" spans="1:23" ht="15.6" x14ac:dyDescent="0.3">
      <c r="A539" s="67"/>
      <c r="B539" s="69"/>
      <c r="C539" s="69"/>
      <c r="D539" s="69"/>
      <c r="E539" s="70"/>
      <c r="F539" s="67"/>
      <c r="G539" s="71"/>
      <c r="K539" s="125"/>
      <c r="L539" s="74"/>
      <c r="M539" s="75"/>
      <c r="N539" s="76"/>
      <c r="O539" s="76"/>
      <c r="P539" s="83"/>
      <c r="Q539" s="83"/>
      <c r="R539" s="67"/>
      <c r="S539" s="68"/>
      <c r="T539" s="77"/>
      <c r="U539" s="78"/>
      <c r="V539" s="81"/>
      <c r="W539" s="80"/>
    </row>
    <row r="540" spans="1:23" ht="15.6" x14ac:dyDescent="0.3">
      <c r="A540" s="67"/>
      <c r="B540" s="69"/>
      <c r="C540" s="69"/>
      <c r="D540" s="69"/>
      <c r="E540" s="70"/>
      <c r="F540" s="67"/>
      <c r="G540" s="71"/>
      <c r="H540" s="119"/>
      <c r="I540" s="133"/>
      <c r="J540" s="134"/>
      <c r="K540" s="125"/>
      <c r="L540" s="74"/>
      <c r="M540" s="75"/>
      <c r="N540" s="76"/>
      <c r="O540" s="76"/>
      <c r="P540" s="83"/>
      <c r="Q540" s="83"/>
      <c r="R540" s="67"/>
      <c r="S540" s="68"/>
      <c r="T540" s="77"/>
      <c r="U540" s="78"/>
      <c r="V540" s="81"/>
      <c r="W540" s="80"/>
    </row>
    <row r="541" spans="1:23" ht="15.6" x14ac:dyDescent="0.3">
      <c r="A541" s="67"/>
      <c r="B541" s="69"/>
      <c r="C541" s="69"/>
      <c r="D541" s="69"/>
      <c r="E541" s="70"/>
      <c r="F541" s="67"/>
      <c r="G541" s="71"/>
      <c r="H541" s="119"/>
      <c r="I541" s="133"/>
      <c r="J541" s="134"/>
      <c r="K541" s="125"/>
      <c r="L541" s="74"/>
      <c r="M541" s="75"/>
      <c r="N541" s="76"/>
      <c r="O541" s="76"/>
      <c r="P541" s="76"/>
      <c r="Q541" s="76"/>
      <c r="R541" s="67"/>
      <c r="S541" s="68"/>
      <c r="T541" s="77"/>
      <c r="U541" s="78"/>
      <c r="V541" s="81"/>
      <c r="W541" s="80"/>
    </row>
    <row r="542" spans="1:23" ht="15.6" x14ac:dyDescent="0.3">
      <c r="A542" s="67"/>
      <c r="B542" s="69"/>
      <c r="C542" s="69"/>
      <c r="D542" s="69"/>
      <c r="E542" s="70"/>
      <c r="F542" s="67"/>
      <c r="G542" s="71"/>
      <c r="H542" s="119"/>
      <c r="I542" s="135"/>
      <c r="J542" s="134"/>
      <c r="K542" s="125"/>
      <c r="L542" s="74"/>
      <c r="M542" s="75"/>
      <c r="N542" s="76"/>
      <c r="O542" s="76"/>
      <c r="P542" s="83"/>
      <c r="Q542" s="83"/>
      <c r="R542" s="67"/>
      <c r="S542" s="68"/>
      <c r="T542" s="77"/>
      <c r="U542" s="78"/>
      <c r="V542" s="81"/>
      <c r="W542" s="80"/>
    </row>
    <row r="543" spans="1:23" ht="15.6" x14ac:dyDescent="0.3">
      <c r="A543" s="67"/>
      <c r="B543" s="69"/>
      <c r="C543" s="69"/>
      <c r="D543" s="69"/>
      <c r="E543" s="70"/>
      <c r="F543" s="67"/>
      <c r="G543" s="71"/>
      <c r="H543" s="119"/>
      <c r="I543" s="133"/>
      <c r="J543" s="134"/>
      <c r="K543" s="125"/>
      <c r="L543" s="74"/>
      <c r="M543" s="75"/>
      <c r="N543" s="76"/>
      <c r="O543" s="76"/>
      <c r="P543" s="76"/>
      <c r="Q543" s="76"/>
      <c r="R543" s="67"/>
      <c r="S543" s="68"/>
      <c r="T543" s="77"/>
      <c r="U543" s="78"/>
      <c r="V543" s="81"/>
      <c r="W543" s="80"/>
    </row>
    <row r="544" spans="1:23" ht="15.6" x14ac:dyDescent="0.3">
      <c r="A544" s="67"/>
      <c r="B544" s="69"/>
      <c r="C544" s="69"/>
      <c r="D544" s="69"/>
      <c r="E544" s="70"/>
      <c r="F544" s="67"/>
      <c r="G544" s="71"/>
      <c r="H544" s="119"/>
      <c r="I544" s="133"/>
      <c r="J544" s="134"/>
      <c r="K544" s="125"/>
      <c r="L544" s="74"/>
      <c r="M544" s="75"/>
      <c r="N544" s="76"/>
      <c r="O544" s="76"/>
      <c r="P544" s="83"/>
      <c r="Q544" s="83"/>
      <c r="R544" s="67"/>
      <c r="S544" s="68"/>
      <c r="T544" s="77"/>
      <c r="U544" s="78"/>
      <c r="V544" s="81"/>
      <c r="W544" s="80"/>
    </row>
    <row r="545" spans="1:23" ht="15.6" x14ac:dyDescent="0.3">
      <c r="A545" s="67"/>
      <c r="B545" s="69"/>
      <c r="C545" s="69"/>
      <c r="D545" s="69"/>
      <c r="E545" s="70"/>
      <c r="F545" s="67"/>
      <c r="G545" s="71"/>
      <c r="H545" s="119"/>
      <c r="I545" s="133"/>
      <c r="J545" s="134"/>
      <c r="K545" s="125"/>
      <c r="L545" s="74"/>
      <c r="M545" s="75"/>
      <c r="N545" s="76"/>
      <c r="O545" s="76"/>
      <c r="P545" s="83"/>
      <c r="Q545" s="83"/>
      <c r="R545" s="67"/>
      <c r="S545" s="68"/>
      <c r="T545" s="77"/>
      <c r="U545" s="78"/>
      <c r="V545" s="81"/>
      <c r="W545" s="80"/>
    </row>
    <row r="546" spans="1:23" ht="15.6" x14ac:dyDescent="0.3">
      <c r="A546" s="67"/>
      <c r="B546" s="69"/>
      <c r="C546" s="69"/>
      <c r="D546" s="69"/>
      <c r="E546" s="70"/>
      <c r="F546" s="67"/>
      <c r="G546" s="71"/>
      <c r="H546" s="119"/>
      <c r="I546" s="133"/>
      <c r="J546" s="134"/>
      <c r="K546" s="125"/>
      <c r="L546" s="74"/>
      <c r="M546" s="75"/>
      <c r="N546" s="76"/>
      <c r="O546" s="76"/>
      <c r="P546" s="83"/>
      <c r="Q546" s="83"/>
      <c r="R546" s="67"/>
      <c r="S546" s="68"/>
      <c r="T546" s="77"/>
      <c r="U546" s="78"/>
      <c r="V546" s="81"/>
      <c r="W546" s="80"/>
    </row>
    <row r="547" spans="1:23" ht="15.6" x14ac:dyDescent="0.3">
      <c r="A547" s="67"/>
      <c r="B547" s="69"/>
      <c r="C547" s="69"/>
      <c r="D547" s="69"/>
      <c r="E547" s="70"/>
      <c r="F547" s="67"/>
      <c r="G547" s="71"/>
      <c r="H547" s="119"/>
      <c r="I547" s="133"/>
      <c r="J547" s="134"/>
      <c r="K547" s="125"/>
      <c r="L547" s="74"/>
      <c r="M547" s="75"/>
      <c r="N547" s="76"/>
      <c r="O547" s="76"/>
      <c r="P547" s="83"/>
      <c r="Q547" s="83"/>
      <c r="R547" s="67"/>
      <c r="S547" s="68"/>
      <c r="T547" s="77"/>
      <c r="U547" s="78"/>
      <c r="V547" s="81"/>
      <c r="W547" s="80"/>
    </row>
    <row r="548" spans="1:23" ht="15.6" x14ac:dyDescent="0.3">
      <c r="A548" s="67"/>
      <c r="B548" s="69"/>
      <c r="C548" s="69"/>
      <c r="D548" s="69"/>
      <c r="E548" s="70"/>
      <c r="F548" s="67"/>
      <c r="G548" s="71"/>
      <c r="H548" s="119"/>
      <c r="I548" s="133"/>
      <c r="J548" s="134"/>
      <c r="K548" s="125"/>
      <c r="L548" s="74"/>
      <c r="M548" s="75"/>
      <c r="N548" s="76"/>
      <c r="O548" s="76"/>
      <c r="P548" s="83"/>
      <c r="Q548" s="83"/>
      <c r="R548" s="67"/>
      <c r="S548" s="68"/>
      <c r="T548" s="77"/>
      <c r="U548" s="78"/>
      <c r="V548" s="81"/>
      <c r="W548" s="80"/>
    </row>
    <row r="549" spans="1:23" ht="15.6" x14ac:dyDescent="0.3">
      <c r="A549" s="67"/>
      <c r="B549" s="69"/>
      <c r="C549" s="69"/>
      <c r="D549" s="69"/>
      <c r="E549" s="70"/>
      <c r="F549" s="67"/>
      <c r="G549" s="71"/>
      <c r="H549" s="119"/>
      <c r="I549" s="133"/>
      <c r="J549" s="134"/>
      <c r="K549" s="125"/>
      <c r="L549" s="74"/>
      <c r="M549" s="75"/>
      <c r="N549" s="76"/>
      <c r="O549" s="76"/>
      <c r="P549" s="83"/>
      <c r="Q549" s="83"/>
      <c r="R549" s="67"/>
      <c r="S549" s="68"/>
      <c r="T549" s="77"/>
      <c r="U549" s="78"/>
      <c r="V549" s="81"/>
      <c r="W549" s="80"/>
    </row>
    <row r="550" spans="1:23" ht="15.6" x14ac:dyDescent="0.3">
      <c r="A550" s="67"/>
      <c r="B550" s="69"/>
      <c r="C550" s="69"/>
      <c r="D550" s="69"/>
      <c r="E550" s="70"/>
      <c r="F550" s="67"/>
      <c r="G550" s="71"/>
      <c r="H550" s="119"/>
      <c r="I550" s="133"/>
      <c r="J550" s="134"/>
      <c r="K550" s="125"/>
      <c r="L550" s="74"/>
      <c r="M550" s="75"/>
      <c r="N550" s="76"/>
      <c r="O550" s="76"/>
      <c r="P550" s="83"/>
      <c r="Q550" s="83"/>
      <c r="R550" s="67"/>
      <c r="S550" s="68"/>
      <c r="T550" s="77"/>
      <c r="U550" s="78"/>
      <c r="V550" s="81"/>
      <c r="W550" s="80"/>
    </row>
    <row r="551" spans="1:23" ht="15.6" x14ac:dyDescent="0.3">
      <c r="A551" s="67"/>
      <c r="B551" s="69"/>
      <c r="C551" s="69"/>
      <c r="D551" s="69"/>
      <c r="E551" s="70"/>
      <c r="F551" s="67"/>
      <c r="G551" s="71"/>
      <c r="H551" s="119"/>
      <c r="I551" s="135"/>
      <c r="J551" s="134"/>
      <c r="K551" s="125"/>
      <c r="L551" s="74"/>
      <c r="M551" s="75"/>
      <c r="N551" s="76"/>
      <c r="O551" s="76"/>
      <c r="P551" s="83"/>
      <c r="Q551" s="83"/>
      <c r="R551" s="67"/>
      <c r="S551" s="68"/>
      <c r="T551" s="77"/>
      <c r="U551" s="78"/>
      <c r="V551" s="63"/>
      <c r="W551" s="80"/>
    </row>
    <row r="552" spans="1:23" ht="15.6" x14ac:dyDescent="0.3">
      <c r="A552" s="67"/>
      <c r="B552" s="69"/>
      <c r="C552" s="69"/>
      <c r="D552" s="69"/>
      <c r="E552" s="70"/>
      <c r="F552" s="67"/>
      <c r="G552" s="71"/>
      <c r="H552" s="119"/>
      <c r="I552" s="133"/>
      <c r="J552" s="134"/>
      <c r="K552" s="125"/>
      <c r="L552" s="74"/>
      <c r="M552" s="75"/>
      <c r="N552" s="76"/>
      <c r="O552" s="76"/>
      <c r="P552" s="83"/>
      <c r="Q552" s="83"/>
      <c r="R552" s="67"/>
      <c r="S552" s="68"/>
      <c r="T552" s="77"/>
      <c r="U552" s="78"/>
      <c r="V552" s="81"/>
      <c r="W552" s="80"/>
    </row>
    <row r="553" spans="1:23" ht="15.6" x14ac:dyDescent="0.3">
      <c r="A553" s="67"/>
      <c r="B553" s="69"/>
      <c r="C553" s="69"/>
      <c r="D553" s="69"/>
      <c r="E553" s="70"/>
      <c r="F553" s="67"/>
      <c r="G553" s="71"/>
      <c r="H553" s="119"/>
      <c r="I553" s="133"/>
      <c r="J553" s="134"/>
      <c r="K553" s="125"/>
      <c r="L553" s="74"/>
      <c r="M553" s="85"/>
      <c r="N553" s="76"/>
      <c r="O553" s="76"/>
      <c r="P553" s="76"/>
      <c r="Q553" s="76"/>
      <c r="R553" s="67"/>
      <c r="S553" s="68"/>
      <c r="T553" s="77"/>
      <c r="U553" s="78"/>
      <c r="V553" s="81"/>
      <c r="W553" s="80"/>
    </row>
    <row r="554" spans="1:23" ht="15.6" x14ac:dyDescent="0.3">
      <c r="A554" s="67"/>
      <c r="B554" s="69"/>
      <c r="C554" s="69"/>
      <c r="D554" s="69"/>
      <c r="E554" s="70"/>
      <c r="F554" s="67"/>
      <c r="G554" s="71"/>
      <c r="H554" s="119"/>
      <c r="I554" s="135"/>
      <c r="J554" s="134"/>
      <c r="K554" s="125"/>
      <c r="L554" s="74"/>
      <c r="M554" s="75"/>
      <c r="N554" s="76"/>
      <c r="O554" s="76"/>
      <c r="P554" s="76"/>
      <c r="Q554" s="76"/>
      <c r="R554" s="67"/>
      <c r="S554" s="68"/>
      <c r="T554" s="77"/>
      <c r="U554" s="78"/>
      <c r="V554" s="81"/>
      <c r="W554" s="80"/>
    </row>
    <row r="555" spans="1:23" ht="15.6" x14ac:dyDescent="0.3">
      <c r="A555" s="67"/>
      <c r="B555" s="69"/>
      <c r="C555" s="69"/>
      <c r="D555" s="69"/>
      <c r="E555" s="70"/>
      <c r="F555" s="67"/>
      <c r="G555" s="71"/>
      <c r="H555" s="119"/>
      <c r="I555" s="135"/>
      <c r="J555" s="134"/>
      <c r="K555" s="125"/>
      <c r="L555" s="74"/>
      <c r="M555" s="75"/>
      <c r="N555" s="76"/>
      <c r="O555" s="76"/>
      <c r="P555" s="76"/>
      <c r="Q555" s="76"/>
      <c r="R555" s="67"/>
      <c r="S555" s="68"/>
      <c r="T555" s="77"/>
      <c r="U555" s="78"/>
      <c r="V555" s="81"/>
      <c r="W555" s="80"/>
    </row>
    <row r="556" spans="1:23" ht="15.6" x14ac:dyDescent="0.3">
      <c r="A556" s="67"/>
      <c r="B556" s="69"/>
      <c r="C556" s="69"/>
      <c r="D556" s="69"/>
      <c r="E556" s="70"/>
      <c r="F556" s="67"/>
      <c r="G556" s="71"/>
      <c r="H556" s="119"/>
      <c r="I556" s="133"/>
      <c r="J556" s="133"/>
      <c r="K556" s="73"/>
      <c r="L556" s="74"/>
      <c r="M556" s="75"/>
      <c r="N556" s="76"/>
      <c r="O556" s="76"/>
      <c r="P556" s="76"/>
      <c r="Q556" s="76"/>
      <c r="R556" s="67"/>
      <c r="S556" s="68"/>
      <c r="T556" s="77"/>
      <c r="U556" s="78"/>
      <c r="V556" s="73"/>
      <c r="W556" s="80"/>
    </row>
    <row r="557" spans="1:23" ht="15.6" x14ac:dyDescent="0.3">
      <c r="A557" s="67"/>
      <c r="B557" s="69"/>
      <c r="C557" s="69"/>
      <c r="D557" s="69"/>
      <c r="E557" s="70"/>
      <c r="F557" s="67"/>
      <c r="G557" s="71"/>
      <c r="H557" s="119"/>
      <c r="I557" s="133"/>
      <c r="J557" s="133"/>
      <c r="K557" s="73"/>
      <c r="L557" s="74"/>
      <c r="M557" s="85"/>
      <c r="N557" s="76"/>
      <c r="O557" s="76"/>
      <c r="P557" s="76"/>
      <c r="Q557" s="76"/>
      <c r="R557" s="67"/>
      <c r="S557" s="68"/>
      <c r="T557" s="77"/>
      <c r="U557" s="78"/>
      <c r="V557" s="73"/>
      <c r="W557" s="80"/>
    </row>
    <row r="558" spans="1:23" ht="15.6" x14ac:dyDescent="0.3">
      <c r="A558" s="67"/>
      <c r="B558" s="69"/>
      <c r="C558" s="69"/>
      <c r="D558" s="69"/>
      <c r="E558" s="70"/>
      <c r="F558" s="67"/>
      <c r="G558" s="71"/>
      <c r="H558" s="119"/>
      <c r="I558" s="133"/>
      <c r="J558" s="133"/>
      <c r="K558" s="73"/>
      <c r="L558" s="74"/>
      <c r="M558" s="75"/>
      <c r="N558" s="76"/>
      <c r="O558" s="76"/>
      <c r="P558" s="76"/>
      <c r="Q558" s="76"/>
      <c r="R558" s="67"/>
      <c r="S558" s="68"/>
      <c r="T558" s="77"/>
      <c r="U558" s="78"/>
      <c r="V558" s="73"/>
      <c r="W558" s="80"/>
    </row>
    <row r="559" spans="1:23" ht="15.6" x14ac:dyDescent="0.3">
      <c r="A559" s="67"/>
      <c r="B559" s="69"/>
      <c r="C559" s="69"/>
      <c r="D559" s="69"/>
      <c r="E559" s="70"/>
      <c r="F559" s="67"/>
      <c r="G559" s="71"/>
      <c r="H559" s="119"/>
      <c r="I559" s="133"/>
      <c r="J559" s="133"/>
      <c r="K559" s="73"/>
      <c r="L559" s="74"/>
      <c r="M559" s="75"/>
      <c r="N559" s="76"/>
      <c r="O559" s="76"/>
      <c r="P559" s="76"/>
      <c r="Q559" s="76"/>
      <c r="R559" s="67"/>
      <c r="S559" s="68"/>
      <c r="T559" s="77"/>
      <c r="U559" s="78"/>
      <c r="V559" s="73"/>
      <c r="W559" s="80"/>
    </row>
  </sheetData>
  <autoFilter ref="A1:W455" xr:uid="{A084C8C8-080B-4D03-ACB1-C27C81E34C36}"/>
  <conditionalFormatting sqref="D1">
    <cfRule type="containsText" dxfId="3" priority="2" operator="containsText" text="SILENCIO">
      <formula>NOT(ISERROR(SEARCH("SILENCIO",D1)))</formula>
    </cfRule>
    <cfRule type="containsText" dxfId="2" priority="3" operator="containsText" text="objeta">
      <formula>NOT(ISERROR(SEARCH("objeta",D1)))</formula>
    </cfRule>
  </conditionalFormatting>
  <conditionalFormatting sqref="E1">
    <cfRule type="containsText" dxfId="1" priority="1" operator="containsText" text="INACTIVA">
      <formula>NOT(ISERROR(SEARCH("INACTIVA",E1)))</formula>
    </cfRule>
  </conditionalFormatting>
  <conditionalFormatting sqref="B1">
    <cfRule type="duplicateValues" dxfId="0" priority="4"/>
  </conditionalFormatting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8C6A-E34A-4705-9623-91BEEB0AD6B0}">
  <sheetPr codeName="Hoja6"/>
  <dimension ref="A1:W212"/>
  <sheetViews>
    <sheetView topLeftCell="A193" workbookViewId="0">
      <selection activeCell="L215" sqref="L215"/>
    </sheetView>
  </sheetViews>
  <sheetFormatPr baseColWidth="10" defaultRowHeight="14.4" x14ac:dyDescent="0.3"/>
  <cols>
    <col min="2" max="2" width="12.109375" bestFit="1" customWidth="1"/>
    <col min="7" max="7" width="12.109375" bestFit="1" customWidth="1"/>
    <col min="9" max="9" width="17.77734375" bestFit="1" customWidth="1"/>
    <col min="10" max="10" width="16.5546875" bestFit="1" customWidth="1"/>
    <col min="19" max="19" width="21.6640625" customWidth="1"/>
    <col min="23" max="23" width="12.109375" bestFit="1" customWidth="1"/>
  </cols>
  <sheetData>
    <row r="1" spans="1:23" ht="15.6" x14ac:dyDescent="0.3">
      <c r="A1" s="161" t="s">
        <v>1200</v>
      </c>
      <c r="B1" s="162">
        <v>9072993</v>
      </c>
      <c r="C1" s="163" t="s">
        <v>1201</v>
      </c>
      <c r="D1" s="163">
        <v>0</v>
      </c>
      <c r="E1" s="164" t="s">
        <v>19</v>
      </c>
      <c r="F1" s="161" t="s">
        <v>1643</v>
      </c>
      <c r="G1" s="165">
        <v>38839</v>
      </c>
      <c r="H1" s="166">
        <v>44196</v>
      </c>
      <c r="I1" s="167">
        <v>15800402.689999999</v>
      </c>
      <c r="J1" s="168">
        <v>2108623.6</v>
      </c>
      <c r="K1" s="125"/>
      <c r="L1" s="169">
        <v>9.98E-2</v>
      </c>
      <c r="M1" s="75">
        <v>178004</v>
      </c>
      <c r="N1" s="170">
        <v>1</v>
      </c>
      <c r="O1" s="170"/>
      <c r="P1" s="170"/>
      <c r="Q1" s="170"/>
      <c r="R1" s="161" t="s">
        <v>1579</v>
      </c>
      <c r="S1" s="162">
        <v>890905166</v>
      </c>
      <c r="T1" s="77" t="s">
        <v>1881</v>
      </c>
      <c r="U1" s="78" t="s">
        <v>1881</v>
      </c>
      <c r="V1" s="171"/>
      <c r="W1" s="80">
        <v>4184456.872</v>
      </c>
    </row>
    <row r="2" spans="1:23" ht="15.6" x14ac:dyDescent="0.3">
      <c r="A2" s="161" t="s">
        <v>1202</v>
      </c>
      <c r="B2" s="162">
        <v>512201</v>
      </c>
      <c r="C2" s="163" t="s">
        <v>1203</v>
      </c>
      <c r="D2" s="163">
        <v>0</v>
      </c>
      <c r="E2" s="164" t="s">
        <v>472</v>
      </c>
      <c r="F2" s="161" t="s">
        <v>1645</v>
      </c>
      <c r="G2" s="165">
        <v>22553</v>
      </c>
      <c r="H2" s="166">
        <v>44196</v>
      </c>
      <c r="I2" s="167">
        <v>0</v>
      </c>
      <c r="J2" s="168">
        <v>0</v>
      </c>
      <c r="K2" s="125"/>
      <c r="L2" s="169">
        <v>0.17580000000000001</v>
      </c>
      <c r="M2" s="75">
        <v>3709</v>
      </c>
      <c r="N2" s="170">
        <v>14</v>
      </c>
      <c r="O2" s="170"/>
      <c r="P2" s="170"/>
      <c r="Q2" s="170"/>
      <c r="R2" s="161" t="s">
        <v>1580</v>
      </c>
      <c r="S2" s="162">
        <v>890905211</v>
      </c>
      <c r="T2" s="77">
        <v>32429096</v>
      </c>
      <c r="U2" s="78" t="s">
        <v>1743</v>
      </c>
      <c r="V2" s="171"/>
      <c r="W2" s="80">
        <v>0</v>
      </c>
    </row>
    <row r="3" spans="1:23" ht="15.6" x14ac:dyDescent="0.3">
      <c r="A3" s="161" t="s">
        <v>1204</v>
      </c>
      <c r="B3" s="162">
        <v>512861</v>
      </c>
      <c r="C3" s="163" t="s">
        <v>1205</v>
      </c>
      <c r="D3" s="163">
        <v>0</v>
      </c>
      <c r="E3" s="164" t="s">
        <v>21</v>
      </c>
      <c r="F3" s="161" t="s">
        <v>1645</v>
      </c>
      <c r="G3" s="165">
        <v>27813</v>
      </c>
      <c r="H3" s="166">
        <v>44196</v>
      </c>
      <c r="I3" s="172">
        <v>0</v>
      </c>
      <c r="J3" s="168">
        <v>0</v>
      </c>
      <c r="K3" s="125"/>
      <c r="L3" s="169">
        <v>0.66210000000000002</v>
      </c>
      <c r="M3" s="75">
        <v>1950</v>
      </c>
      <c r="N3" s="170">
        <v>14</v>
      </c>
      <c r="O3" s="170"/>
      <c r="P3" s="170"/>
      <c r="Q3" s="170"/>
      <c r="R3" s="161" t="s">
        <v>1580</v>
      </c>
      <c r="S3" s="162">
        <v>890905211</v>
      </c>
      <c r="T3" s="77" t="s">
        <v>1881</v>
      </c>
      <c r="U3" s="78" t="s">
        <v>1881</v>
      </c>
      <c r="V3" s="171"/>
      <c r="W3" s="80">
        <v>0</v>
      </c>
    </row>
    <row r="4" spans="1:23" ht="15.6" x14ac:dyDescent="0.3">
      <c r="A4" s="161" t="s">
        <v>1206</v>
      </c>
      <c r="B4" s="162">
        <v>3342784</v>
      </c>
      <c r="C4" s="163" t="s">
        <v>1207</v>
      </c>
      <c r="D4" s="163">
        <v>0</v>
      </c>
      <c r="E4" s="164" t="s">
        <v>818</v>
      </c>
      <c r="F4" s="161" t="s">
        <v>1645</v>
      </c>
      <c r="G4" s="165">
        <v>28581</v>
      </c>
      <c r="H4" s="166">
        <v>44196</v>
      </c>
      <c r="I4" s="167">
        <v>0</v>
      </c>
      <c r="J4" s="168">
        <v>0</v>
      </c>
      <c r="K4" s="125"/>
      <c r="L4" s="169">
        <v>1.8100000000000002E-2</v>
      </c>
      <c r="M4" s="75">
        <v>7059</v>
      </c>
      <c r="N4" s="170">
        <v>14</v>
      </c>
      <c r="O4" s="170"/>
      <c r="P4" s="170"/>
      <c r="Q4" s="170"/>
      <c r="R4" s="161" t="s">
        <v>1580</v>
      </c>
      <c r="S4" s="162">
        <v>890905211</v>
      </c>
      <c r="T4" s="77">
        <v>21306909</v>
      </c>
      <c r="U4" s="78" t="s">
        <v>1744</v>
      </c>
      <c r="V4" s="173"/>
      <c r="W4" s="80">
        <v>0</v>
      </c>
    </row>
    <row r="5" spans="1:23" ht="15.6" x14ac:dyDescent="0.3">
      <c r="A5" s="161" t="s">
        <v>1208</v>
      </c>
      <c r="B5" s="162">
        <v>8217805</v>
      </c>
      <c r="C5" s="163" t="s">
        <v>1209</v>
      </c>
      <c r="D5" s="163">
        <v>0</v>
      </c>
      <c r="E5" s="164" t="s">
        <v>21</v>
      </c>
      <c r="F5" s="161" t="s">
        <v>1645</v>
      </c>
      <c r="G5" s="165">
        <v>28703</v>
      </c>
      <c r="H5" s="166"/>
      <c r="I5" s="172">
        <v>0</v>
      </c>
      <c r="J5" s="168">
        <v>0</v>
      </c>
      <c r="K5" s="125"/>
      <c r="L5" s="169">
        <v>0.32500000000000001</v>
      </c>
      <c r="M5" s="75">
        <v>1390</v>
      </c>
      <c r="N5" s="170">
        <v>14</v>
      </c>
      <c r="O5" s="170"/>
      <c r="P5" s="170"/>
      <c r="Q5" s="170"/>
      <c r="R5" s="161" t="s">
        <v>1580</v>
      </c>
      <c r="S5" s="162">
        <v>890905211</v>
      </c>
      <c r="T5" s="77">
        <v>21298183</v>
      </c>
      <c r="U5" s="78" t="s">
        <v>1745</v>
      </c>
      <c r="V5" s="171"/>
      <c r="W5" s="80">
        <v>0</v>
      </c>
    </row>
    <row r="6" spans="1:23" ht="15.6" x14ac:dyDescent="0.3">
      <c r="A6" s="161" t="s">
        <v>1092</v>
      </c>
      <c r="B6" s="162">
        <v>25651081</v>
      </c>
      <c r="C6" s="163" t="s">
        <v>1093</v>
      </c>
      <c r="D6" s="163">
        <v>0</v>
      </c>
      <c r="E6" s="164" t="s">
        <v>472</v>
      </c>
      <c r="F6" s="161" t="s">
        <v>1645</v>
      </c>
      <c r="G6" s="165">
        <v>29649</v>
      </c>
      <c r="H6" s="166"/>
      <c r="I6" s="167">
        <v>0</v>
      </c>
      <c r="J6" s="168">
        <v>0</v>
      </c>
      <c r="K6" s="125"/>
      <c r="L6" s="169">
        <v>0.3861</v>
      </c>
      <c r="M6" s="75">
        <v>6389</v>
      </c>
      <c r="N6" s="170">
        <v>14</v>
      </c>
      <c r="O6" s="170"/>
      <c r="P6" s="170"/>
      <c r="Q6" s="170"/>
      <c r="R6" s="161" t="s">
        <v>1580</v>
      </c>
      <c r="S6" s="162">
        <v>890905211</v>
      </c>
      <c r="T6" s="77" t="s">
        <v>1881</v>
      </c>
      <c r="U6" s="78" t="s">
        <v>1881</v>
      </c>
      <c r="V6" s="171"/>
      <c r="W6" s="80">
        <v>0</v>
      </c>
    </row>
    <row r="7" spans="1:23" ht="15.6" x14ac:dyDescent="0.3">
      <c r="A7" s="161" t="s">
        <v>1210</v>
      </c>
      <c r="B7" s="162">
        <v>3518784</v>
      </c>
      <c r="C7" s="163" t="s">
        <v>1211</v>
      </c>
      <c r="D7" s="163">
        <v>0</v>
      </c>
      <c r="E7" s="164" t="s">
        <v>472</v>
      </c>
      <c r="F7" s="161" t="s">
        <v>1643</v>
      </c>
      <c r="G7" s="165">
        <v>30498</v>
      </c>
      <c r="H7" s="166"/>
      <c r="I7" s="167">
        <v>0</v>
      </c>
      <c r="J7" s="168">
        <v>0</v>
      </c>
      <c r="K7" s="125"/>
      <c r="L7" s="169">
        <v>0.14860000000000001</v>
      </c>
      <c r="M7" s="75">
        <v>4399</v>
      </c>
      <c r="N7" s="170">
        <v>14</v>
      </c>
      <c r="O7" s="170"/>
      <c r="P7" s="170"/>
      <c r="Q7" s="170"/>
      <c r="R7" s="161" t="s">
        <v>1580</v>
      </c>
      <c r="S7" s="162">
        <v>890905211</v>
      </c>
      <c r="T7" s="77">
        <v>21268333</v>
      </c>
      <c r="U7" s="78" t="s">
        <v>1746</v>
      </c>
      <c r="V7" s="171"/>
      <c r="W7" s="80">
        <v>0</v>
      </c>
    </row>
    <row r="8" spans="1:23" ht="15.6" x14ac:dyDescent="0.3">
      <c r="A8" s="161" t="s">
        <v>1212</v>
      </c>
      <c r="B8" s="162">
        <v>2048069</v>
      </c>
      <c r="C8" s="163" t="s">
        <v>1213</v>
      </c>
      <c r="D8" s="163">
        <v>0</v>
      </c>
      <c r="E8" s="164" t="s">
        <v>472</v>
      </c>
      <c r="F8" s="161" t="s">
        <v>1645</v>
      </c>
      <c r="G8" s="165">
        <v>33832</v>
      </c>
      <c r="H8" s="166">
        <v>44196</v>
      </c>
      <c r="I8" s="167">
        <v>0</v>
      </c>
      <c r="J8" s="168">
        <v>0</v>
      </c>
      <c r="K8" s="125"/>
      <c r="L8" s="169">
        <v>4.2599999999999999E-2</v>
      </c>
      <c r="M8" s="75">
        <v>9314</v>
      </c>
      <c r="N8" s="170">
        <v>14</v>
      </c>
      <c r="O8" s="170"/>
      <c r="P8" s="170"/>
      <c r="Q8" s="170"/>
      <c r="R8" s="161" t="s">
        <v>1580</v>
      </c>
      <c r="S8" s="162">
        <v>890905211</v>
      </c>
      <c r="T8" s="77">
        <v>32507885</v>
      </c>
      <c r="U8" s="78" t="s">
        <v>1747</v>
      </c>
      <c r="V8" s="171"/>
      <c r="W8" s="80">
        <v>0</v>
      </c>
    </row>
    <row r="9" spans="1:23" ht="15.6" x14ac:dyDescent="0.3">
      <c r="A9" s="161" t="s">
        <v>1120</v>
      </c>
      <c r="B9" s="162">
        <v>3329674</v>
      </c>
      <c r="C9" s="163" t="s">
        <v>1121</v>
      </c>
      <c r="D9" s="163">
        <v>0</v>
      </c>
      <c r="E9" s="164" t="s">
        <v>472</v>
      </c>
      <c r="F9" s="161" t="s">
        <v>1643</v>
      </c>
      <c r="G9" s="165">
        <v>34303</v>
      </c>
      <c r="H9" s="166">
        <v>44196</v>
      </c>
      <c r="I9" s="172">
        <v>13726390.75</v>
      </c>
      <c r="J9" s="168">
        <v>1831838.86</v>
      </c>
      <c r="K9" s="125"/>
      <c r="L9" s="169">
        <v>0.1095</v>
      </c>
      <c r="M9" s="75">
        <v>72798</v>
      </c>
      <c r="N9" s="170">
        <v>14</v>
      </c>
      <c r="O9" s="170"/>
      <c r="P9" s="170"/>
      <c r="Q9" s="170"/>
      <c r="R9" s="161" t="s">
        <v>1580</v>
      </c>
      <c r="S9" s="162">
        <v>890905211</v>
      </c>
      <c r="T9" s="77" t="s">
        <v>1881</v>
      </c>
      <c r="U9" s="78" t="s">
        <v>1881</v>
      </c>
      <c r="V9" s="173"/>
      <c r="W9" s="80">
        <v>3313170</v>
      </c>
    </row>
    <row r="10" spans="1:23" ht="15.6" x14ac:dyDescent="0.3">
      <c r="A10" s="161" t="s">
        <v>1214</v>
      </c>
      <c r="B10" s="162">
        <v>6781718</v>
      </c>
      <c r="C10" s="163" t="s">
        <v>1134</v>
      </c>
      <c r="D10" s="163">
        <v>0</v>
      </c>
      <c r="E10" s="164" t="s">
        <v>472</v>
      </c>
      <c r="F10" s="161" t="s">
        <v>1645</v>
      </c>
      <c r="G10" s="165">
        <v>35905</v>
      </c>
      <c r="H10" s="166">
        <v>44196</v>
      </c>
      <c r="I10" s="172">
        <v>33488443.210000001</v>
      </c>
      <c r="J10" s="168">
        <v>4469159.63</v>
      </c>
      <c r="K10" s="125"/>
      <c r="L10" s="169">
        <v>0.23730000000000001</v>
      </c>
      <c r="M10" s="75">
        <v>238332</v>
      </c>
      <c r="N10" s="170">
        <v>14</v>
      </c>
      <c r="O10" s="170"/>
      <c r="P10" s="170"/>
      <c r="Q10" s="170"/>
      <c r="R10" s="161" t="s">
        <v>1580</v>
      </c>
      <c r="S10" s="162">
        <v>890905211</v>
      </c>
      <c r="T10" s="77" t="s">
        <v>1881</v>
      </c>
      <c r="U10" s="78" t="s">
        <v>1881</v>
      </c>
      <c r="V10" s="171"/>
      <c r="W10" s="80">
        <v>3729913</v>
      </c>
    </row>
    <row r="11" spans="1:23" ht="15.6" x14ac:dyDescent="0.3">
      <c r="A11" s="161" t="s">
        <v>1215</v>
      </c>
      <c r="B11" s="162">
        <v>21360804</v>
      </c>
      <c r="C11" s="163" t="s">
        <v>1216</v>
      </c>
      <c r="D11" s="163">
        <v>0</v>
      </c>
      <c r="E11" s="164" t="s">
        <v>472</v>
      </c>
      <c r="F11" s="161" t="s">
        <v>1645</v>
      </c>
      <c r="G11" s="165">
        <v>36494</v>
      </c>
      <c r="H11" s="166">
        <v>44196</v>
      </c>
      <c r="I11" s="167">
        <v>0</v>
      </c>
      <c r="J11" s="168">
        <v>0</v>
      </c>
      <c r="K11" s="125"/>
      <c r="L11" s="169">
        <v>0.18329999999999999</v>
      </c>
      <c r="M11" s="75">
        <v>155631</v>
      </c>
      <c r="N11" s="170">
        <v>14</v>
      </c>
      <c r="O11" s="170"/>
      <c r="P11" s="170"/>
      <c r="Q11" s="170"/>
      <c r="R11" s="161" t="s">
        <v>1580</v>
      </c>
      <c r="S11" s="162">
        <v>890905211</v>
      </c>
      <c r="T11" s="77" t="s">
        <v>1881</v>
      </c>
      <c r="U11" s="78" t="s">
        <v>1881</v>
      </c>
      <c r="V11" s="171"/>
      <c r="W11" s="80">
        <v>0</v>
      </c>
    </row>
    <row r="12" spans="1:23" ht="15.6" x14ac:dyDescent="0.3">
      <c r="A12" s="161" t="s">
        <v>1135</v>
      </c>
      <c r="B12" s="162">
        <v>8238115</v>
      </c>
      <c r="C12" s="163" t="s">
        <v>1136</v>
      </c>
      <c r="D12" s="163">
        <v>0</v>
      </c>
      <c r="E12" s="164" t="s">
        <v>472</v>
      </c>
      <c r="F12" s="161" t="s">
        <v>1645</v>
      </c>
      <c r="G12" s="165">
        <v>36860</v>
      </c>
      <c r="H12" s="166">
        <v>44196</v>
      </c>
      <c r="I12" s="167">
        <v>4876698.45</v>
      </c>
      <c r="J12" s="168">
        <v>650813.89</v>
      </c>
      <c r="K12" s="125"/>
      <c r="L12" s="169">
        <v>7.9100000000000004E-2</v>
      </c>
      <c r="M12" s="75">
        <v>78785</v>
      </c>
      <c r="N12" s="170">
        <v>14</v>
      </c>
      <c r="O12" s="170"/>
      <c r="P12" s="170"/>
      <c r="Q12" s="170"/>
      <c r="R12" s="161" t="s">
        <v>1580</v>
      </c>
      <c r="S12" s="162">
        <v>890905211</v>
      </c>
      <c r="T12" s="77">
        <v>21547126</v>
      </c>
      <c r="U12" s="78" t="s">
        <v>1741</v>
      </c>
      <c r="V12" s="171"/>
      <c r="W12" s="80">
        <v>1629487</v>
      </c>
    </row>
    <row r="13" spans="1:23" ht="15.6" x14ac:dyDescent="0.3">
      <c r="A13" s="161" t="s">
        <v>1217</v>
      </c>
      <c r="B13" s="162">
        <v>32416518</v>
      </c>
      <c r="C13" s="163" t="s">
        <v>1218</v>
      </c>
      <c r="D13" s="163">
        <v>0</v>
      </c>
      <c r="E13" s="164" t="s">
        <v>472</v>
      </c>
      <c r="F13" s="161" t="s">
        <v>1643</v>
      </c>
      <c r="G13" s="165">
        <v>36860</v>
      </c>
      <c r="H13" s="166">
        <v>44196</v>
      </c>
      <c r="I13" s="167">
        <v>26734929.77</v>
      </c>
      <c r="J13" s="168">
        <v>3567877.67</v>
      </c>
      <c r="K13" s="125"/>
      <c r="L13" s="169">
        <v>0.33529999999999999</v>
      </c>
      <c r="M13" s="75">
        <v>359613</v>
      </c>
      <c r="N13" s="170">
        <v>14</v>
      </c>
      <c r="O13" s="170"/>
      <c r="P13" s="170"/>
      <c r="Q13" s="170"/>
      <c r="R13" s="161" t="s">
        <v>1580</v>
      </c>
      <c r="S13" s="162">
        <v>890905211</v>
      </c>
      <c r="T13" s="77" t="s">
        <v>1881</v>
      </c>
      <c r="U13" s="78" t="s">
        <v>1881</v>
      </c>
      <c r="V13" s="171"/>
      <c r="W13" s="80">
        <v>2107400</v>
      </c>
    </row>
    <row r="14" spans="1:23" ht="15.6" x14ac:dyDescent="0.3">
      <c r="A14" s="161" t="s">
        <v>1219</v>
      </c>
      <c r="B14" s="162">
        <v>8273356</v>
      </c>
      <c r="C14" s="163" t="s">
        <v>1220</v>
      </c>
      <c r="D14" s="163">
        <v>0</v>
      </c>
      <c r="E14" s="164" t="s">
        <v>472</v>
      </c>
      <c r="F14" s="161" t="s">
        <v>1643</v>
      </c>
      <c r="G14" s="165">
        <v>40909</v>
      </c>
      <c r="H14" s="166">
        <v>44196</v>
      </c>
      <c r="I14" s="167">
        <v>10079946.119999999</v>
      </c>
      <c r="J14" s="168">
        <v>1345207</v>
      </c>
      <c r="K14" s="125"/>
      <c r="L14" s="169">
        <v>0.4375</v>
      </c>
      <c r="M14" s="75">
        <v>667713</v>
      </c>
      <c r="N14" s="170">
        <v>14</v>
      </c>
      <c r="O14" s="170"/>
      <c r="P14" s="170"/>
      <c r="Q14" s="170"/>
      <c r="R14" s="161" t="s">
        <v>1580</v>
      </c>
      <c r="S14" s="162">
        <v>890905211</v>
      </c>
      <c r="T14" s="77" t="s">
        <v>1881</v>
      </c>
      <c r="U14" s="78" t="s">
        <v>1881</v>
      </c>
      <c r="V14" s="171"/>
      <c r="W14" s="80">
        <v>608950</v>
      </c>
    </row>
    <row r="15" spans="1:23" ht="15.6" x14ac:dyDescent="0.3">
      <c r="A15" s="161" t="s">
        <v>1137</v>
      </c>
      <c r="B15" s="162">
        <v>32417836</v>
      </c>
      <c r="C15" s="163" t="s">
        <v>1138</v>
      </c>
      <c r="D15" s="163">
        <v>0</v>
      </c>
      <c r="E15" s="164" t="s">
        <v>472</v>
      </c>
      <c r="F15" s="161" t="s">
        <v>1643</v>
      </c>
      <c r="G15" s="165">
        <v>37590</v>
      </c>
      <c r="H15" s="166">
        <v>44196</v>
      </c>
      <c r="I15" s="167">
        <v>4507372.55</v>
      </c>
      <c r="J15" s="168">
        <v>601525.93999999994</v>
      </c>
      <c r="K15" s="125"/>
      <c r="L15" s="169">
        <v>4.7E-2</v>
      </c>
      <c r="M15" s="75">
        <v>781611</v>
      </c>
      <c r="N15" s="170">
        <v>14</v>
      </c>
      <c r="O15" s="170"/>
      <c r="P15" s="170"/>
      <c r="Q15" s="170"/>
      <c r="R15" s="161" t="s">
        <v>1580</v>
      </c>
      <c r="S15" s="162">
        <v>890905211</v>
      </c>
      <c r="T15" s="77" t="s">
        <v>1881</v>
      </c>
      <c r="U15" s="78" t="s">
        <v>1881</v>
      </c>
      <c r="V15" s="171"/>
      <c r="W15" s="80">
        <v>2534703</v>
      </c>
    </row>
    <row r="16" spans="1:23" ht="15.6" x14ac:dyDescent="0.3">
      <c r="A16" s="161" t="s">
        <v>1145</v>
      </c>
      <c r="B16" s="162">
        <v>8387556</v>
      </c>
      <c r="C16" s="163" t="s">
        <v>1146</v>
      </c>
      <c r="D16" s="163">
        <v>0</v>
      </c>
      <c r="E16" s="164" t="s">
        <v>472</v>
      </c>
      <c r="F16" s="161" t="s">
        <v>1643</v>
      </c>
      <c r="G16" s="165">
        <v>38246</v>
      </c>
      <c r="H16" s="166">
        <v>44196</v>
      </c>
      <c r="I16" s="167">
        <v>8301450.6200000001</v>
      </c>
      <c r="J16" s="168">
        <v>1107860.04</v>
      </c>
      <c r="K16" s="125"/>
      <c r="L16" s="169">
        <v>0.1313</v>
      </c>
      <c r="M16" s="75">
        <v>439598</v>
      </c>
      <c r="N16" s="170">
        <v>14</v>
      </c>
      <c r="O16" s="170"/>
      <c r="P16" s="170"/>
      <c r="Q16" s="170"/>
      <c r="R16" s="161" t="s">
        <v>1580</v>
      </c>
      <c r="S16" s="162">
        <v>890905211</v>
      </c>
      <c r="T16" s="77" t="s">
        <v>1881</v>
      </c>
      <c r="U16" s="78" t="s">
        <v>1881</v>
      </c>
      <c r="V16" s="171"/>
      <c r="W16" s="80">
        <v>1671055</v>
      </c>
    </row>
    <row r="17" spans="1:23" ht="15.6" x14ac:dyDescent="0.3">
      <c r="A17" s="161" t="s">
        <v>1221</v>
      </c>
      <c r="B17" s="162">
        <v>8276454</v>
      </c>
      <c r="C17" s="163" t="s">
        <v>1222</v>
      </c>
      <c r="D17" s="163">
        <v>0</v>
      </c>
      <c r="E17" s="164" t="s">
        <v>472</v>
      </c>
      <c r="F17" s="161" t="s">
        <v>1643</v>
      </c>
      <c r="G17" s="165">
        <v>38777</v>
      </c>
      <c r="H17" s="166">
        <v>44196</v>
      </c>
      <c r="I17" s="167">
        <v>38164294.590000004</v>
      </c>
      <c r="J17" s="168">
        <v>5093169.71</v>
      </c>
      <c r="K17" s="125"/>
      <c r="L17" s="169">
        <v>0.22939999999999999</v>
      </c>
      <c r="M17" s="75">
        <v>429951</v>
      </c>
      <c r="N17" s="170">
        <v>1</v>
      </c>
      <c r="O17" s="170"/>
      <c r="P17" s="170"/>
      <c r="Q17" s="170"/>
      <c r="R17" s="161" t="s">
        <v>1580</v>
      </c>
      <c r="S17" s="162">
        <v>890905211</v>
      </c>
      <c r="T17" s="77" t="s">
        <v>1881</v>
      </c>
      <c r="U17" s="78" t="s">
        <v>1881</v>
      </c>
      <c r="V17" s="171"/>
      <c r="W17" s="80">
        <v>4397089.5247999998</v>
      </c>
    </row>
    <row r="18" spans="1:23" ht="15.6" x14ac:dyDescent="0.3">
      <c r="A18" s="161" t="s">
        <v>1223</v>
      </c>
      <c r="B18" s="162">
        <v>8296085</v>
      </c>
      <c r="C18" s="163" t="s">
        <v>1224</v>
      </c>
      <c r="D18" s="163">
        <v>0</v>
      </c>
      <c r="E18" s="164" t="s">
        <v>472</v>
      </c>
      <c r="F18" s="161" t="s">
        <v>1643</v>
      </c>
      <c r="G18" s="165">
        <v>38817</v>
      </c>
      <c r="H18" s="166">
        <v>44196</v>
      </c>
      <c r="I18" s="172">
        <v>4977533.03</v>
      </c>
      <c r="J18" s="168">
        <v>664270.64</v>
      </c>
      <c r="K18" s="125"/>
      <c r="L18" s="169">
        <v>0.16539999999999999</v>
      </c>
      <c r="M18" s="75">
        <v>324680</v>
      </c>
      <c r="N18" s="170">
        <v>14</v>
      </c>
      <c r="O18" s="170"/>
      <c r="P18" s="170"/>
      <c r="Q18" s="170"/>
      <c r="R18" s="161" t="s">
        <v>1580</v>
      </c>
      <c r="S18" s="162">
        <v>890905211</v>
      </c>
      <c r="T18" s="77" t="s">
        <v>1881</v>
      </c>
      <c r="U18" s="78" t="s">
        <v>1881</v>
      </c>
      <c r="V18" s="171"/>
      <c r="W18" s="80">
        <v>795390</v>
      </c>
    </row>
    <row r="19" spans="1:23" ht="15.6" x14ac:dyDescent="0.3">
      <c r="A19" s="161" t="s">
        <v>1225</v>
      </c>
      <c r="B19" s="162">
        <v>6785613</v>
      </c>
      <c r="C19" s="163" t="s">
        <v>1226</v>
      </c>
      <c r="D19" s="163">
        <v>0</v>
      </c>
      <c r="E19" s="164" t="s">
        <v>472</v>
      </c>
      <c r="F19" s="161" t="s">
        <v>1645</v>
      </c>
      <c r="G19" s="165">
        <v>38839</v>
      </c>
      <c r="H19" s="166">
        <v>44196</v>
      </c>
      <c r="I19" s="172">
        <v>355591.43</v>
      </c>
      <c r="J19" s="168">
        <v>47455.02</v>
      </c>
      <c r="K19" s="125"/>
      <c r="L19" s="169">
        <v>1.15E-2</v>
      </c>
      <c r="M19" s="75">
        <v>28236</v>
      </c>
      <c r="N19" s="170">
        <v>14</v>
      </c>
      <c r="O19" s="170"/>
      <c r="P19" s="170"/>
      <c r="Q19" s="170"/>
      <c r="R19" s="161" t="s">
        <v>1580</v>
      </c>
      <c r="S19" s="162">
        <v>890905211</v>
      </c>
      <c r="T19" s="77">
        <v>32477167</v>
      </c>
      <c r="U19" s="78" t="s">
        <v>1748</v>
      </c>
      <c r="V19" s="173"/>
      <c r="W19" s="80">
        <v>817250</v>
      </c>
    </row>
    <row r="20" spans="1:23" ht="15.6" x14ac:dyDescent="0.3">
      <c r="A20" s="161" t="s">
        <v>1227</v>
      </c>
      <c r="B20" s="162">
        <v>8255630</v>
      </c>
      <c r="C20" s="163" t="s">
        <v>1228</v>
      </c>
      <c r="D20" s="163">
        <v>0</v>
      </c>
      <c r="E20" s="164" t="s">
        <v>472</v>
      </c>
      <c r="F20" s="161" t="s">
        <v>1643</v>
      </c>
      <c r="G20" s="165">
        <v>38867</v>
      </c>
      <c r="H20" s="166">
        <v>44196</v>
      </c>
      <c r="I20" s="172">
        <v>3804689.42</v>
      </c>
      <c r="J20" s="168">
        <v>507750.22</v>
      </c>
      <c r="K20" s="125"/>
      <c r="L20" s="169">
        <v>0.2213</v>
      </c>
      <c r="M20" s="75">
        <v>455383</v>
      </c>
      <c r="N20" s="170">
        <v>14</v>
      </c>
      <c r="O20" s="170"/>
      <c r="P20" s="170"/>
      <c r="Q20" s="170"/>
      <c r="R20" s="161" t="s">
        <v>1580</v>
      </c>
      <c r="S20" s="162">
        <v>890905211</v>
      </c>
      <c r="T20" s="77" t="s">
        <v>1881</v>
      </c>
      <c r="U20" s="78" t="s">
        <v>1881</v>
      </c>
      <c r="V20" s="171"/>
      <c r="W20" s="80">
        <v>454401</v>
      </c>
    </row>
    <row r="21" spans="1:23" ht="15.6" x14ac:dyDescent="0.3">
      <c r="A21" s="161" t="s">
        <v>1229</v>
      </c>
      <c r="B21" s="162">
        <v>8303286</v>
      </c>
      <c r="C21" s="163" t="s">
        <v>1230</v>
      </c>
      <c r="D21" s="163">
        <v>0</v>
      </c>
      <c r="E21" s="164" t="s">
        <v>472</v>
      </c>
      <c r="F21" s="161" t="s">
        <v>1645</v>
      </c>
      <c r="G21" s="165">
        <v>38867</v>
      </c>
      <c r="H21" s="166"/>
      <c r="I21" s="167">
        <v>10296807.26</v>
      </c>
      <c r="J21" s="168">
        <v>1374147.94</v>
      </c>
      <c r="K21" s="125"/>
      <c r="L21" s="169">
        <v>0.40970000000000001</v>
      </c>
      <c r="M21" s="75">
        <v>737646</v>
      </c>
      <c r="N21" s="170">
        <v>14</v>
      </c>
      <c r="O21" s="170"/>
      <c r="P21" s="170"/>
      <c r="Q21" s="170"/>
      <c r="R21" s="161" t="s">
        <v>1580</v>
      </c>
      <c r="S21" s="162">
        <v>890905211</v>
      </c>
      <c r="T21" s="77">
        <v>32504356</v>
      </c>
      <c r="U21" s="78" t="s">
        <v>1749</v>
      </c>
      <c r="V21" s="171"/>
      <c r="W21" s="80">
        <v>664260</v>
      </c>
    </row>
    <row r="22" spans="1:23" ht="15.6" x14ac:dyDescent="0.3">
      <c r="A22" s="161" t="s">
        <v>1231</v>
      </c>
      <c r="B22" s="162">
        <v>8343098</v>
      </c>
      <c r="C22" s="163" t="s">
        <v>1232</v>
      </c>
      <c r="D22" s="163">
        <v>0</v>
      </c>
      <c r="E22" s="164" t="s">
        <v>472</v>
      </c>
      <c r="F22" s="161" t="s">
        <v>1643</v>
      </c>
      <c r="G22" s="165">
        <v>38899</v>
      </c>
      <c r="H22" s="166">
        <v>44196</v>
      </c>
      <c r="I22" s="167">
        <v>15902625.800000001</v>
      </c>
      <c r="J22" s="168">
        <v>2122265.67</v>
      </c>
      <c r="K22" s="125"/>
      <c r="L22" s="169">
        <v>0.1033</v>
      </c>
      <c r="M22" s="75">
        <v>179156</v>
      </c>
      <c r="N22" s="170">
        <v>1</v>
      </c>
      <c r="O22" s="170"/>
      <c r="P22" s="170"/>
      <c r="Q22" s="170"/>
      <c r="R22" s="161" t="s">
        <v>1580</v>
      </c>
      <c r="S22" s="162">
        <v>890905211</v>
      </c>
      <c r="T22" s="77" t="s">
        <v>1881</v>
      </c>
      <c r="U22" s="78" t="s">
        <v>1881</v>
      </c>
      <c r="V22" s="171"/>
      <c r="W22" s="80">
        <v>4068834.2607999998</v>
      </c>
    </row>
    <row r="23" spans="1:23" ht="15.6" x14ac:dyDescent="0.3">
      <c r="A23" s="161" t="s">
        <v>1233</v>
      </c>
      <c r="B23" s="162">
        <v>15330734</v>
      </c>
      <c r="C23" s="163" t="s">
        <v>1234</v>
      </c>
      <c r="D23" s="163">
        <v>0</v>
      </c>
      <c r="E23" s="164" t="s">
        <v>472</v>
      </c>
      <c r="F23" s="161" t="s">
        <v>1645</v>
      </c>
      <c r="G23" s="165">
        <v>39692</v>
      </c>
      <c r="H23" s="166">
        <v>44196</v>
      </c>
      <c r="I23" s="167">
        <v>45139.79</v>
      </c>
      <c r="J23" s="168">
        <v>6024.08</v>
      </c>
      <c r="K23" s="125"/>
      <c r="L23" s="169">
        <v>3.3999999999999998E-3</v>
      </c>
      <c r="M23" s="75">
        <v>3303</v>
      </c>
      <c r="N23" s="170">
        <v>14</v>
      </c>
      <c r="O23" s="170"/>
      <c r="P23" s="170"/>
      <c r="Q23" s="170"/>
      <c r="R23" s="161" t="s">
        <v>1580</v>
      </c>
      <c r="S23" s="162">
        <v>890905211</v>
      </c>
      <c r="T23" s="77">
        <v>39380446</v>
      </c>
      <c r="U23" s="78" t="s">
        <v>1750</v>
      </c>
      <c r="V23" s="171"/>
      <c r="W23" s="80">
        <v>350899</v>
      </c>
    </row>
    <row r="24" spans="1:23" ht="15.6" x14ac:dyDescent="0.3">
      <c r="A24" s="161" t="s">
        <v>1235</v>
      </c>
      <c r="B24" s="162">
        <v>6785902</v>
      </c>
      <c r="C24" s="163" t="s">
        <v>1236</v>
      </c>
      <c r="D24" s="163">
        <v>0</v>
      </c>
      <c r="E24" s="164" t="s">
        <v>592</v>
      </c>
      <c r="F24" s="161" t="s">
        <v>1643</v>
      </c>
      <c r="G24" s="165">
        <v>38777</v>
      </c>
      <c r="H24" s="166">
        <v>44196</v>
      </c>
      <c r="I24" s="167">
        <v>31960664.129999999</v>
      </c>
      <c r="J24" s="168">
        <v>4265271.72</v>
      </c>
      <c r="K24" s="125"/>
      <c r="L24" s="169">
        <v>0.1221</v>
      </c>
      <c r="M24" s="75">
        <v>232379</v>
      </c>
      <c r="N24" s="170">
        <v>1</v>
      </c>
      <c r="O24" s="170"/>
      <c r="P24" s="170"/>
      <c r="Q24" s="170"/>
      <c r="R24" s="161" t="s">
        <v>1581</v>
      </c>
      <c r="S24" s="162">
        <v>890980093</v>
      </c>
      <c r="T24" s="77" t="s">
        <v>1881</v>
      </c>
      <c r="U24" s="78" t="s">
        <v>1881</v>
      </c>
      <c r="V24" s="171"/>
      <c r="W24" s="80">
        <v>6918335.3952000001</v>
      </c>
    </row>
    <row r="25" spans="1:23" ht="15.6" x14ac:dyDescent="0.3">
      <c r="A25" s="161" t="s">
        <v>1237</v>
      </c>
      <c r="B25" s="162">
        <v>8310285</v>
      </c>
      <c r="C25" s="163" t="s">
        <v>1238</v>
      </c>
      <c r="D25" s="163">
        <v>0</v>
      </c>
      <c r="E25" s="164" t="s">
        <v>592</v>
      </c>
      <c r="F25" s="161" t="s">
        <v>1643</v>
      </c>
      <c r="G25" s="165">
        <v>39051</v>
      </c>
      <c r="H25" s="166"/>
      <c r="I25" s="167">
        <v>41796620.68</v>
      </c>
      <c r="J25" s="168">
        <v>5577917.3899999997</v>
      </c>
      <c r="K25" s="125"/>
      <c r="L25" s="169">
        <v>0.2697</v>
      </c>
      <c r="M25" s="75">
        <v>475762</v>
      </c>
      <c r="N25" s="170">
        <v>1</v>
      </c>
      <c r="O25" s="170"/>
      <c r="P25" s="170"/>
      <c r="Q25" s="170"/>
      <c r="R25" s="161" t="s">
        <v>1582</v>
      </c>
      <c r="S25" s="162">
        <v>890980136</v>
      </c>
      <c r="T25" s="77" t="s">
        <v>1881</v>
      </c>
      <c r="U25" s="78" t="s">
        <v>1881</v>
      </c>
      <c r="V25" s="171"/>
      <c r="W25" s="80">
        <v>4096016.568</v>
      </c>
    </row>
    <row r="26" spans="1:23" ht="15.6" x14ac:dyDescent="0.3">
      <c r="A26" s="161" t="s">
        <v>1239</v>
      </c>
      <c r="B26" s="162">
        <v>32439678</v>
      </c>
      <c r="C26" s="163" t="s">
        <v>1240</v>
      </c>
      <c r="D26" s="163">
        <v>0</v>
      </c>
      <c r="E26" s="164" t="s">
        <v>592</v>
      </c>
      <c r="F26" s="161" t="s">
        <v>1643</v>
      </c>
      <c r="G26" s="165">
        <v>37955</v>
      </c>
      <c r="H26" s="166"/>
      <c r="I26" s="167">
        <v>10991002.289999999</v>
      </c>
      <c r="J26" s="168">
        <v>1466790.9</v>
      </c>
      <c r="K26" s="125"/>
      <c r="L26" s="169">
        <v>0.15740000000000001</v>
      </c>
      <c r="M26" s="75">
        <v>467172</v>
      </c>
      <c r="N26" s="170">
        <v>14</v>
      </c>
      <c r="O26" s="170"/>
      <c r="P26" s="170"/>
      <c r="Q26" s="170"/>
      <c r="R26" s="161" t="s">
        <v>1583</v>
      </c>
      <c r="S26" s="162">
        <v>890980179</v>
      </c>
      <c r="T26" s="77" t="s">
        <v>1881</v>
      </c>
      <c r="U26" s="78" t="s">
        <v>1881</v>
      </c>
      <c r="V26" s="171"/>
      <c r="W26" s="80">
        <v>1845585</v>
      </c>
    </row>
    <row r="27" spans="1:23" ht="15.6" x14ac:dyDescent="0.3">
      <c r="A27" s="161" t="s">
        <v>1233</v>
      </c>
      <c r="B27" s="162">
        <v>15330734</v>
      </c>
      <c r="C27" s="163" t="s">
        <v>1234</v>
      </c>
      <c r="D27" s="163">
        <v>0</v>
      </c>
      <c r="E27" s="164" t="s">
        <v>19</v>
      </c>
      <c r="F27" s="161" t="s">
        <v>1645</v>
      </c>
      <c r="G27" s="165">
        <v>39692</v>
      </c>
      <c r="H27" s="166"/>
      <c r="I27" s="167">
        <v>45139.79</v>
      </c>
      <c r="J27" s="168">
        <v>6024.08</v>
      </c>
      <c r="K27" s="125"/>
      <c r="L27" s="169">
        <v>3.3999999999999998E-3</v>
      </c>
      <c r="M27" s="75">
        <v>11174</v>
      </c>
      <c r="N27" s="170">
        <v>14</v>
      </c>
      <c r="O27" s="170"/>
      <c r="P27" s="170"/>
      <c r="Q27" s="170"/>
      <c r="R27" s="161" t="s">
        <v>1584</v>
      </c>
      <c r="S27" s="162">
        <v>890980344</v>
      </c>
      <c r="T27" s="77">
        <v>39380446</v>
      </c>
      <c r="U27" s="78" t="s">
        <v>1750</v>
      </c>
      <c r="V27" s="171"/>
      <c r="W27" s="80">
        <v>350899</v>
      </c>
    </row>
    <row r="28" spans="1:23" ht="15.6" x14ac:dyDescent="0.3">
      <c r="A28" s="161" t="s">
        <v>1241</v>
      </c>
      <c r="B28" s="162">
        <v>12101028</v>
      </c>
      <c r="C28" s="163" t="s">
        <v>1242</v>
      </c>
      <c r="D28" s="163">
        <v>0</v>
      </c>
      <c r="E28" s="164" t="s">
        <v>472</v>
      </c>
      <c r="F28" s="161" t="s">
        <v>1645</v>
      </c>
      <c r="G28" s="165">
        <v>39508</v>
      </c>
      <c r="H28" s="166"/>
      <c r="I28" s="167">
        <v>0</v>
      </c>
      <c r="J28" s="168">
        <v>0</v>
      </c>
      <c r="K28" s="125"/>
      <c r="L28" s="169">
        <v>1.6500000000000001E-2</v>
      </c>
      <c r="M28" s="75">
        <v>31314</v>
      </c>
      <c r="N28" s="170">
        <v>13</v>
      </c>
      <c r="O28" s="170"/>
      <c r="P28" s="170"/>
      <c r="Q28" s="170"/>
      <c r="R28" s="161" t="s">
        <v>1585</v>
      </c>
      <c r="S28" s="162">
        <v>891180001</v>
      </c>
      <c r="T28" s="77" t="s">
        <v>1881</v>
      </c>
      <c r="U28" s="78" t="s">
        <v>1881</v>
      </c>
      <c r="V28" s="171"/>
      <c r="W28" s="80">
        <v>0</v>
      </c>
    </row>
    <row r="29" spans="1:23" ht="15.6" x14ac:dyDescent="0.3">
      <c r="A29" s="161" t="s">
        <v>1243</v>
      </c>
      <c r="B29" s="162">
        <v>4869628</v>
      </c>
      <c r="C29" s="163" t="s">
        <v>1244</v>
      </c>
      <c r="D29" s="163">
        <v>0</v>
      </c>
      <c r="E29" s="164" t="s">
        <v>472</v>
      </c>
      <c r="F29" s="161" t="s">
        <v>1645</v>
      </c>
      <c r="G29" s="165">
        <v>33349</v>
      </c>
      <c r="H29" s="166"/>
      <c r="I29" s="167">
        <v>46034767.5</v>
      </c>
      <c r="J29" s="168">
        <v>6143514.1399999997</v>
      </c>
      <c r="K29" s="125"/>
      <c r="L29" s="169">
        <v>0.2576</v>
      </c>
      <c r="M29" s="75">
        <v>17346</v>
      </c>
      <c r="N29" s="170">
        <v>14</v>
      </c>
      <c r="O29" s="170"/>
      <c r="P29" s="170"/>
      <c r="Q29" s="170"/>
      <c r="R29" s="161" t="s">
        <v>1586</v>
      </c>
      <c r="S29" s="162">
        <v>891180009</v>
      </c>
      <c r="T29" s="77">
        <v>26411008</v>
      </c>
      <c r="U29" s="78" t="s">
        <v>1751</v>
      </c>
      <c r="V29" s="171"/>
      <c r="W29" s="80">
        <v>4723257</v>
      </c>
    </row>
    <row r="30" spans="1:23" ht="15.6" x14ac:dyDescent="0.3">
      <c r="A30" s="161" t="s">
        <v>1245</v>
      </c>
      <c r="B30" s="162">
        <v>20162585</v>
      </c>
      <c r="C30" s="163" t="s">
        <v>1246</v>
      </c>
      <c r="D30" s="163">
        <v>0</v>
      </c>
      <c r="E30" s="164" t="s">
        <v>19</v>
      </c>
      <c r="F30" s="161" t="s">
        <v>1643</v>
      </c>
      <c r="G30" s="165">
        <v>34303</v>
      </c>
      <c r="H30" s="166"/>
      <c r="I30" s="167">
        <v>313835.46999999997</v>
      </c>
      <c r="J30" s="168">
        <v>41882.53</v>
      </c>
      <c r="K30" s="125"/>
      <c r="L30" s="169">
        <v>3.7699999999999997E-2</v>
      </c>
      <c r="M30" s="75">
        <v>11877</v>
      </c>
      <c r="N30" s="170">
        <v>14</v>
      </c>
      <c r="O30" s="170"/>
      <c r="P30" s="170"/>
      <c r="Q30" s="170"/>
      <c r="R30" s="161" t="s">
        <v>1587</v>
      </c>
      <c r="S30" s="162">
        <v>891280000</v>
      </c>
      <c r="T30" s="77" t="s">
        <v>1881</v>
      </c>
      <c r="U30" s="78" t="s">
        <v>1881</v>
      </c>
      <c r="V30" s="171"/>
      <c r="W30" s="80">
        <v>220020</v>
      </c>
    </row>
    <row r="31" spans="1:23" ht="15.6" x14ac:dyDescent="0.3">
      <c r="A31" s="161" t="s">
        <v>977</v>
      </c>
      <c r="B31" s="162">
        <v>6366164</v>
      </c>
      <c r="C31" s="163" t="s">
        <v>978</v>
      </c>
      <c r="D31" s="163">
        <v>0</v>
      </c>
      <c r="E31" s="164" t="s">
        <v>19</v>
      </c>
      <c r="F31" s="161" t="s">
        <v>1643</v>
      </c>
      <c r="G31" s="165">
        <v>34700</v>
      </c>
      <c r="H31" s="166"/>
      <c r="I31" s="167">
        <v>1661923.88</v>
      </c>
      <c r="J31" s="168">
        <v>221790.04</v>
      </c>
      <c r="K31" s="125"/>
      <c r="L31" s="169">
        <v>6.7500000000000004E-2</v>
      </c>
      <c r="M31" s="75">
        <v>184299</v>
      </c>
      <c r="N31" s="170">
        <v>14</v>
      </c>
      <c r="O31" s="170"/>
      <c r="P31" s="170"/>
      <c r="Q31" s="170"/>
      <c r="R31" s="161" t="s">
        <v>1588</v>
      </c>
      <c r="S31" s="162">
        <v>891380007</v>
      </c>
      <c r="T31" s="77" t="s">
        <v>1881</v>
      </c>
      <c r="U31" s="78" t="s">
        <v>1881</v>
      </c>
      <c r="V31" s="171"/>
      <c r="W31" s="80">
        <v>650742</v>
      </c>
    </row>
    <row r="32" spans="1:23" ht="15.6" x14ac:dyDescent="0.3">
      <c r="A32" s="161" t="s">
        <v>1247</v>
      </c>
      <c r="B32" s="162">
        <v>31138356</v>
      </c>
      <c r="C32" s="163" t="s">
        <v>1248</v>
      </c>
      <c r="D32" s="163">
        <v>0</v>
      </c>
      <c r="E32" s="164" t="s">
        <v>592</v>
      </c>
      <c r="F32" s="161" t="s">
        <v>1643</v>
      </c>
      <c r="G32" s="165">
        <v>39479</v>
      </c>
      <c r="H32" s="166">
        <v>45156</v>
      </c>
      <c r="I32" s="167">
        <v>266215.45</v>
      </c>
      <c r="J32" s="168">
        <v>35527.46</v>
      </c>
      <c r="K32" s="125"/>
      <c r="L32" s="169">
        <v>7.8899999999999998E-2</v>
      </c>
      <c r="M32" s="75">
        <v>155941</v>
      </c>
      <c r="N32" s="170">
        <v>13</v>
      </c>
      <c r="O32" s="170"/>
      <c r="P32" s="170"/>
      <c r="Q32" s="170"/>
      <c r="R32" s="161" t="s">
        <v>1588</v>
      </c>
      <c r="S32" s="162">
        <v>891380007</v>
      </c>
      <c r="T32" s="77" t="s">
        <v>1881</v>
      </c>
      <c r="U32" s="78" t="s">
        <v>1881</v>
      </c>
      <c r="V32" s="171"/>
      <c r="W32" s="80">
        <v>89178</v>
      </c>
    </row>
    <row r="33" spans="1:23" ht="15.6" x14ac:dyDescent="0.3">
      <c r="A33" s="161" t="s">
        <v>1249</v>
      </c>
      <c r="B33" s="162">
        <v>14979212</v>
      </c>
      <c r="C33" s="163" t="s">
        <v>1250</v>
      </c>
      <c r="D33" s="163">
        <v>0</v>
      </c>
      <c r="E33" s="164" t="s">
        <v>19</v>
      </c>
      <c r="F33" s="161" t="s">
        <v>1645</v>
      </c>
      <c r="G33" s="165">
        <v>39753</v>
      </c>
      <c r="H33" s="166"/>
      <c r="I33" s="172">
        <v>0</v>
      </c>
      <c r="J33" s="168">
        <v>0</v>
      </c>
      <c r="K33" s="125"/>
      <c r="L33" s="169">
        <v>4.2999999999999997E-2</v>
      </c>
      <c r="M33" s="75">
        <v>79655</v>
      </c>
      <c r="N33" s="170">
        <v>13</v>
      </c>
      <c r="O33" s="170"/>
      <c r="P33" s="170"/>
      <c r="Q33" s="170"/>
      <c r="R33" s="161" t="s">
        <v>1588</v>
      </c>
      <c r="S33" s="162">
        <v>891380007</v>
      </c>
      <c r="T33" s="77" t="s">
        <v>1881</v>
      </c>
      <c r="U33" s="78" t="s">
        <v>1881</v>
      </c>
      <c r="V33" s="171"/>
      <c r="W33" s="80">
        <v>0</v>
      </c>
    </row>
    <row r="34" spans="1:23" ht="15.6" x14ac:dyDescent="0.3">
      <c r="A34" s="161" t="s">
        <v>1251</v>
      </c>
      <c r="B34" s="162">
        <v>29279203</v>
      </c>
      <c r="C34" s="163" t="s">
        <v>1252</v>
      </c>
      <c r="D34" s="163">
        <v>0</v>
      </c>
      <c r="E34" s="164" t="s">
        <v>472</v>
      </c>
      <c r="F34" s="161" t="s">
        <v>1643</v>
      </c>
      <c r="G34" s="165">
        <v>34700</v>
      </c>
      <c r="H34" s="166"/>
      <c r="I34" s="167">
        <v>5509960.0099999998</v>
      </c>
      <c r="J34" s="168">
        <v>735325.04</v>
      </c>
      <c r="K34" s="125"/>
      <c r="L34" s="169">
        <v>0.17760000000000001</v>
      </c>
      <c r="M34" s="75">
        <v>108726</v>
      </c>
      <c r="N34" s="170">
        <v>14</v>
      </c>
      <c r="O34" s="170"/>
      <c r="P34" s="170"/>
      <c r="Q34" s="170"/>
      <c r="R34" s="161" t="s">
        <v>1589</v>
      </c>
      <c r="S34" s="162">
        <v>891380033</v>
      </c>
      <c r="T34" s="77" t="s">
        <v>1881</v>
      </c>
      <c r="U34" s="78" t="s">
        <v>1881</v>
      </c>
      <c r="V34" s="171"/>
      <c r="W34" s="80">
        <v>819987</v>
      </c>
    </row>
    <row r="35" spans="1:23" ht="15.6" x14ac:dyDescent="0.3">
      <c r="A35" s="161" t="s">
        <v>1253</v>
      </c>
      <c r="B35" s="162">
        <v>6183479</v>
      </c>
      <c r="C35" s="163" t="s">
        <v>1254</v>
      </c>
      <c r="D35" s="163">
        <v>0</v>
      </c>
      <c r="E35" s="164" t="s">
        <v>19</v>
      </c>
      <c r="F35" s="161" t="s">
        <v>1643</v>
      </c>
      <c r="G35" s="165">
        <v>35796</v>
      </c>
      <c r="H35" s="174"/>
      <c r="I35" s="172">
        <v>3287927.58</v>
      </c>
      <c r="J35" s="168">
        <v>438786.39</v>
      </c>
      <c r="K35" s="125"/>
      <c r="L35" s="169">
        <v>0.222</v>
      </c>
      <c r="M35" s="75">
        <v>181576</v>
      </c>
      <c r="N35" s="170">
        <v>14</v>
      </c>
      <c r="O35" s="170"/>
      <c r="P35" s="170"/>
      <c r="Q35" s="170"/>
      <c r="R35" s="161" t="s">
        <v>1589</v>
      </c>
      <c r="S35" s="162">
        <v>891380033</v>
      </c>
      <c r="T35" s="77" t="s">
        <v>1881</v>
      </c>
      <c r="U35" s="78" t="s">
        <v>1881</v>
      </c>
      <c r="V35" s="171"/>
      <c r="W35" s="80">
        <v>391445</v>
      </c>
    </row>
    <row r="36" spans="1:23" ht="15.6" x14ac:dyDescent="0.3">
      <c r="A36" s="161" t="s">
        <v>1255</v>
      </c>
      <c r="B36" s="162">
        <v>29655686</v>
      </c>
      <c r="C36" s="163" t="s">
        <v>982</v>
      </c>
      <c r="D36" s="163">
        <v>0</v>
      </c>
      <c r="E36" s="164" t="s">
        <v>472</v>
      </c>
      <c r="F36" s="161" t="s">
        <v>1643</v>
      </c>
      <c r="G36" s="165">
        <v>35064</v>
      </c>
      <c r="H36" s="174"/>
      <c r="I36" s="172">
        <v>5344261.6500000004</v>
      </c>
      <c r="J36" s="168">
        <v>713211.97</v>
      </c>
      <c r="K36" s="125"/>
      <c r="L36" s="169">
        <v>0.14199999999999999</v>
      </c>
      <c r="M36" s="75">
        <v>81154</v>
      </c>
      <c r="N36" s="170">
        <v>14</v>
      </c>
      <c r="O36" s="170"/>
      <c r="P36" s="170"/>
      <c r="Q36" s="170"/>
      <c r="R36" s="161" t="s">
        <v>1590</v>
      </c>
      <c r="S36" s="162">
        <v>891380036</v>
      </c>
      <c r="T36" s="77" t="s">
        <v>1881</v>
      </c>
      <c r="U36" s="78" t="s">
        <v>1881</v>
      </c>
      <c r="V36" s="171"/>
      <c r="W36" s="80">
        <v>994720</v>
      </c>
    </row>
    <row r="37" spans="1:23" ht="15.6" x14ac:dyDescent="0.3">
      <c r="A37" s="161" t="s">
        <v>912</v>
      </c>
      <c r="B37" s="162">
        <v>38972862</v>
      </c>
      <c r="C37" s="163" t="s">
        <v>913</v>
      </c>
      <c r="D37" s="163">
        <v>0</v>
      </c>
      <c r="E37" s="164" t="s">
        <v>472</v>
      </c>
      <c r="F37" s="161" t="s">
        <v>1643</v>
      </c>
      <c r="G37" s="165">
        <v>34700</v>
      </c>
      <c r="H37" s="174"/>
      <c r="I37" s="172">
        <v>1804168.51</v>
      </c>
      <c r="J37" s="168">
        <v>240773.12</v>
      </c>
      <c r="K37" s="125"/>
      <c r="L37" s="169">
        <v>2.6100000000000002E-2</v>
      </c>
      <c r="M37" s="75">
        <v>16397</v>
      </c>
      <c r="N37" s="170">
        <v>14</v>
      </c>
      <c r="O37" s="170"/>
      <c r="P37" s="170"/>
      <c r="Q37" s="170"/>
      <c r="R37" s="161" t="s">
        <v>1591</v>
      </c>
      <c r="S37" s="162">
        <v>891380054</v>
      </c>
      <c r="T37" s="77" t="s">
        <v>1881</v>
      </c>
      <c r="U37" s="78" t="s">
        <v>1881</v>
      </c>
      <c r="V37" s="171"/>
      <c r="W37" s="80">
        <v>1826998</v>
      </c>
    </row>
    <row r="38" spans="1:23" ht="15.6" x14ac:dyDescent="0.3">
      <c r="A38" s="161" t="s">
        <v>1256</v>
      </c>
      <c r="B38" s="162">
        <v>10055169</v>
      </c>
      <c r="C38" s="163" t="s">
        <v>1257</v>
      </c>
      <c r="D38" s="163">
        <v>0</v>
      </c>
      <c r="E38" s="164" t="s">
        <v>19</v>
      </c>
      <c r="F38" s="161" t="s">
        <v>1645</v>
      </c>
      <c r="G38" s="165">
        <v>37407</v>
      </c>
      <c r="H38" s="174"/>
      <c r="I38" s="167">
        <v>14483608.42</v>
      </c>
      <c r="J38" s="168">
        <v>1932892.42</v>
      </c>
      <c r="K38" s="125"/>
      <c r="L38" s="169">
        <v>0.14510000000000001</v>
      </c>
      <c r="M38" s="75">
        <v>157711</v>
      </c>
      <c r="N38" s="170">
        <v>14</v>
      </c>
      <c r="O38" s="170"/>
      <c r="P38" s="170"/>
      <c r="Q38" s="170"/>
      <c r="R38" s="161" t="s">
        <v>1592</v>
      </c>
      <c r="S38" s="162">
        <v>891480030</v>
      </c>
      <c r="T38" s="77">
        <v>31405287</v>
      </c>
      <c r="U38" s="78" t="s">
        <v>1752</v>
      </c>
      <c r="V38" s="171"/>
      <c r="W38" s="80">
        <v>2638219</v>
      </c>
    </row>
    <row r="39" spans="1:23" ht="16.2" thickBot="1" x14ac:dyDescent="0.35">
      <c r="A39" s="161" t="s">
        <v>1258</v>
      </c>
      <c r="B39" s="162">
        <v>25168950</v>
      </c>
      <c r="C39" s="163" t="s">
        <v>1259</v>
      </c>
      <c r="D39" s="163">
        <v>0</v>
      </c>
      <c r="E39" s="164" t="s">
        <v>592</v>
      </c>
      <c r="F39" s="161" t="s">
        <v>1643</v>
      </c>
      <c r="G39" s="165">
        <v>40210</v>
      </c>
      <c r="H39" s="174"/>
      <c r="I39" s="167">
        <v>814652.63</v>
      </c>
      <c r="J39" s="168">
        <v>108718.48</v>
      </c>
      <c r="K39" s="128"/>
      <c r="L39" s="169">
        <v>6.0600000000000001E-2</v>
      </c>
      <c r="M39" s="75">
        <v>127705</v>
      </c>
      <c r="N39" s="170">
        <v>13</v>
      </c>
      <c r="O39" s="170"/>
      <c r="P39" s="170"/>
      <c r="Q39" s="170"/>
      <c r="R39" s="161" t="s">
        <v>1592</v>
      </c>
      <c r="S39" s="162">
        <v>891480030</v>
      </c>
      <c r="T39" s="77" t="s">
        <v>1881</v>
      </c>
      <c r="U39" s="78" t="s">
        <v>1881</v>
      </c>
      <c r="V39" s="171"/>
      <c r="W39" s="80">
        <v>355305</v>
      </c>
    </row>
    <row r="40" spans="1:23" ht="15.6" x14ac:dyDescent="0.3">
      <c r="A40" s="161" t="s">
        <v>1092</v>
      </c>
      <c r="B40" s="162">
        <v>25651081</v>
      </c>
      <c r="C40" s="163" t="s">
        <v>1093</v>
      </c>
      <c r="D40" s="163">
        <v>0</v>
      </c>
      <c r="E40" s="164" t="s">
        <v>19</v>
      </c>
      <c r="F40" s="161" t="s">
        <v>1645</v>
      </c>
      <c r="G40" s="165">
        <v>29649</v>
      </c>
      <c r="H40" s="174"/>
      <c r="I40" s="167">
        <v>0</v>
      </c>
      <c r="J40" s="168">
        <v>0</v>
      </c>
      <c r="K40" s="127"/>
      <c r="L40" s="169">
        <v>0.3861</v>
      </c>
      <c r="M40" s="75">
        <v>3753</v>
      </c>
      <c r="N40" s="170">
        <v>14</v>
      </c>
      <c r="O40" s="170">
        <v>0</v>
      </c>
      <c r="P40" s="175">
        <v>25587</v>
      </c>
      <c r="Q40" s="170">
        <v>0</v>
      </c>
      <c r="R40" s="161" t="s">
        <v>1593</v>
      </c>
      <c r="S40" s="162">
        <v>891480085</v>
      </c>
      <c r="T40" s="77" t="s">
        <v>1881</v>
      </c>
      <c r="U40" s="78" t="s">
        <v>1881</v>
      </c>
      <c r="V40" s="171"/>
      <c r="W40" s="80">
        <v>0</v>
      </c>
    </row>
    <row r="41" spans="1:23" ht="15.6" x14ac:dyDescent="0.3">
      <c r="A41" s="161" t="s">
        <v>1256</v>
      </c>
      <c r="B41" s="162">
        <v>10055169</v>
      </c>
      <c r="C41" s="163" t="s">
        <v>1257</v>
      </c>
      <c r="D41" s="163">
        <v>0</v>
      </c>
      <c r="E41" s="164" t="s">
        <v>472</v>
      </c>
      <c r="F41" s="161" t="s">
        <v>1645</v>
      </c>
      <c r="G41" s="165">
        <v>37407</v>
      </c>
      <c r="H41" s="174" t="s">
        <v>1056</v>
      </c>
      <c r="I41" s="167">
        <v>14483608.42</v>
      </c>
      <c r="J41" s="168">
        <v>1932892.42</v>
      </c>
      <c r="K41" s="125"/>
      <c r="L41" s="169">
        <v>0.14510000000000001</v>
      </c>
      <c r="M41" s="75">
        <v>250818</v>
      </c>
      <c r="N41" s="170">
        <v>14</v>
      </c>
      <c r="O41" s="170">
        <v>0</v>
      </c>
      <c r="P41" s="175">
        <v>1072511</v>
      </c>
      <c r="Q41" s="175">
        <v>1005612</v>
      </c>
      <c r="R41" s="161" t="s">
        <v>1593</v>
      </c>
      <c r="S41" s="162">
        <v>891480085</v>
      </c>
      <c r="T41" s="77">
        <v>31405287</v>
      </c>
      <c r="U41" s="78" t="s">
        <v>1752</v>
      </c>
      <c r="V41" s="171"/>
      <c r="W41" s="80">
        <v>2638219</v>
      </c>
    </row>
    <row r="42" spans="1:23" ht="15.6" x14ac:dyDescent="0.3">
      <c r="A42" s="161" t="s">
        <v>1260</v>
      </c>
      <c r="B42" s="162">
        <v>10068884</v>
      </c>
      <c r="C42" s="163" t="s">
        <v>1261</v>
      </c>
      <c r="D42" s="163">
        <v>0</v>
      </c>
      <c r="E42" s="164" t="s">
        <v>19</v>
      </c>
      <c r="F42" s="161" t="s">
        <v>1645</v>
      </c>
      <c r="G42" s="165">
        <v>38718</v>
      </c>
      <c r="H42" s="174" t="s">
        <v>1056</v>
      </c>
      <c r="I42" s="172">
        <v>0</v>
      </c>
      <c r="J42" s="168">
        <v>0</v>
      </c>
      <c r="K42" s="125"/>
      <c r="L42" s="169">
        <v>3.27E-2</v>
      </c>
      <c r="M42" s="75">
        <v>55730</v>
      </c>
      <c r="N42" s="170">
        <v>1</v>
      </c>
      <c r="O42" s="170">
        <v>0</v>
      </c>
      <c r="P42" s="175">
        <v>1704295</v>
      </c>
      <c r="Q42" s="170">
        <v>0</v>
      </c>
      <c r="R42" s="161" t="s">
        <v>1593</v>
      </c>
      <c r="S42" s="162">
        <v>891480085</v>
      </c>
      <c r="T42" s="77">
        <v>1087550359</v>
      </c>
      <c r="U42" s="78" t="s">
        <v>1753</v>
      </c>
      <c r="V42" s="171"/>
      <c r="W42" s="80">
        <v>0</v>
      </c>
    </row>
    <row r="43" spans="1:23" ht="16.2" thickBot="1" x14ac:dyDescent="0.35">
      <c r="A43" s="89" t="s">
        <v>1262</v>
      </c>
      <c r="B43" s="90">
        <v>10217838</v>
      </c>
      <c r="C43" s="163" t="s">
        <v>1263</v>
      </c>
      <c r="D43" s="163">
        <v>0</v>
      </c>
      <c r="E43" s="91" t="s">
        <v>472</v>
      </c>
      <c r="F43" s="161" t="s">
        <v>1643</v>
      </c>
      <c r="G43" s="165">
        <v>39050</v>
      </c>
      <c r="H43" s="120">
        <v>41425</v>
      </c>
      <c r="I43" s="172">
        <v>3623944.88</v>
      </c>
      <c r="J43" s="168">
        <v>483629.18</v>
      </c>
      <c r="K43" s="128"/>
      <c r="L43" s="169">
        <v>8.1500000000000003E-2</v>
      </c>
      <c r="M43" s="100">
        <v>143336</v>
      </c>
      <c r="N43" s="170">
        <v>14</v>
      </c>
      <c r="O43" s="170">
        <v>0</v>
      </c>
      <c r="P43" s="175">
        <v>169166</v>
      </c>
      <c r="Q43" s="175">
        <v>2164849</v>
      </c>
      <c r="R43" s="161" t="s">
        <v>1593</v>
      </c>
      <c r="S43" s="162">
        <v>891480085</v>
      </c>
      <c r="T43" s="77" t="s">
        <v>1881</v>
      </c>
      <c r="U43" s="78" t="s">
        <v>1881</v>
      </c>
      <c r="V43" s="171"/>
      <c r="W43" s="80">
        <v>1175237</v>
      </c>
    </row>
    <row r="44" spans="1:23" ht="16.2" thickBot="1" x14ac:dyDescent="0.35">
      <c r="A44" s="93" t="s">
        <v>1264</v>
      </c>
      <c r="B44" s="94">
        <v>4575380</v>
      </c>
      <c r="C44" s="163" t="s">
        <v>1265</v>
      </c>
      <c r="D44" s="163">
        <v>0</v>
      </c>
      <c r="E44" s="95" t="s">
        <v>19</v>
      </c>
      <c r="F44" s="161" t="s">
        <v>1643</v>
      </c>
      <c r="G44" s="165">
        <v>39232</v>
      </c>
      <c r="H44" s="121">
        <v>41639</v>
      </c>
      <c r="I44" s="167">
        <v>3289535.2</v>
      </c>
      <c r="J44" s="168">
        <v>439000.93</v>
      </c>
      <c r="K44" s="132"/>
      <c r="L44" s="169">
        <v>9.4299999999999995E-2</v>
      </c>
      <c r="M44" s="96">
        <v>167513</v>
      </c>
      <c r="N44" s="170">
        <v>14</v>
      </c>
      <c r="O44" s="170">
        <v>0</v>
      </c>
      <c r="P44" s="175">
        <v>467244</v>
      </c>
      <c r="Q44" s="175">
        <v>2102071</v>
      </c>
      <c r="R44" s="161" t="s">
        <v>1593</v>
      </c>
      <c r="S44" s="162">
        <v>891480085</v>
      </c>
      <c r="T44" s="77" t="s">
        <v>1881</v>
      </c>
      <c r="U44" s="78" t="s">
        <v>1881</v>
      </c>
      <c r="V44" s="171"/>
      <c r="W44" s="80">
        <v>921986</v>
      </c>
    </row>
    <row r="45" spans="1:23" ht="15.6" x14ac:dyDescent="0.3">
      <c r="A45" s="161" t="s">
        <v>1266</v>
      </c>
      <c r="B45" s="162">
        <v>10479111</v>
      </c>
      <c r="C45" s="163" t="s">
        <v>1267</v>
      </c>
      <c r="D45" s="163">
        <v>0</v>
      </c>
      <c r="E45" s="164" t="s">
        <v>472</v>
      </c>
      <c r="F45" s="161" t="s">
        <v>1645</v>
      </c>
      <c r="G45" s="165">
        <v>40026</v>
      </c>
      <c r="H45" s="174"/>
      <c r="I45" s="167">
        <v>0</v>
      </c>
      <c r="J45" s="168">
        <v>0</v>
      </c>
      <c r="K45" s="127"/>
      <c r="L45" s="169">
        <v>2.1499999999999998E-2</v>
      </c>
      <c r="M45" s="75">
        <v>36905</v>
      </c>
      <c r="N45" s="170">
        <v>13</v>
      </c>
      <c r="O45" s="170"/>
      <c r="P45" s="170"/>
      <c r="Q45" s="170"/>
      <c r="R45" s="161" t="s">
        <v>1594</v>
      </c>
      <c r="S45" s="162">
        <v>891500269</v>
      </c>
      <c r="T45" s="77" t="s">
        <v>1881</v>
      </c>
      <c r="U45" s="78" t="s">
        <v>1881</v>
      </c>
      <c r="V45" s="171"/>
      <c r="W45" s="80">
        <v>0</v>
      </c>
    </row>
    <row r="46" spans="1:23" ht="15.6" x14ac:dyDescent="0.3">
      <c r="A46" s="161" t="s">
        <v>997</v>
      </c>
      <c r="B46" s="162">
        <v>19163606</v>
      </c>
      <c r="C46" s="163" t="s">
        <v>998</v>
      </c>
      <c r="D46" s="163">
        <v>0</v>
      </c>
      <c r="E46" s="164" t="s">
        <v>472</v>
      </c>
      <c r="F46" s="161" t="s">
        <v>1643</v>
      </c>
      <c r="G46" s="165">
        <v>39814</v>
      </c>
      <c r="H46" s="174"/>
      <c r="I46" s="167">
        <v>49601.38</v>
      </c>
      <c r="J46" s="168">
        <v>6619.49</v>
      </c>
      <c r="K46" s="125"/>
      <c r="L46" s="169">
        <v>5.2499999999999998E-2</v>
      </c>
      <c r="M46" s="75">
        <v>63651</v>
      </c>
      <c r="N46" s="170">
        <v>14</v>
      </c>
      <c r="O46" s="170"/>
      <c r="P46" s="170"/>
      <c r="Q46" s="170"/>
      <c r="R46" s="161" t="s">
        <v>1595</v>
      </c>
      <c r="S46" s="162">
        <v>891500580</v>
      </c>
      <c r="T46" s="77" t="s">
        <v>1881</v>
      </c>
      <c r="U46" s="78" t="s">
        <v>1881</v>
      </c>
      <c r="V46" s="171"/>
      <c r="W46" s="80">
        <v>24971</v>
      </c>
    </row>
    <row r="47" spans="1:23" ht="16.2" thickBot="1" x14ac:dyDescent="0.35">
      <c r="A47" s="89" t="s">
        <v>926</v>
      </c>
      <c r="B47" s="90">
        <v>29646891</v>
      </c>
      <c r="C47" s="163" t="s">
        <v>927</v>
      </c>
      <c r="D47" s="163">
        <v>0</v>
      </c>
      <c r="E47" s="91" t="s">
        <v>19</v>
      </c>
      <c r="F47" s="161" t="s">
        <v>1643</v>
      </c>
      <c r="G47" s="165">
        <v>35064</v>
      </c>
      <c r="H47" s="120"/>
      <c r="I47" s="172">
        <v>791383.25</v>
      </c>
      <c r="J47" s="168">
        <v>105613.09</v>
      </c>
      <c r="K47" s="125"/>
      <c r="L47" s="169">
        <v>7.17E-2</v>
      </c>
      <c r="M47" s="100">
        <v>35124</v>
      </c>
      <c r="N47" s="170">
        <v>14</v>
      </c>
      <c r="O47" s="170"/>
      <c r="P47" s="170"/>
      <c r="Q47" s="170"/>
      <c r="R47" s="161" t="s">
        <v>1596</v>
      </c>
      <c r="S47" s="162">
        <v>891502188</v>
      </c>
      <c r="T47" s="77" t="s">
        <v>1881</v>
      </c>
      <c r="U47" s="78" t="s">
        <v>1881</v>
      </c>
      <c r="V47" s="171"/>
      <c r="W47" s="80">
        <v>291722</v>
      </c>
    </row>
    <row r="48" spans="1:23" ht="16.2" thickBot="1" x14ac:dyDescent="0.35">
      <c r="A48" s="115" t="s">
        <v>1268</v>
      </c>
      <c r="B48" s="176">
        <v>30704618</v>
      </c>
      <c r="C48" s="163" t="s">
        <v>1269</v>
      </c>
      <c r="D48" s="163">
        <v>0</v>
      </c>
      <c r="E48" s="116" t="s">
        <v>19</v>
      </c>
      <c r="F48" s="161" t="s">
        <v>1645</v>
      </c>
      <c r="G48" s="165">
        <v>39600</v>
      </c>
      <c r="H48" s="122"/>
      <c r="I48" s="167">
        <v>0</v>
      </c>
      <c r="J48" s="168">
        <v>0</v>
      </c>
      <c r="K48" s="125"/>
      <c r="L48" s="169">
        <v>2.41E-2</v>
      </c>
      <c r="M48" s="117">
        <v>23776</v>
      </c>
      <c r="N48" s="170">
        <v>13</v>
      </c>
      <c r="O48" s="170"/>
      <c r="P48" s="170"/>
      <c r="Q48" s="170"/>
      <c r="R48" s="161" t="s">
        <v>1596</v>
      </c>
      <c r="S48" s="162">
        <v>891502188</v>
      </c>
      <c r="T48" s="77" t="s">
        <v>1881</v>
      </c>
      <c r="U48" s="78" t="s">
        <v>1881</v>
      </c>
      <c r="V48" s="171"/>
      <c r="W48" s="80">
        <v>0</v>
      </c>
    </row>
    <row r="49" spans="1:23" ht="15.6" x14ac:dyDescent="0.3">
      <c r="A49" s="93" t="s">
        <v>926</v>
      </c>
      <c r="B49" s="94">
        <v>29646891</v>
      </c>
      <c r="C49" s="163" t="s">
        <v>927</v>
      </c>
      <c r="D49" s="163">
        <v>0</v>
      </c>
      <c r="E49" s="95" t="s">
        <v>472</v>
      </c>
      <c r="F49" s="161" t="s">
        <v>1643</v>
      </c>
      <c r="G49" s="165">
        <v>35064</v>
      </c>
      <c r="H49" s="121"/>
      <c r="I49" s="172">
        <v>791383.25</v>
      </c>
      <c r="J49" s="168">
        <v>105613.09</v>
      </c>
      <c r="K49" s="125"/>
      <c r="L49" s="169">
        <v>7.17E-2</v>
      </c>
      <c r="M49" s="96">
        <v>25640</v>
      </c>
      <c r="N49" s="170">
        <v>14</v>
      </c>
      <c r="O49" s="170"/>
      <c r="P49" s="170"/>
      <c r="Q49" s="170"/>
      <c r="R49" s="161" t="s">
        <v>1597</v>
      </c>
      <c r="S49" s="162">
        <v>891580002</v>
      </c>
      <c r="T49" s="77" t="s">
        <v>1881</v>
      </c>
      <c r="U49" s="78" t="s">
        <v>1881</v>
      </c>
      <c r="V49" s="171"/>
      <c r="W49" s="80">
        <v>291722</v>
      </c>
    </row>
    <row r="50" spans="1:23" ht="15.6" x14ac:dyDescent="0.3">
      <c r="A50" s="161" t="s">
        <v>1268</v>
      </c>
      <c r="B50" s="162">
        <v>30704618</v>
      </c>
      <c r="C50" s="163" t="s">
        <v>1269</v>
      </c>
      <c r="D50" s="163">
        <v>0</v>
      </c>
      <c r="E50" s="164" t="s">
        <v>592</v>
      </c>
      <c r="F50" s="161" t="s">
        <v>1645</v>
      </c>
      <c r="G50" s="165">
        <v>39600</v>
      </c>
      <c r="H50" s="174"/>
      <c r="I50" s="167">
        <v>0</v>
      </c>
      <c r="J50" s="168">
        <v>0</v>
      </c>
      <c r="K50" s="125"/>
      <c r="L50" s="169">
        <v>2.41E-2</v>
      </c>
      <c r="M50" s="85"/>
      <c r="N50" s="170">
        <v>13</v>
      </c>
      <c r="O50" s="170"/>
      <c r="P50" s="170"/>
      <c r="Q50" s="170"/>
      <c r="R50" s="161" t="s">
        <v>1597</v>
      </c>
      <c r="S50" s="162">
        <v>891580002</v>
      </c>
      <c r="T50" s="77" t="s">
        <v>1881</v>
      </c>
      <c r="U50" s="78" t="s">
        <v>1881</v>
      </c>
      <c r="V50" s="171"/>
      <c r="W50" s="80">
        <v>0</v>
      </c>
    </row>
    <row r="51" spans="1:23" ht="15.6" x14ac:dyDescent="0.3">
      <c r="A51" s="161" t="s">
        <v>1270</v>
      </c>
      <c r="B51" s="162">
        <v>1429088</v>
      </c>
      <c r="C51" s="163" t="s">
        <v>1271</v>
      </c>
      <c r="D51" s="163">
        <v>0</v>
      </c>
      <c r="E51" s="164" t="s">
        <v>472</v>
      </c>
      <c r="F51" s="161" t="s">
        <v>1645</v>
      </c>
      <c r="G51" s="165">
        <v>33420</v>
      </c>
      <c r="H51" s="174"/>
      <c r="I51" s="167">
        <v>0</v>
      </c>
      <c r="J51" s="168">
        <v>0</v>
      </c>
      <c r="K51" s="125"/>
      <c r="L51" s="169">
        <v>8.3799999999999999E-2</v>
      </c>
      <c r="M51" s="75">
        <v>16728</v>
      </c>
      <c r="N51" s="170">
        <v>14</v>
      </c>
      <c r="O51" s="170"/>
      <c r="P51" s="170"/>
      <c r="Q51" s="170"/>
      <c r="R51" s="161" t="s">
        <v>1598</v>
      </c>
      <c r="S51" s="162">
        <v>891580006</v>
      </c>
      <c r="T51" s="77">
        <v>25265217</v>
      </c>
      <c r="U51" s="78" t="s">
        <v>1754</v>
      </c>
      <c r="V51" s="171"/>
      <c r="W51" s="80">
        <v>0</v>
      </c>
    </row>
    <row r="52" spans="1:23" ht="15.6" x14ac:dyDescent="0.3">
      <c r="A52" s="161" t="s">
        <v>955</v>
      </c>
      <c r="B52" s="162">
        <v>6043169</v>
      </c>
      <c r="C52" s="163" t="s">
        <v>956</v>
      </c>
      <c r="D52" s="163">
        <v>0</v>
      </c>
      <c r="E52" s="164" t="s">
        <v>19</v>
      </c>
      <c r="F52" s="161" t="s">
        <v>1645</v>
      </c>
      <c r="G52" s="165">
        <v>25674</v>
      </c>
      <c r="H52" s="174"/>
      <c r="I52" s="167">
        <v>173004951.66999999</v>
      </c>
      <c r="J52" s="168">
        <v>23088166.289999999</v>
      </c>
      <c r="K52" s="125"/>
      <c r="L52" s="169">
        <v>0.65439999999999998</v>
      </c>
      <c r="M52" s="75">
        <v>65230</v>
      </c>
      <c r="N52" s="170">
        <v>14</v>
      </c>
      <c r="O52" s="170"/>
      <c r="P52" s="170"/>
      <c r="Q52" s="170"/>
      <c r="R52" s="161" t="s">
        <v>1599</v>
      </c>
      <c r="S52" s="162">
        <v>891580016</v>
      </c>
      <c r="T52" s="77">
        <v>38959134</v>
      </c>
      <c r="U52" s="78" t="s">
        <v>1709</v>
      </c>
      <c r="V52" s="171"/>
      <c r="W52" s="80">
        <v>6987418</v>
      </c>
    </row>
    <row r="53" spans="1:23" ht="15.6" x14ac:dyDescent="0.3">
      <c r="A53" s="161" t="s">
        <v>1092</v>
      </c>
      <c r="B53" s="162">
        <v>25651081</v>
      </c>
      <c r="C53" s="163" t="s">
        <v>1093</v>
      </c>
      <c r="D53" s="163">
        <v>0</v>
      </c>
      <c r="E53" s="164" t="s">
        <v>472</v>
      </c>
      <c r="F53" s="161" t="s">
        <v>1645</v>
      </c>
      <c r="G53" s="165">
        <v>29649</v>
      </c>
      <c r="H53" s="174"/>
      <c r="I53" s="172">
        <v>0</v>
      </c>
      <c r="J53" s="168">
        <v>0</v>
      </c>
      <c r="K53" s="125"/>
      <c r="L53" s="169">
        <v>0.3861</v>
      </c>
      <c r="M53" s="75">
        <v>3784</v>
      </c>
      <c r="N53" s="170">
        <v>14</v>
      </c>
      <c r="O53" s="170"/>
      <c r="P53" s="170"/>
      <c r="Q53" s="170"/>
      <c r="R53" s="161" t="s">
        <v>1599</v>
      </c>
      <c r="S53" s="162">
        <v>891580016</v>
      </c>
      <c r="T53" s="77" t="s">
        <v>1881</v>
      </c>
      <c r="U53" s="78" t="s">
        <v>1881</v>
      </c>
      <c r="V53" s="171"/>
      <c r="W53" s="80">
        <v>0</v>
      </c>
    </row>
    <row r="54" spans="1:23" ht="15.6" x14ac:dyDescent="0.3">
      <c r="A54" s="161" t="s">
        <v>1272</v>
      </c>
      <c r="B54" s="162">
        <v>1427605</v>
      </c>
      <c r="C54" s="163" t="s">
        <v>1273</v>
      </c>
      <c r="D54" s="163">
        <v>0</v>
      </c>
      <c r="E54" s="164" t="s">
        <v>472</v>
      </c>
      <c r="F54" s="161" t="s">
        <v>1645</v>
      </c>
      <c r="G54" s="165">
        <v>33451</v>
      </c>
      <c r="H54" s="174"/>
      <c r="I54" s="167">
        <v>10789598.189999999</v>
      </c>
      <c r="J54" s="168">
        <v>1439912.76</v>
      </c>
      <c r="K54" s="125"/>
      <c r="L54" s="169">
        <v>0.27739999999999998</v>
      </c>
      <c r="M54" s="75">
        <v>34459</v>
      </c>
      <c r="N54" s="170">
        <v>14</v>
      </c>
      <c r="O54" s="170"/>
      <c r="P54" s="170"/>
      <c r="Q54" s="170"/>
      <c r="R54" s="161" t="s">
        <v>1599</v>
      </c>
      <c r="S54" s="162">
        <v>891580016</v>
      </c>
      <c r="T54" s="77">
        <v>25256907</v>
      </c>
      <c r="U54" s="78" t="s">
        <v>1755</v>
      </c>
      <c r="V54" s="171"/>
      <c r="W54" s="80">
        <v>1028017</v>
      </c>
    </row>
    <row r="55" spans="1:23" ht="15.6" x14ac:dyDescent="0.3">
      <c r="A55" s="161" t="s">
        <v>1274</v>
      </c>
      <c r="B55" s="162">
        <v>6369677</v>
      </c>
      <c r="C55" s="163" t="s">
        <v>1275</v>
      </c>
      <c r="D55" s="163">
        <v>0</v>
      </c>
      <c r="E55" s="164" t="s">
        <v>19</v>
      </c>
      <c r="F55" s="161" t="s">
        <v>1643</v>
      </c>
      <c r="G55" s="165">
        <v>33939</v>
      </c>
      <c r="H55" s="174"/>
      <c r="I55" s="172">
        <v>6179631.6900000004</v>
      </c>
      <c r="J55" s="168">
        <v>824695.26</v>
      </c>
      <c r="K55" s="125"/>
      <c r="L55" s="169">
        <v>3.04E-2</v>
      </c>
      <c r="M55" s="75">
        <v>11673</v>
      </c>
      <c r="N55" s="170">
        <v>14</v>
      </c>
      <c r="O55" s="170"/>
      <c r="P55" s="170"/>
      <c r="Q55" s="170"/>
      <c r="R55" s="161" t="s">
        <v>1599</v>
      </c>
      <c r="S55" s="162">
        <v>891580016</v>
      </c>
      <c r="T55" s="77" t="s">
        <v>1881</v>
      </c>
      <c r="U55" s="78" t="s">
        <v>1881</v>
      </c>
      <c r="V55" s="171"/>
      <c r="W55" s="80">
        <v>5372674</v>
      </c>
    </row>
    <row r="56" spans="1:23" ht="15.6" x14ac:dyDescent="0.3">
      <c r="A56" s="161" t="s">
        <v>924</v>
      </c>
      <c r="B56" s="162">
        <v>6072246</v>
      </c>
      <c r="C56" s="163" t="s">
        <v>925</v>
      </c>
      <c r="D56" s="163">
        <v>0</v>
      </c>
      <c r="E56" s="164" t="s">
        <v>19</v>
      </c>
      <c r="F56" s="161" t="s">
        <v>1643</v>
      </c>
      <c r="G56" s="165">
        <v>34700</v>
      </c>
      <c r="H56" s="174"/>
      <c r="I56" s="167">
        <v>735868.64</v>
      </c>
      <c r="J56" s="168">
        <v>98204.46</v>
      </c>
      <c r="K56" s="125"/>
      <c r="L56" s="169">
        <v>1.6199999999999999E-2</v>
      </c>
      <c r="M56" s="75">
        <v>11140</v>
      </c>
      <c r="N56" s="170">
        <v>14</v>
      </c>
      <c r="O56" s="170"/>
      <c r="P56" s="170"/>
      <c r="Q56" s="170"/>
      <c r="R56" s="161" t="s">
        <v>1599</v>
      </c>
      <c r="S56" s="162">
        <v>891580016</v>
      </c>
      <c r="T56" s="77" t="s">
        <v>1881</v>
      </c>
      <c r="U56" s="78" t="s">
        <v>1881</v>
      </c>
      <c r="V56" s="171"/>
      <c r="W56" s="80">
        <v>1200568</v>
      </c>
    </row>
    <row r="57" spans="1:23" ht="15.6" x14ac:dyDescent="0.3">
      <c r="A57" s="161" t="s">
        <v>1276</v>
      </c>
      <c r="B57" s="162">
        <v>25250749</v>
      </c>
      <c r="C57" s="163" t="s">
        <v>1277</v>
      </c>
      <c r="D57" s="163">
        <v>0</v>
      </c>
      <c r="E57" s="164" t="s">
        <v>758</v>
      </c>
      <c r="F57" s="161" t="s">
        <v>1645</v>
      </c>
      <c r="G57" s="165">
        <v>35033</v>
      </c>
      <c r="H57" s="174"/>
      <c r="I57" s="172">
        <v>0</v>
      </c>
      <c r="J57" s="168">
        <v>0</v>
      </c>
      <c r="K57" s="125"/>
      <c r="L57" s="169">
        <v>0.1898</v>
      </c>
      <c r="M57" s="75">
        <v>81841</v>
      </c>
      <c r="N57" s="170">
        <v>5</v>
      </c>
      <c r="O57" s="170"/>
      <c r="P57" s="170"/>
      <c r="Q57" s="170"/>
      <c r="R57" s="161" t="s">
        <v>1599</v>
      </c>
      <c r="S57" s="162">
        <v>891580016</v>
      </c>
      <c r="T57" s="77" t="s">
        <v>1881</v>
      </c>
      <c r="U57" s="78" t="s">
        <v>1881</v>
      </c>
      <c r="V57" s="171"/>
      <c r="W57" s="80">
        <v>0</v>
      </c>
    </row>
    <row r="58" spans="1:23" ht="15.6" x14ac:dyDescent="0.3">
      <c r="A58" s="161" t="s">
        <v>1278</v>
      </c>
      <c r="B58" s="162">
        <v>1426757</v>
      </c>
      <c r="C58" s="163" t="s">
        <v>1279</v>
      </c>
      <c r="D58" s="163">
        <v>0</v>
      </c>
      <c r="E58" s="164" t="s">
        <v>19</v>
      </c>
      <c r="F58" s="161" t="s">
        <v>1643</v>
      </c>
      <c r="G58" s="165">
        <v>36739</v>
      </c>
      <c r="H58" s="174"/>
      <c r="I58" s="167">
        <v>10594721.279999999</v>
      </c>
      <c r="J58" s="168">
        <v>1413905.7</v>
      </c>
      <c r="K58" s="125"/>
      <c r="L58" s="169">
        <v>0.12620000000000001</v>
      </c>
      <c r="M58" s="75">
        <v>146026</v>
      </c>
      <c r="N58" s="170">
        <v>14</v>
      </c>
      <c r="O58" s="170"/>
      <c r="P58" s="170"/>
      <c r="Q58" s="170"/>
      <c r="R58" s="161" t="s">
        <v>1599</v>
      </c>
      <c r="S58" s="162">
        <v>891580016</v>
      </c>
      <c r="T58" s="77" t="s">
        <v>1881</v>
      </c>
      <c r="U58" s="78" t="s">
        <v>1881</v>
      </c>
      <c r="V58" s="171"/>
      <c r="W58" s="80">
        <v>2218869</v>
      </c>
    </row>
    <row r="59" spans="1:23" ht="15.6" x14ac:dyDescent="0.3">
      <c r="A59" s="161" t="s">
        <v>1280</v>
      </c>
      <c r="B59" s="162">
        <v>17160721</v>
      </c>
      <c r="C59" s="163" t="s">
        <v>1281</v>
      </c>
      <c r="D59" s="163">
        <v>0</v>
      </c>
      <c r="E59" s="164" t="s">
        <v>19</v>
      </c>
      <c r="F59" s="161" t="s">
        <v>1645</v>
      </c>
      <c r="G59" s="165">
        <v>37841</v>
      </c>
      <c r="H59" s="174"/>
      <c r="I59" s="167">
        <v>0</v>
      </c>
      <c r="J59" s="168">
        <v>0</v>
      </c>
      <c r="K59" s="125"/>
      <c r="L59" s="169">
        <v>0.20530000000000001</v>
      </c>
      <c r="M59" s="75">
        <v>192775</v>
      </c>
      <c r="N59" s="170">
        <v>12</v>
      </c>
      <c r="O59" s="170"/>
      <c r="P59" s="170"/>
      <c r="Q59" s="170"/>
      <c r="R59" s="161" t="s">
        <v>1599</v>
      </c>
      <c r="S59" s="162">
        <v>891580016</v>
      </c>
      <c r="T59" s="77">
        <v>24627735</v>
      </c>
      <c r="U59" s="78" t="s">
        <v>1756</v>
      </c>
      <c r="V59" s="171"/>
      <c r="W59" s="80">
        <v>0</v>
      </c>
    </row>
    <row r="60" spans="1:23" ht="15.6" x14ac:dyDescent="0.3">
      <c r="A60" s="161" t="s">
        <v>1282</v>
      </c>
      <c r="B60" s="162">
        <v>12953750</v>
      </c>
      <c r="C60" s="163" t="s">
        <v>1283</v>
      </c>
      <c r="D60" s="163">
        <v>0</v>
      </c>
      <c r="E60" s="164" t="s">
        <v>758</v>
      </c>
      <c r="F60" s="161" t="s">
        <v>1643</v>
      </c>
      <c r="G60" s="165">
        <v>38001</v>
      </c>
      <c r="H60" s="174"/>
      <c r="I60" s="172">
        <v>2184099.75</v>
      </c>
      <c r="J60" s="168">
        <v>291476.39</v>
      </c>
      <c r="K60" s="125"/>
      <c r="L60" s="169">
        <v>3.44E-2</v>
      </c>
      <c r="M60" s="75">
        <v>78982</v>
      </c>
      <c r="N60" s="170">
        <v>14</v>
      </c>
      <c r="O60" s="170"/>
      <c r="P60" s="170"/>
      <c r="Q60" s="170"/>
      <c r="R60" s="161" t="s">
        <v>1599</v>
      </c>
      <c r="S60" s="162">
        <v>891580016</v>
      </c>
      <c r="T60" s="77" t="s">
        <v>1881</v>
      </c>
      <c r="U60" s="78" t="s">
        <v>1881</v>
      </c>
      <c r="V60" s="171"/>
      <c r="W60" s="80">
        <v>1678091</v>
      </c>
    </row>
    <row r="61" spans="1:23" ht="15.6" x14ac:dyDescent="0.3">
      <c r="A61" s="161" t="s">
        <v>1284</v>
      </c>
      <c r="B61" s="162">
        <v>10518416</v>
      </c>
      <c r="C61" s="163" t="s">
        <v>1285</v>
      </c>
      <c r="D61" s="163">
        <v>0</v>
      </c>
      <c r="E61" s="164" t="s">
        <v>472</v>
      </c>
      <c r="F61" s="161" t="s">
        <v>1643</v>
      </c>
      <c r="G61" s="165">
        <v>38976</v>
      </c>
      <c r="H61" s="174"/>
      <c r="I61" s="172">
        <v>3829081.99</v>
      </c>
      <c r="J61" s="168">
        <v>511005.5</v>
      </c>
      <c r="K61" s="125"/>
      <c r="L61" s="169">
        <v>0.10730000000000001</v>
      </c>
      <c r="M61" s="75">
        <v>243598</v>
      </c>
      <c r="N61" s="170">
        <v>14</v>
      </c>
      <c r="O61" s="170"/>
      <c r="P61" s="170"/>
      <c r="Q61" s="170"/>
      <c r="R61" s="161" t="s">
        <v>1599</v>
      </c>
      <c r="S61" s="162">
        <v>891580016</v>
      </c>
      <c r="T61" s="77" t="s">
        <v>1881</v>
      </c>
      <c r="U61" s="78" t="s">
        <v>1881</v>
      </c>
      <c r="V61" s="171"/>
      <c r="W61" s="80">
        <v>943184</v>
      </c>
    </row>
    <row r="62" spans="1:23" ht="15.6" x14ac:dyDescent="0.3">
      <c r="A62" s="161" t="s">
        <v>1286</v>
      </c>
      <c r="B62" s="162">
        <v>13875316</v>
      </c>
      <c r="C62" s="163" t="s">
        <v>1287</v>
      </c>
      <c r="D62" s="163">
        <v>0</v>
      </c>
      <c r="E62" s="164" t="s">
        <v>19</v>
      </c>
      <c r="F62" s="161" t="s">
        <v>1643</v>
      </c>
      <c r="G62" s="165">
        <v>40118</v>
      </c>
      <c r="H62" s="174"/>
      <c r="I62" s="167">
        <v>6838208.8300000001</v>
      </c>
      <c r="J62" s="168">
        <v>912584.88</v>
      </c>
      <c r="K62" s="125"/>
      <c r="L62" s="169">
        <v>0.1174</v>
      </c>
      <c r="M62" s="75">
        <v>249921</v>
      </c>
      <c r="N62" s="170">
        <v>13</v>
      </c>
      <c r="O62" s="170"/>
      <c r="P62" s="170"/>
      <c r="Q62" s="170"/>
      <c r="R62" s="161" t="s">
        <v>1599</v>
      </c>
      <c r="S62" s="162">
        <v>891580016</v>
      </c>
      <c r="T62" s="77" t="s">
        <v>1881</v>
      </c>
      <c r="U62" s="78" t="s">
        <v>1881</v>
      </c>
      <c r="V62" s="171"/>
      <c r="W62" s="80">
        <v>1539486</v>
      </c>
    </row>
    <row r="63" spans="1:23" ht="15.6" x14ac:dyDescent="0.3">
      <c r="A63" s="161" t="s">
        <v>1288</v>
      </c>
      <c r="B63" s="162">
        <v>116065</v>
      </c>
      <c r="C63" s="163" t="s">
        <v>1289</v>
      </c>
      <c r="D63" s="163">
        <v>0</v>
      </c>
      <c r="E63" s="164" t="s">
        <v>19</v>
      </c>
      <c r="F63" s="161" t="s">
        <v>1645</v>
      </c>
      <c r="G63" s="165">
        <v>32192</v>
      </c>
      <c r="H63" s="174"/>
      <c r="I63" s="167">
        <v>0</v>
      </c>
      <c r="J63" s="168">
        <v>0</v>
      </c>
      <c r="K63" s="125"/>
      <c r="L63" s="169">
        <v>0.441</v>
      </c>
      <c r="M63" s="75">
        <v>11306</v>
      </c>
      <c r="N63" s="170">
        <v>14</v>
      </c>
      <c r="O63" s="170"/>
      <c r="P63" s="170"/>
      <c r="Q63" s="170"/>
      <c r="R63" s="161" t="s">
        <v>1600</v>
      </c>
      <c r="S63" s="162">
        <v>891680010</v>
      </c>
      <c r="T63" s="77" t="s">
        <v>1881</v>
      </c>
      <c r="U63" s="78" t="s">
        <v>1881</v>
      </c>
      <c r="V63" s="171"/>
      <c r="W63" s="80">
        <v>0</v>
      </c>
    </row>
    <row r="64" spans="1:23" ht="15.6" x14ac:dyDescent="0.3">
      <c r="A64" s="161" t="s">
        <v>1290</v>
      </c>
      <c r="B64" s="162">
        <v>11785727</v>
      </c>
      <c r="C64" s="163" t="s">
        <v>1291</v>
      </c>
      <c r="D64" s="163">
        <v>0</v>
      </c>
      <c r="E64" s="164" t="s">
        <v>19</v>
      </c>
      <c r="F64" s="161" t="s">
        <v>1643</v>
      </c>
      <c r="G64" s="165">
        <v>38899</v>
      </c>
      <c r="H64" s="174"/>
      <c r="I64" s="167">
        <v>10267937.92</v>
      </c>
      <c r="J64" s="168">
        <v>1370295.22</v>
      </c>
      <c r="K64" s="125"/>
      <c r="L64" s="169">
        <v>7.6300000000000007E-2</v>
      </c>
      <c r="M64" s="75">
        <v>237636</v>
      </c>
      <c r="N64" s="170">
        <v>14</v>
      </c>
      <c r="O64" s="170"/>
      <c r="P64" s="170"/>
      <c r="Q64" s="170"/>
      <c r="R64" s="161" t="s">
        <v>1600</v>
      </c>
      <c r="S64" s="162">
        <v>891680010</v>
      </c>
      <c r="T64" s="77" t="s">
        <v>1881</v>
      </c>
      <c r="U64" s="78" t="s">
        <v>1881</v>
      </c>
      <c r="V64" s="171"/>
      <c r="W64" s="80">
        <v>3556806</v>
      </c>
    </row>
    <row r="65" spans="1:23" ht="15.6" x14ac:dyDescent="0.3">
      <c r="A65" s="161" t="s">
        <v>743</v>
      </c>
      <c r="B65" s="162">
        <v>11785960</v>
      </c>
      <c r="C65" s="163" t="s">
        <v>744</v>
      </c>
      <c r="D65" s="163">
        <v>0</v>
      </c>
      <c r="E65" s="164" t="s">
        <v>19</v>
      </c>
      <c r="F65" s="161" t="s">
        <v>1645</v>
      </c>
      <c r="G65" s="165">
        <v>39051</v>
      </c>
      <c r="H65" s="174"/>
      <c r="I65" s="167">
        <v>0</v>
      </c>
      <c r="J65" s="168">
        <v>0</v>
      </c>
      <c r="K65" s="125"/>
      <c r="L65" s="169">
        <v>2.0899999999999998E-2</v>
      </c>
      <c r="M65" s="75">
        <v>42125</v>
      </c>
      <c r="N65" s="170">
        <v>13</v>
      </c>
      <c r="O65" s="170"/>
      <c r="P65" s="170"/>
      <c r="Q65" s="170"/>
      <c r="R65" s="161" t="s">
        <v>1600</v>
      </c>
      <c r="S65" s="162">
        <v>891680010</v>
      </c>
      <c r="T65" s="77" t="s">
        <v>1881</v>
      </c>
      <c r="U65" s="78" t="s">
        <v>1881</v>
      </c>
      <c r="V65" s="171"/>
      <c r="W65" s="80">
        <v>0</v>
      </c>
    </row>
    <row r="66" spans="1:23" ht="15.6" x14ac:dyDescent="0.3">
      <c r="A66" s="161" t="s">
        <v>1292</v>
      </c>
      <c r="B66" s="162">
        <v>6158870</v>
      </c>
      <c r="C66" s="163" t="s">
        <v>1293</v>
      </c>
      <c r="D66" s="163">
        <v>0</v>
      </c>
      <c r="E66" s="164" t="s">
        <v>19</v>
      </c>
      <c r="F66" s="161" t="s">
        <v>1643</v>
      </c>
      <c r="G66" s="165">
        <v>39052</v>
      </c>
      <c r="H66" s="174"/>
      <c r="I66" s="167">
        <v>4359715.79</v>
      </c>
      <c r="J66" s="168">
        <v>581820.59</v>
      </c>
      <c r="K66" s="125"/>
      <c r="L66" s="169">
        <v>5.8299999999999998E-2</v>
      </c>
      <c r="M66" s="75">
        <v>151585</v>
      </c>
      <c r="N66" s="170">
        <v>14</v>
      </c>
      <c r="O66" s="170"/>
      <c r="P66" s="170"/>
      <c r="Q66" s="170"/>
      <c r="R66" s="161" t="s">
        <v>1600</v>
      </c>
      <c r="S66" s="162">
        <v>891680010</v>
      </c>
      <c r="T66" s="77" t="s">
        <v>1881</v>
      </c>
      <c r="U66" s="78" t="s">
        <v>1881</v>
      </c>
      <c r="V66" s="171"/>
      <c r="W66" s="80">
        <v>1976474</v>
      </c>
    </row>
    <row r="67" spans="1:23" ht="16.2" thickBot="1" x14ac:dyDescent="0.35">
      <c r="A67" s="161" t="s">
        <v>1294</v>
      </c>
      <c r="B67" s="162">
        <v>11786211</v>
      </c>
      <c r="C67" s="163" t="s">
        <v>1295</v>
      </c>
      <c r="D67" s="163">
        <v>0</v>
      </c>
      <c r="E67" s="164" t="s">
        <v>19</v>
      </c>
      <c r="F67" s="161" t="s">
        <v>1643</v>
      </c>
      <c r="G67" s="165">
        <v>39569</v>
      </c>
      <c r="H67" s="174"/>
      <c r="I67" s="167">
        <v>3482927.46</v>
      </c>
      <c r="J67" s="168">
        <v>464809.86</v>
      </c>
      <c r="K67" s="128"/>
      <c r="L67" s="169">
        <v>8.9499999999999996E-2</v>
      </c>
      <c r="M67" s="75">
        <v>157230</v>
      </c>
      <c r="N67" s="170">
        <v>13</v>
      </c>
      <c r="O67" s="170"/>
      <c r="P67" s="170"/>
      <c r="Q67" s="170"/>
      <c r="R67" s="161" t="s">
        <v>1600</v>
      </c>
      <c r="S67" s="162">
        <v>891680010</v>
      </c>
      <c r="T67" s="77" t="s">
        <v>1881</v>
      </c>
      <c r="U67" s="78" t="s">
        <v>1881</v>
      </c>
      <c r="V67" s="171"/>
      <c r="W67" s="80">
        <v>1028544</v>
      </c>
    </row>
    <row r="68" spans="1:23" ht="15.6" x14ac:dyDescent="0.3">
      <c r="A68" s="161" t="s">
        <v>1296</v>
      </c>
      <c r="B68" s="162">
        <v>13819621</v>
      </c>
      <c r="C68" s="163" t="s">
        <v>1297</v>
      </c>
      <c r="D68" s="163">
        <v>0</v>
      </c>
      <c r="E68" s="164" t="s">
        <v>19</v>
      </c>
      <c r="F68" s="161" t="s">
        <v>1645</v>
      </c>
      <c r="G68" s="165">
        <v>39873</v>
      </c>
      <c r="H68" s="174"/>
      <c r="I68" s="167">
        <v>0</v>
      </c>
      <c r="J68" s="168">
        <v>0</v>
      </c>
      <c r="K68" s="127"/>
      <c r="L68" s="169">
        <v>0.253</v>
      </c>
      <c r="M68" s="75">
        <v>517037</v>
      </c>
      <c r="N68" s="170">
        <v>13</v>
      </c>
      <c r="O68" s="170"/>
      <c r="P68" s="170"/>
      <c r="Q68" s="170"/>
      <c r="R68" s="161" t="s">
        <v>1600</v>
      </c>
      <c r="S68" s="162">
        <v>891680010</v>
      </c>
      <c r="T68" s="77">
        <v>26259085</v>
      </c>
      <c r="U68" s="78" t="s">
        <v>1757</v>
      </c>
      <c r="V68" s="171"/>
      <c r="W68" s="80">
        <v>0</v>
      </c>
    </row>
    <row r="69" spans="1:23" ht="15.6" x14ac:dyDescent="0.3">
      <c r="A69" s="161" t="s">
        <v>1294</v>
      </c>
      <c r="B69" s="162">
        <v>11786211</v>
      </c>
      <c r="C69" s="163" t="s">
        <v>1295</v>
      </c>
      <c r="D69" s="163">
        <v>0</v>
      </c>
      <c r="E69" s="164" t="s">
        <v>19</v>
      </c>
      <c r="F69" s="161" t="s">
        <v>1643</v>
      </c>
      <c r="G69" s="165">
        <v>39569</v>
      </c>
      <c r="H69" s="174"/>
      <c r="I69" s="167">
        <v>3482927.46</v>
      </c>
      <c r="J69" s="168">
        <v>464809.86</v>
      </c>
      <c r="K69" s="125"/>
      <c r="L69" s="169">
        <v>8.9499999999999996E-2</v>
      </c>
      <c r="M69" s="75">
        <v>70087</v>
      </c>
      <c r="N69" s="170">
        <v>13</v>
      </c>
      <c r="O69" s="170"/>
      <c r="P69" s="170"/>
      <c r="Q69" s="170"/>
      <c r="R69" s="161" t="s">
        <v>1601</v>
      </c>
      <c r="S69" s="162">
        <v>891680011</v>
      </c>
      <c r="T69" s="77" t="s">
        <v>1881</v>
      </c>
      <c r="U69" s="78" t="s">
        <v>1881</v>
      </c>
      <c r="V69" s="171"/>
      <c r="W69" s="80">
        <v>1028544</v>
      </c>
    </row>
    <row r="70" spans="1:23" ht="15.6" x14ac:dyDescent="0.3">
      <c r="A70" s="161" t="s">
        <v>1298</v>
      </c>
      <c r="B70" s="162">
        <v>8288317</v>
      </c>
      <c r="C70" s="163" t="s">
        <v>1299</v>
      </c>
      <c r="D70" s="163">
        <v>0</v>
      </c>
      <c r="E70" s="164" t="s">
        <v>19</v>
      </c>
      <c r="F70" s="161" t="s">
        <v>1643</v>
      </c>
      <c r="G70" s="165">
        <v>37873</v>
      </c>
      <c r="H70" s="174"/>
      <c r="I70" s="167">
        <v>9338495.4700000007</v>
      </c>
      <c r="J70" s="168">
        <v>1246257.6000000001</v>
      </c>
      <c r="K70" s="125"/>
      <c r="L70" s="169">
        <v>8.8800000000000004E-2</v>
      </c>
      <c r="M70" s="75">
        <v>84770</v>
      </c>
      <c r="N70" s="170">
        <v>1</v>
      </c>
      <c r="O70" s="170"/>
      <c r="P70" s="170"/>
      <c r="Q70" s="170"/>
      <c r="R70" s="161" t="s">
        <v>1602</v>
      </c>
      <c r="S70" s="162">
        <v>891680067</v>
      </c>
      <c r="T70" s="77" t="s">
        <v>1881</v>
      </c>
      <c r="U70" s="78" t="s">
        <v>1881</v>
      </c>
      <c r="V70" s="171"/>
      <c r="W70" s="80">
        <v>2779491.9951999998</v>
      </c>
    </row>
    <row r="71" spans="1:23" ht="16.2" thickBot="1" x14ac:dyDescent="0.35">
      <c r="A71" s="89" t="s">
        <v>1300</v>
      </c>
      <c r="B71" s="90">
        <v>12585672</v>
      </c>
      <c r="C71" s="163" t="s">
        <v>1301</v>
      </c>
      <c r="D71" s="163">
        <v>0</v>
      </c>
      <c r="E71" s="91" t="s">
        <v>1302</v>
      </c>
      <c r="F71" s="161" t="s">
        <v>1645</v>
      </c>
      <c r="G71" s="165">
        <v>36042</v>
      </c>
      <c r="H71" s="120"/>
      <c r="I71" s="172">
        <v>39865286.539999999</v>
      </c>
      <c r="J71" s="168">
        <v>5320173.53</v>
      </c>
      <c r="K71" s="125"/>
      <c r="L71" s="169">
        <v>0.8105</v>
      </c>
      <c r="M71" s="100">
        <v>165201</v>
      </c>
      <c r="N71" s="170">
        <v>14</v>
      </c>
      <c r="O71" s="170">
        <v>0</v>
      </c>
      <c r="P71" s="175">
        <v>203826</v>
      </c>
      <c r="Q71" s="170">
        <v>0</v>
      </c>
      <c r="R71" s="161" t="s">
        <v>1603</v>
      </c>
      <c r="S71" s="162">
        <v>891780009</v>
      </c>
      <c r="T71" s="77">
        <v>36523311</v>
      </c>
      <c r="U71" s="78" t="s">
        <v>1758</v>
      </c>
      <c r="V71" s="171"/>
      <c r="W71" s="80">
        <v>1300000</v>
      </c>
    </row>
    <row r="72" spans="1:23" ht="15.6" x14ac:dyDescent="0.3">
      <c r="A72" s="93" t="s">
        <v>1303</v>
      </c>
      <c r="B72" s="94">
        <v>17802167</v>
      </c>
      <c r="C72" s="163" t="s">
        <v>1304</v>
      </c>
      <c r="D72" s="163">
        <v>0</v>
      </c>
      <c r="E72" s="95" t="s">
        <v>19</v>
      </c>
      <c r="F72" s="161" t="s">
        <v>1645</v>
      </c>
      <c r="G72" s="165">
        <v>39052</v>
      </c>
      <c r="H72" s="121"/>
      <c r="I72" s="172">
        <v>0</v>
      </c>
      <c r="J72" s="168">
        <v>0</v>
      </c>
      <c r="K72" s="125"/>
      <c r="L72" s="169">
        <v>9.5100000000000004E-2</v>
      </c>
      <c r="M72" s="96">
        <v>166265</v>
      </c>
      <c r="N72" s="170">
        <v>13</v>
      </c>
      <c r="O72" s="170">
        <v>0</v>
      </c>
      <c r="P72" s="175">
        <v>1742865</v>
      </c>
      <c r="Q72" s="170">
        <v>0</v>
      </c>
      <c r="R72" s="161" t="s">
        <v>1603</v>
      </c>
      <c r="S72" s="162">
        <v>891780009</v>
      </c>
      <c r="T72" s="77" t="s">
        <v>1881</v>
      </c>
      <c r="U72" s="78" t="s">
        <v>1881</v>
      </c>
      <c r="V72" s="171"/>
      <c r="W72" s="80">
        <v>0</v>
      </c>
    </row>
    <row r="73" spans="1:23" ht="16.2" thickBot="1" x14ac:dyDescent="0.35">
      <c r="A73" s="161" t="s">
        <v>1305</v>
      </c>
      <c r="B73" s="162">
        <v>12529678</v>
      </c>
      <c r="C73" s="163" t="s">
        <v>1306</v>
      </c>
      <c r="D73" s="163">
        <v>0</v>
      </c>
      <c r="E73" s="164" t="s">
        <v>19</v>
      </c>
      <c r="F73" s="161" t="s">
        <v>1643</v>
      </c>
      <c r="G73" s="165">
        <v>39448</v>
      </c>
      <c r="H73" s="174"/>
      <c r="I73" s="167">
        <v>11249699.59</v>
      </c>
      <c r="J73" s="168">
        <v>1501315.03</v>
      </c>
      <c r="K73" s="128"/>
      <c r="L73" s="169">
        <v>0.22589999999999999</v>
      </c>
      <c r="M73" s="75">
        <v>401642</v>
      </c>
      <c r="N73" s="170">
        <v>13</v>
      </c>
      <c r="O73" s="170">
        <v>0</v>
      </c>
      <c r="P73" s="175">
        <v>619512</v>
      </c>
      <c r="Q73" s="175">
        <v>2134505</v>
      </c>
      <c r="R73" s="161" t="s">
        <v>1603</v>
      </c>
      <c r="S73" s="162">
        <v>891780009</v>
      </c>
      <c r="T73" s="77" t="s">
        <v>1881</v>
      </c>
      <c r="U73" s="78" t="s">
        <v>1881</v>
      </c>
      <c r="V73" s="171"/>
      <c r="W73" s="80">
        <v>1316213</v>
      </c>
    </row>
    <row r="74" spans="1:23" ht="15.6" x14ac:dyDescent="0.3">
      <c r="A74" s="161" t="s">
        <v>1307</v>
      </c>
      <c r="B74" s="162">
        <v>4973656</v>
      </c>
      <c r="C74" s="163" t="s">
        <v>1308</v>
      </c>
      <c r="D74" s="163">
        <v>0</v>
      </c>
      <c r="E74" s="164" t="s">
        <v>472</v>
      </c>
      <c r="F74" s="161" t="s">
        <v>1645</v>
      </c>
      <c r="G74" s="165">
        <v>30317</v>
      </c>
      <c r="H74" s="174"/>
      <c r="I74" s="172">
        <v>0</v>
      </c>
      <c r="J74" s="168">
        <v>0</v>
      </c>
      <c r="K74" s="127"/>
      <c r="L74" s="169">
        <v>0.30420000000000003</v>
      </c>
      <c r="M74" s="75">
        <v>12883</v>
      </c>
      <c r="N74" s="170">
        <v>14</v>
      </c>
      <c r="O74" s="170"/>
      <c r="P74" s="170"/>
      <c r="Q74" s="170"/>
      <c r="R74" s="161" t="s">
        <v>1604</v>
      </c>
      <c r="S74" s="162">
        <v>891780058</v>
      </c>
      <c r="T74" s="77" t="s">
        <v>1881</v>
      </c>
      <c r="U74" s="78" t="s">
        <v>1881</v>
      </c>
      <c r="V74" s="171"/>
      <c r="W74" s="80">
        <v>0</v>
      </c>
    </row>
    <row r="75" spans="1:23" ht="15.6" x14ac:dyDescent="0.3">
      <c r="A75" s="161" t="s">
        <v>1309</v>
      </c>
      <c r="B75" s="162">
        <v>1181516</v>
      </c>
      <c r="C75" s="163" t="s">
        <v>1310</v>
      </c>
      <c r="D75" s="163">
        <v>0</v>
      </c>
      <c r="E75" s="164" t="s">
        <v>1119</v>
      </c>
      <c r="F75" s="161" t="s">
        <v>1645</v>
      </c>
      <c r="G75" s="165">
        <v>30621</v>
      </c>
      <c r="H75" s="174">
        <v>39447</v>
      </c>
      <c r="I75" s="167">
        <v>1155957.82</v>
      </c>
      <c r="J75" s="168">
        <v>154266.95000000001</v>
      </c>
      <c r="K75" s="125"/>
      <c r="L75" s="169">
        <v>5.5399999999999998E-2</v>
      </c>
      <c r="M75" s="75">
        <v>20386</v>
      </c>
      <c r="N75" s="170">
        <v>14</v>
      </c>
      <c r="O75" s="170">
        <v>0</v>
      </c>
      <c r="P75" s="175">
        <v>20386</v>
      </c>
      <c r="Q75" s="170">
        <v>0</v>
      </c>
      <c r="R75" s="161" t="s">
        <v>1605</v>
      </c>
      <c r="S75" s="162">
        <v>891800498</v>
      </c>
      <c r="T75" s="77">
        <v>41377517</v>
      </c>
      <c r="U75" s="78" t="s">
        <v>1759</v>
      </c>
      <c r="V75" s="171"/>
      <c r="W75" s="80">
        <v>551485</v>
      </c>
    </row>
    <row r="76" spans="1:23" ht="15.6" x14ac:dyDescent="0.3">
      <c r="A76" s="161" t="s">
        <v>1311</v>
      </c>
      <c r="B76" s="162">
        <v>1103096</v>
      </c>
      <c r="C76" s="163" t="s">
        <v>1312</v>
      </c>
      <c r="D76" s="163">
        <v>0</v>
      </c>
      <c r="E76" s="164" t="s">
        <v>1100</v>
      </c>
      <c r="F76" s="161" t="s">
        <v>1645</v>
      </c>
      <c r="G76" s="165">
        <v>29619</v>
      </c>
      <c r="H76" s="174">
        <v>39447</v>
      </c>
      <c r="I76" s="167">
        <v>1766845.69</v>
      </c>
      <c r="J76" s="168">
        <v>235792.25</v>
      </c>
      <c r="K76" s="125"/>
      <c r="L76" s="169">
        <v>3.2599999999999997E-2</v>
      </c>
      <c r="M76" s="75">
        <v>15532</v>
      </c>
      <c r="N76" s="170">
        <v>14</v>
      </c>
      <c r="O76" s="170">
        <v>0</v>
      </c>
      <c r="P76" s="175">
        <v>26410</v>
      </c>
      <c r="Q76" s="175">
        <v>17862</v>
      </c>
      <c r="R76" s="161" t="s">
        <v>1605</v>
      </c>
      <c r="S76" s="162">
        <v>891800498</v>
      </c>
      <c r="T76" s="77">
        <v>41330091</v>
      </c>
      <c r="U76" s="78" t="s">
        <v>1760</v>
      </c>
      <c r="V76" s="171"/>
      <c r="W76" s="80">
        <v>1432460</v>
      </c>
    </row>
    <row r="77" spans="1:23" ht="16.2" thickBot="1" x14ac:dyDescent="0.35">
      <c r="A77" s="89" t="s">
        <v>1313</v>
      </c>
      <c r="B77" s="90">
        <v>169670</v>
      </c>
      <c r="C77" s="163" t="s">
        <v>1314</v>
      </c>
      <c r="D77" s="163">
        <v>0</v>
      </c>
      <c r="E77" s="91" t="s">
        <v>1100</v>
      </c>
      <c r="F77" s="161" t="s">
        <v>1645</v>
      </c>
      <c r="G77" s="165">
        <v>34716</v>
      </c>
      <c r="H77" s="174">
        <v>39447</v>
      </c>
      <c r="I77" s="172">
        <v>58391552.689999998</v>
      </c>
      <c r="J77" s="168">
        <v>7792573.9400000004</v>
      </c>
      <c r="K77" s="125"/>
      <c r="L77" s="169">
        <v>0.73760000000000003</v>
      </c>
      <c r="M77" s="100">
        <v>594432</v>
      </c>
      <c r="N77" s="170">
        <v>14</v>
      </c>
      <c r="O77" s="170">
        <v>0</v>
      </c>
      <c r="P77" s="175">
        <v>554659</v>
      </c>
      <c r="Q77" s="170">
        <v>0</v>
      </c>
      <c r="R77" s="161" t="s">
        <v>1605</v>
      </c>
      <c r="S77" s="162">
        <v>891800498</v>
      </c>
      <c r="T77" s="77">
        <v>41552535</v>
      </c>
      <c r="U77" s="78" t="s">
        <v>1761</v>
      </c>
      <c r="V77" s="171"/>
      <c r="W77" s="80">
        <v>2092332</v>
      </c>
    </row>
    <row r="78" spans="1:23" ht="15.6" x14ac:dyDescent="0.3">
      <c r="A78" s="93" t="s">
        <v>1315</v>
      </c>
      <c r="B78" s="94">
        <v>23853897</v>
      </c>
      <c r="C78" s="163" t="s">
        <v>1316</v>
      </c>
      <c r="D78" s="163">
        <v>0</v>
      </c>
      <c r="E78" s="95" t="s">
        <v>1128</v>
      </c>
      <c r="F78" s="161" t="s">
        <v>1643</v>
      </c>
      <c r="G78" s="165">
        <v>35431</v>
      </c>
      <c r="H78" s="121"/>
      <c r="I78" s="167">
        <v>5523818.71</v>
      </c>
      <c r="J78" s="168">
        <v>737174.54</v>
      </c>
      <c r="K78" s="125"/>
      <c r="L78" s="169">
        <v>0.13830000000000001</v>
      </c>
      <c r="M78" s="96">
        <v>144224</v>
      </c>
      <c r="N78" s="170">
        <v>14</v>
      </c>
      <c r="O78" s="170">
        <v>0</v>
      </c>
      <c r="P78" s="175">
        <v>1042942</v>
      </c>
      <c r="Q78" s="170">
        <v>0</v>
      </c>
      <c r="R78" s="161" t="s">
        <v>1605</v>
      </c>
      <c r="S78" s="162">
        <v>891800498</v>
      </c>
      <c r="T78" s="77" t="s">
        <v>1881</v>
      </c>
      <c r="U78" s="78" t="s">
        <v>1881</v>
      </c>
      <c r="V78" s="171"/>
      <c r="W78" s="80">
        <v>1055647</v>
      </c>
    </row>
    <row r="79" spans="1:23" ht="15.6" x14ac:dyDescent="0.3">
      <c r="A79" s="161" t="s">
        <v>1317</v>
      </c>
      <c r="B79" s="162">
        <v>6747639</v>
      </c>
      <c r="C79" s="163" t="s">
        <v>1318</v>
      </c>
      <c r="D79" s="163">
        <v>0</v>
      </c>
      <c r="E79" s="164" t="s">
        <v>1100</v>
      </c>
      <c r="F79" s="161" t="s">
        <v>1643</v>
      </c>
      <c r="G79" s="165">
        <v>37415</v>
      </c>
      <c r="H79" s="174">
        <v>39146</v>
      </c>
      <c r="I79" s="167">
        <v>7500014.1100000003</v>
      </c>
      <c r="J79" s="168">
        <v>1000905.3</v>
      </c>
      <c r="K79" s="125"/>
      <c r="L79" s="169">
        <v>9.8000000000000004E-2</v>
      </c>
      <c r="M79" s="75">
        <v>298961</v>
      </c>
      <c r="N79" s="170">
        <v>14</v>
      </c>
      <c r="O79" s="170">
        <v>0</v>
      </c>
      <c r="P79" s="175">
        <v>2316766</v>
      </c>
      <c r="Q79" s="170">
        <v>0</v>
      </c>
      <c r="R79" s="161" t="s">
        <v>1605</v>
      </c>
      <c r="S79" s="162">
        <v>891800498</v>
      </c>
      <c r="T79" s="77" t="s">
        <v>1881</v>
      </c>
      <c r="U79" s="78" t="s">
        <v>1881</v>
      </c>
      <c r="V79" s="171"/>
      <c r="W79" s="80">
        <v>2022728</v>
      </c>
    </row>
    <row r="80" spans="1:23" ht="15.6" x14ac:dyDescent="0.3">
      <c r="A80" s="161" t="s">
        <v>1319</v>
      </c>
      <c r="B80" s="162">
        <v>19055752</v>
      </c>
      <c r="C80" s="163" t="s">
        <v>1320</v>
      </c>
      <c r="D80" s="163">
        <v>0</v>
      </c>
      <c r="E80" s="164" t="s">
        <v>1119</v>
      </c>
      <c r="F80" s="161" t="s">
        <v>1643</v>
      </c>
      <c r="G80" s="165">
        <v>38808</v>
      </c>
      <c r="H80" s="174">
        <v>39447</v>
      </c>
      <c r="I80" s="172">
        <v>5092666.8</v>
      </c>
      <c r="J80" s="168">
        <v>679635.68</v>
      </c>
      <c r="K80" s="125"/>
      <c r="L80" s="169">
        <v>0.13489999999999999</v>
      </c>
      <c r="M80" s="75">
        <v>343225</v>
      </c>
      <c r="N80" s="170">
        <v>14</v>
      </c>
      <c r="O80" s="170">
        <v>0</v>
      </c>
      <c r="P80" s="175">
        <v>2316766</v>
      </c>
      <c r="Q80" s="170">
        <v>0</v>
      </c>
      <c r="R80" s="161" t="s">
        <v>1605</v>
      </c>
      <c r="S80" s="162">
        <v>891800498</v>
      </c>
      <c r="T80" s="77" t="s">
        <v>1881</v>
      </c>
      <c r="U80" s="78" t="s">
        <v>1881</v>
      </c>
      <c r="V80" s="173"/>
      <c r="W80" s="80">
        <v>997780</v>
      </c>
    </row>
    <row r="81" spans="1:23" ht="15.6" x14ac:dyDescent="0.3">
      <c r="A81" s="161" t="s">
        <v>1321</v>
      </c>
      <c r="B81" s="162">
        <v>4095711</v>
      </c>
      <c r="C81" s="163" t="s">
        <v>1322</v>
      </c>
      <c r="D81" s="163">
        <v>0</v>
      </c>
      <c r="E81" s="164" t="s">
        <v>1128</v>
      </c>
      <c r="F81" s="161" t="s">
        <v>1643</v>
      </c>
      <c r="G81" s="165">
        <v>39022</v>
      </c>
      <c r="H81" s="174">
        <v>39447</v>
      </c>
      <c r="I81" s="167">
        <v>6228493.5899999999</v>
      </c>
      <c r="J81" s="168">
        <v>831216.07</v>
      </c>
      <c r="K81" s="125"/>
      <c r="L81" s="169">
        <v>0.25040000000000001</v>
      </c>
      <c r="M81" s="75">
        <v>567720</v>
      </c>
      <c r="N81" s="170">
        <v>14</v>
      </c>
      <c r="O81" s="170"/>
      <c r="P81" s="175">
        <v>2217656</v>
      </c>
      <c r="Q81" s="170">
        <v>0</v>
      </c>
      <c r="R81" s="161" t="s">
        <v>1605</v>
      </c>
      <c r="S81" s="162">
        <v>891800498</v>
      </c>
      <c r="T81" s="77" t="s">
        <v>1881</v>
      </c>
      <c r="U81" s="78" t="s">
        <v>1881</v>
      </c>
      <c r="V81" s="171"/>
      <c r="W81" s="80">
        <v>657431</v>
      </c>
    </row>
    <row r="82" spans="1:23" ht="15.6" x14ac:dyDescent="0.3">
      <c r="A82" s="161" t="s">
        <v>1323</v>
      </c>
      <c r="B82" s="162">
        <v>4111891</v>
      </c>
      <c r="C82" s="163" t="s">
        <v>1324</v>
      </c>
      <c r="D82" s="163">
        <v>0</v>
      </c>
      <c r="E82" s="164" t="s">
        <v>1128</v>
      </c>
      <c r="F82" s="161" t="s">
        <v>1643</v>
      </c>
      <c r="G82" s="165">
        <v>39125</v>
      </c>
      <c r="H82" s="174"/>
      <c r="I82" s="167">
        <v>23491026.350000001</v>
      </c>
      <c r="J82" s="168">
        <v>3134966.47</v>
      </c>
      <c r="K82" s="125"/>
      <c r="L82" s="169">
        <v>0.1532</v>
      </c>
      <c r="M82" s="75">
        <v>264645</v>
      </c>
      <c r="N82" s="170">
        <v>1</v>
      </c>
      <c r="O82" s="170">
        <v>0</v>
      </c>
      <c r="P82" s="175">
        <v>1727447</v>
      </c>
      <c r="Q82" s="170">
        <v>0</v>
      </c>
      <c r="R82" s="161" t="s">
        <v>1605</v>
      </c>
      <c r="S82" s="162">
        <v>891800498</v>
      </c>
      <c r="T82" s="77" t="s">
        <v>1881</v>
      </c>
      <c r="U82" s="78" t="s">
        <v>1881</v>
      </c>
      <c r="V82" s="171"/>
      <c r="W82" s="80">
        <v>4052702.3472000002</v>
      </c>
    </row>
    <row r="83" spans="1:23" ht="15.6" x14ac:dyDescent="0.3">
      <c r="A83" s="161" t="s">
        <v>1325</v>
      </c>
      <c r="B83" s="162">
        <v>9512932</v>
      </c>
      <c r="C83" s="163" t="s">
        <v>1326</v>
      </c>
      <c r="D83" s="163">
        <v>0</v>
      </c>
      <c r="E83" s="164" t="s">
        <v>1128</v>
      </c>
      <c r="F83" s="161" t="s">
        <v>1643</v>
      </c>
      <c r="G83" s="165">
        <v>39415</v>
      </c>
      <c r="H83" s="174"/>
      <c r="I83" s="172">
        <v>2414412.94</v>
      </c>
      <c r="J83" s="168">
        <v>322212.55</v>
      </c>
      <c r="K83" s="125"/>
      <c r="L83" s="169">
        <v>0.11070000000000001</v>
      </c>
      <c r="M83" s="75">
        <v>190988</v>
      </c>
      <c r="N83" s="170">
        <v>14</v>
      </c>
      <c r="O83" s="170">
        <v>0</v>
      </c>
      <c r="P83" s="175">
        <v>1690159</v>
      </c>
      <c r="Q83" s="170">
        <v>0</v>
      </c>
      <c r="R83" s="161" t="s">
        <v>1605</v>
      </c>
      <c r="S83" s="162">
        <v>891800498</v>
      </c>
      <c r="T83" s="77" t="s">
        <v>1881</v>
      </c>
      <c r="U83" s="78" t="s">
        <v>1881</v>
      </c>
      <c r="V83" s="171"/>
      <c r="W83" s="80">
        <v>576455</v>
      </c>
    </row>
    <row r="84" spans="1:23" ht="16.2" thickBot="1" x14ac:dyDescent="0.35">
      <c r="A84" s="161" t="s">
        <v>1327</v>
      </c>
      <c r="B84" s="162">
        <v>41562739</v>
      </c>
      <c r="C84" s="163" t="s">
        <v>1328</v>
      </c>
      <c r="D84" s="163">
        <v>0</v>
      </c>
      <c r="E84" s="164" t="s">
        <v>1128</v>
      </c>
      <c r="F84" s="161" t="s">
        <v>1643</v>
      </c>
      <c r="G84" s="165">
        <v>39554</v>
      </c>
      <c r="H84" s="174"/>
      <c r="I84" s="172">
        <v>1557848.75</v>
      </c>
      <c r="J84" s="168">
        <v>207900.82</v>
      </c>
      <c r="K84" s="128"/>
      <c r="L84" s="169">
        <v>6.13E-2</v>
      </c>
      <c r="M84" s="75">
        <v>103766</v>
      </c>
      <c r="N84" s="170">
        <v>13</v>
      </c>
      <c r="O84" s="170">
        <v>0</v>
      </c>
      <c r="P84" s="175">
        <v>2003360</v>
      </c>
      <c r="Q84" s="175">
        <v>2319507</v>
      </c>
      <c r="R84" s="161" t="s">
        <v>1605</v>
      </c>
      <c r="S84" s="162">
        <v>891800498</v>
      </c>
      <c r="T84" s="77" t="s">
        <v>1881</v>
      </c>
      <c r="U84" s="78" t="s">
        <v>1881</v>
      </c>
      <c r="V84" s="171"/>
      <c r="W84" s="80">
        <v>671686</v>
      </c>
    </row>
    <row r="85" spans="1:23" ht="15.6" x14ac:dyDescent="0.3">
      <c r="A85" s="161" t="s">
        <v>1329</v>
      </c>
      <c r="B85" s="162">
        <v>4287109</v>
      </c>
      <c r="C85" s="163" t="s">
        <v>1330</v>
      </c>
      <c r="D85" s="163">
        <v>0</v>
      </c>
      <c r="E85" s="164" t="s">
        <v>1128</v>
      </c>
      <c r="F85" s="161" t="s">
        <v>1645</v>
      </c>
      <c r="G85" s="165">
        <v>39873</v>
      </c>
      <c r="H85" s="174"/>
      <c r="I85" s="167">
        <v>0</v>
      </c>
      <c r="J85" s="168">
        <v>0</v>
      </c>
      <c r="K85" s="127"/>
      <c r="L85" s="169">
        <v>6.9400000000000003E-2</v>
      </c>
      <c r="M85" s="75">
        <v>110316</v>
      </c>
      <c r="N85" s="170">
        <v>14</v>
      </c>
      <c r="O85" s="170">
        <v>0</v>
      </c>
      <c r="P85" s="175">
        <v>1751777</v>
      </c>
      <c r="Q85" s="170">
        <v>0</v>
      </c>
      <c r="R85" s="161" t="s">
        <v>1605</v>
      </c>
      <c r="S85" s="162">
        <v>891800498</v>
      </c>
      <c r="T85" s="77" t="s">
        <v>1881</v>
      </c>
      <c r="U85" s="78" t="s">
        <v>1881</v>
      </c>
      <c r="V85" s="171"/>
      <c r="W85" s="80">
        <v>0</v>
      </c>
    </row>
    <row r="86" spans="1:23" ht="15.6" x14ac:dyDescent="0.3">
      <c r="A86" s="161" t="s">
        <v>1331</v>
      </c>
      <c r="B86" s="162">
        <v>19225188</v>
      </c>
      <c r="C86" s="163" t="s">
        <v>1332</v>
      </c>
      <c r="D86" s="163">
        <v>0</v>
      </c>
      <c r="E86" s="164" t="s">
        <v>1128</v>
      </c>
      <c r="F86" s="161" t="s">
        <v>1645</v>
      </c>
      <c r="G86" s="165">
        <v>39995</v>
      </c>
      <c r="H86" s="174"/>
      <c r="I86" s="167">
        <v>0</v>
      </c>
      <c r="J86" s="168">
        <v>0</v>
      </c>
      <c r="K86" s="125"/>
      <c r="L86" s="169">
        <v>9.7999999999999997E-3</v>
      </c>
      <c r="M86" s="75">
        <v>18829</v>
      </c>
      <c r="N86" s="170">
        <v>13</v>
      </c>
      <c r="O86" s="170">
        <v>0</v>
      </c>
      <c r="P86" s="175">
        <v>1901941</v>
      </c>
      <c r="Q86" s="170">
        <v>0</v>
      </c>
      <c r="R86" s="161" t="s">
        <v>1605</v>
      </c>
      <c r="S86" s="162">
        <v>891800498</v>
      </c>
      <c r="T86" s="77" t="s">
        <v>1881</v>
      </c>
      <c r="U86" s="78" t="s">
        <v>1881</v>
      </c>
      <c r="V86" s="171"/>
      <c r="W86" s="80">
        <v>0</v>
      </c>
    </row>
    <row r="87" spans="1:23" ht="15.6" x14ac:dyDescent="0.3">
      <c r="A87" s="161" t="s">
        <v>1333</v>
      </c>
      <c r="B87" s="162">
        <v>20001841</v>
      </c>
      <c r="C87" s="163" t="s">
        <v>1334</v>
      </c>
      <c r="D87" s="163">
        <v>0</v>
      </c>
      <c r="E87" s="164" t="s">
        <v>722</v>
      </c>
      <c r="F87" s="161" t="s">
        <v>1643</v>
      </c>
      <c r="G87" s="165">
        <v>30437</v>
      </c>
      <c r="H87" s="174"/>
      <c r="I87" s="167">
        <v>21866870.949999999</v>
      </c>
      <c r="J87" s="168">
        <v>2918216.78</v>
      </c>
      <c r="K87" s="125"/>
      <c r="L87" s="169">
        <v>0.2954</v>
      </c>
      <c r="M87" s="85"/>
      <c r="N87" s="170">
        <v>14</v>
      </c>
      <c r="O87" s="170"/>
      <c r="P87" s="170"/>
      <c r="Q87" s="170"/>
      <c r="R87" s="161" t="s">
        <v>1606</v>
      </c>
      <c r="S87" s="162">
        <v>891800549</v>
      </c>
      <c r="T87" s="77" t="s">
        <v>1881</v>
      </c>
      <c r="U87" s="78" t="s">
        <v>1881</v>
      </c>
      <c r="V87" s="171"/>
      <c r="W87" s="80">
        <v>1956490</v>
      </c>
    </row>
    <row r="88" spans="1:23" ht="16.2" thickBot="1" x14ac:dyDescent="0.35">
      <c r="A88" s="89" t="s">
        <v>1335</v>
      </c>
      <c r="B88" s="90">
        <v>9651931</v>
      </c>
      <c r="C88" s="163" t="s">
        <v>1336</v>
      </c>
      <c r="D88" s="163">
        <v>0</v>
      </c>
      <c r="E88" s="91" t="s">
        <v>19</v>
      </c>
      <c r="F88" s="161" t="s">
        <v>1645</v>
      </c>
      <c r="G88" s="165">
        <v>40238</v>
      </c>
      <c r="H88" s="120">
        <v>45058</v>
      </c>
      <c r="I88" s="167">
        <v>0</v>
      </c>
      <c r="J88" s="168">
        <v>0</v>
      </c>
      <c r="K88" s="125"/>
      <c r="L88" s="169">
        <v>6.13E-2</v>
      </c>
      <c r="M88" s="100">
        <v>110446</v>
      </c>
      <c r="N88" s="170">
        <v>13</v>
      </c>
      <c r="O88" s="170">
        <v>0</v>
      </c>
      <c r="P88" s="175">
        <v>1843437</v>
      </c>
      <c r="Q88" s="170">
        <v>0</v>
      </c>
      <c r="R88" s="161" t="s">
        <v>1607</v>
      </c>
      <c r="S88" s="162">
        <v>891855017</v>
      </c>
      <c r="T88" s="77" t="s">
        <v>1881</v>
      </c>
      <c r="U88" s="78" t="s">
        <v>1881</v>
      </c>
      <c r="V88" s="171"/>
      <c r="W88" s="80">
        <v>0</v>
      </c>
    </row>
    <row r="89" spans="1:23" ht="15.6" x14ac:dyDescent="0.3">
      <c r="A89" s="93" t="s">
        <v>1325</v>
      </c>
      <c r="B89" s="94">
        <v>9512932</v>
      </c>
      <c r="C89" s="163" t="s">
        <v>1326</v>
      </c>
      <c r="D89" s="163">
        <v>0</v>
      </c>
      <c r="E89" s="95" t="s">
        <v>472</v>
      </c>
      <c r="F89" s="161" t="s">
        <v>1643</v>
      </c>
      <c r="G89" s="165">
        <v>39415</v>
      </c>
      <c r="H89" s="121">
        <v>45635</v>
      </c>
      <c r="I89" s="167">
        <v>2414412.94</v>
      </c>
      <c r="J89" s="168">
        <v>322212.55</v>
      </c>
      <c r="K89" s="125"/>
      <c r="L89" s="169">
        <v>0.11070000000000001</v>
      </c>
      <c r="M89" s="96">
        <v>62874</v>
      </c>
      <c r="N89" s="170">
        <v>14</v>
      </c>
      <c r="O89" s="170"/>
      <c r="P89" s="170"/>
      <c r="Q89" s="170"/>
      <c r="R89" s="161" t="s">
        <v>1608</v>
      </c>
      <c r="S89" s="162">
        <v>891855130</v>
      </c>
      <c r="T89" s="77" t="s">
        <v>1881</v>
      </c>
      <c r="U89" s="78" t="s">
        <v>1881</v>
      </c>
      <c r="V89" s="171"/>
      <c r="W89" s="80">
        <v>576455</v>
      </c>
    </row>
    <row r="90" spans="1:23" ht="15.6" x14ac:dyDescent="0.3">
      <c r="A90" s="161" t="s">
        <v>1337</v>
      </c>
      <c r="B90" s="162">
        <v>2668605</v>
      </c>
      <c r="C90" s="163" t="s">
        <v>1338</v>
      </c>
      <c r="D90" s="163">
        <v>0</v>
      </c>
      <c r="E90" s="164" t="s">
        <v>19</v>
      </c>
      <c r="F90" s="161" t="s">
        <v>1645</v>
      </c>
      <c r="G90" s="165">
        <v>32709</v>
      </c>
      <c r="H90" s="174"/>
      <c r="I90" s="172">
        <v>0</v>
      </c>
      <c r="J90" s="168">
        <v>0</v>
      </c>
      <c r="K90" s="125"/>
      <c r="L90" s="169">
        <v>2.7099999999999999E-2</v>
      </c>
      <c r="M90" s="85"/>
      <c r="N90" s="170">
        <v>14</v>
      </c>
      <c r="O90" s="170"/>
      <c r="P90" s="170"/>
      <c r="Q90" s="170"/>
      <c r="R90" s="161" t="s">
        <v>1609</v>
      </c>
      <c r="S90" s="162">
        <v>891900268</v>
      </c>
      <c r="T90" s="77" t="s">
        <v>1881</v>
      </c>
      <c r="U90" s="78" t="s">
        <v>1881</v>
      </c>
      <c r="V90" s="171"/>
      <c r="W90" s="80">
        <v>0</v>
      </c>
    </row>
    <row r="91" spans="1:23" ht="15.6" x14ac:dyDescent="0.3">
      <c r="A91" s="161" t="s">
        <v>1339</v>
      </c>
      <c r="B91" s="162">
        <v>29862865</v>
      </c>
      <c r="C91" s="163" t="s">
        <v>1340</v>
      </c>
      <c r="D91" s="163">
        <v>0</v>
      </c>
      <c r="E91" s="164" t="s">
        <v>472</v>
      </c>
      <c r="F91" s="161" t="s">
        <v>1643</v>
      </c>
      <c r="G91" s="165">
        <v>34516</v>
      </c>
      <c r="H91" s="174"/>
      <c r="I91" s="172">
        <v>5966512.4299999997</v>
      </c>
      <c r="J91" s="168">
        <v>796253.69</v>
      </c>
      <c r="K91" s="125"/>
      <c r="L91" s="169">
        <v>0.1116</v>
      </c>
      <c r="M91" s="75">
        <v>47471</v>
      </c>
      <c r="N91" s="170">
        <v>14</v>
      </c>
      <c r="O91" s="170"/>
      <c r="P91" s="170"/>
      <c r="Q91" s="170"/>
      <c r="R91" s="161" t="s">
        <v>1610</v>
      </c>
      <c r="S91" s="162">
        <v>891900272</v>
      </c>
      <c r="T91" s="77" t="s">
        <v>1881</v>
      </c>
      <c r="U91" s="78" t="s">
        <v>1881</v>
      </c>
      <c r="V91" s="171"/>
      <c r="W91" s="80">
        <v>1413051</v>
      </c>
    </row>
    <row r="92" spans="1:23" ht="15.6" x14ac:dyDescent="0.3">
      <c r="A92" s="161" t="s">
        <v>965</v>
      </c>
      <c r="B92" s="162">
        <v>2665482</v>
      </c>
      <c r="C92" s="163" t="s">
        <v>1341</v>
      </c>
      <c r="D92" s="163">
        <v>0</v>
      </c>
      <c r="E92" s="164" t="s">
        <v>19</v>
      </c>
      <c r="F92" s="161" t="s">
        <v>1645</v>
      </c>
      <c r="G92" s="165">
        <v>34856</v>
      </c>
      <c r="H92" s="174"/>
      <c r="I92" s="172">
        <v>0</v>
      </c>
      <c r="J92" s="168">
        <v>0</v>
      </c>
      <c r="K92" s="125"/>
      <c r="L92" s="169">
        <v>0.16520000000000001</v>
      </c>
      <c r="M92" s="85"/>
      <c r="N92" s="170">
        <v>14</v>
      </c>
      <c r="O92" s="170"/>
      <c r="P92" s="170"/>
      <c r="Q92" s="170"/>
      <c r="R92" s="161" t="s">
        <v>1610</v>
      </c>
      <c r="S92" s="162">
        <v>891900272</v>
      </c>
      <c r="T92" s="77" t="s">
        <v>1881</v>
      </c>
      <c r="U92" s="78" t="s">
        <v>1881</v>
      </c>
      <c r="V92" s="171"/>
      <c r="W92" s="80">
        <v>0</v>
      </c>
    </row>
    <row r="93" spans="1:23" ht="15.6" x14ac:dyDescent="0.3">
      <c r="A93" s="161" t="s">
        <v>1342</v>
      </c>
      <c r="B93" s="162">
        <v>6491022</v>
      </c>
      <c r="C93" s="163" t="s">
        <v>1343</v>
      </c>
      <c r="D93" s="163">
        <v>0</v>
      </c>
      <c r="E93" s="164" t="s">
        <v>472</v>
      </c>
      <c r="F93" s="161" t="s">
        <v>1643</v>
      </c>
      <c r="G93" s="165">
        <v>38534</v>
      </c>
      <c r="H93" s="174"/>
      <c r="I93" s="172">
        <v>9108045.1699999999</v>
      </c>
      <c r="J93" s="168">
        <v>1215503.1399999999</v>
      </c>
      <c r="K93" s="125"/>
      <c r="L93" s="169">
        <v>0.1071</v>
      </c>
      <c r="M93" s="75">
        <v>150483</v>
      </c>
      <c r="N93" s="170">
        <v>14</v>
      </c>
      <c r="O93" s="170"/>
      <c r="P93" s="170"/>
      <c r="Q93" s="170"/>
      <c r="R93" s="161" t="s">
        <v>1610</v>
      </c>
      <c r="S93" s="162">
        <v>891900272</v>
      </c>
      <c r="T93" s="77" t="s">
        <v>1881</v>
      </c>
      <c r="U93" s="78" t="s">
        <v>1881</v>
      </c>
      <c r="V93" s="171"/>
      <c r="W93" s="80">
        <v>2247694</v>
      </c>
    </row>
    <row r="94" spans="1:23" ht="15.6" x14ac:dyDescent="0.3">
      <c r="A94" s="161" t="s">
        <v>1344</v>
      </c>
      <c r="B94" s="162">
        <v>16202662</v>
      </c>
      <c r="C94" s="163" t="s">
        <v>1345</v>
      </c>
      <c r="D94" s="163">
        <v>0</v>
      </c>
      <c r="E94" s="164" t="s">
        <v>19</v>
      </c>
      <c r="F94" s="161" t="s">
        <v>1643</v>
      </c>
      <c r="G94" s="165">
        <v>41699</v>
      </c>
      <c r="H94" s="174"/>
      <c r="I94" s="167">
        <v>8220880.6200000001</v>
      </c>
      <c r="J94" s="168">
        <v>1097107.6599999999</v>
      </c>
      <c r="K94" s="125"/>
      <c r="L94" s="169">
        <v>5.9400000000000001E-2</v>
      </c>
      <c r="M94" s="75">
        <v>92615</v>
      </c>
      <c r="N94" s="170">
        <v>1</v>
      </c>
      <c r="O94" s="170"/>
      <c r="P94" s="170"/>
      <c r="Q94" s="170"/>
      <c r="R94" s="161" t="s">
        <v>1611</v>
      </c>
      <c r="S94" s="162">
        <v>891900493</v>
      </c>
      <c r="T94" s="77" t="s">
        <v>1881</v>
      </c>
      <c r="U94" s="78" t="s">
        <v>1881</v>
      </c>
      <c r="V94" s="171"/>
      <c r="W94" s="80">
        <v>3657913.048</v>
      </c>
    </row>
    <row r="95" spans="1:23" ht="15.6" x14ac:dyDescent="0.3">
      <c r="A95" s="161" t="s">
        <v>1080</v>
      </c>
      <c r="B95" s="162">
        <v>24446657</v>
      </c>
      <c r="C95" s="163" t="s">
        <v>1081</v>
      </c>
      <c r="D95" s="163">
        <v>0</v>
      </c>
      <c r="E95" s="164" t="s">
        <v>19</v>
      </c>
      <c r="F95" s="161" t="s">
        <v>1643</v>
      </c>
      <c r="G95" s="165">
        <v>34351</v>
      </c>
      <c r="H95" s="174"/>
      <c r="I95" s="167">
        <v>3275598.79</v>
      </c>
      <c r="J95" s="168">
        <v>437141.07</v>
      </c>
      <c r="K95" s="125"/>
      <c r="L95" s="169">
        <v>0.1172</v>
      </c>
      <c r="M95" s="75">
        <v>17132</v>
      </c>
      <c r="N95" s="170">
        <v>14</v>
      </c>
      <c r="O95" s="170"/>
      <c r="P95" s="170"/>
      <c r="Q95" s="170"/>
      <c r="R95" s="161" t="s">
        <v>1612</v>
      </c>
      <c r="S95" s="162">
        <v>891900945</v>
      </c>
      <c r="T95" s="77" t="s">
        <v>1881</v>
      </c>
      <c r="U95" s="78" t="s">
        <v>1881</v>
      </c>
      <c r="V95" s="173"/>
      <c r="W95" s="80">
        <v>738694</v>
      </c>
    </row>
    <row r="96" spans="1:23" ht="15.6" x14ac:dyDescent="0.3">
      <c r="A96" s="161" t="s">
        <v>995</v>
      </c>
      <c r="B96" s="162">
        <v>29991651</v>
      </c>
      <c r="C96" s="163" t="s">
        <v>996</v>
      </c>
      <c r="D96" s="163">
        <v>0</v>
      </c>
      <c r="E96" s="164" t="s">
        <v>19</v>
      </c>
      <c r="F96" s="161" t="s">
        <v>1645</v>
      </c>
      <c r="G96" s="165">
        <v>39782</v>
      </c>
      <c r="H96" s="174"/>
      <c r="I96" s="167">
        <v>0</v>
      </c>
      <c r="J96" s="168">
        <v>0</v>
      </c>
      <c r="K96" s="125"/>
      <c r="L96" s="169">
        <v>3.9E-2</v>
      </c>
      <c r="M96" s="75">
        <v>116797</v>
      </c>
      <c r="N96" s="170">
        <v>13</v>
      </c>
      <c r="O96" s="170"/>
      <c r="P96" s="170"/>
      <c r="Q96" s="170"/>
      <c r="R96" s="161" t="s">
        <v>1613</v>
      </c>
      <c r="S96" s="162">
        <v>891901158</v>
      </c>
      <c r="T96" s="77" t="s">
        <v>1881</v>
      </c>
      <c r="U96" s="78" t="s">
        <v>1881</v>
      </c>
      <c r="V96" s="171"/>
      <c r="W96" s="80">
        <v>0</v>
      </c>
    </row>
    <row r="97" spans="1:23" ht="15.6" x14ac:dyDescent="0.3">
      <c r="A97" s="161" t="s">
        <v>1346</v>
      </c>
      <c r="B97" s="162">
        <v>492564</v>
      </c>
      <c r="C97" s="163" t="s">
        <v>1347</v>
      </c>
      <c r="D97" s="163">
        <v>0</v>
      </c>
      <c r="E97" s="164" t="s">
        <v>21</v>
      </c>
      <c r="F97" s="161" t="s">
        <v>1645</v>
      </c>
      <c r="G97" s="165">
        <v>31082</v>
      </c>
      <c r="H97" s="174"/>
      <c r="I97" s="172">
        <v>12334424.18</v>
      </c>
      <c r="J97" s="168">
        <v>1646075.64</v>
      </c>
      <c r="K97" s="125"/>
      <c r="L97" s="169">
        <v>9.01E-2</v>
      </c>
      <c r="M97" s="75">
        <v>6927</v>
      </c>
      <c r="N97" s="170">
        <v>14</v>
      </c>
      <c r="O97" s="170"/>
      <c r="P97" s="170"/>
      <c r="Q97" s="170"/>
      <c r="R97" s="161" t="s">
        <v>1614</v>
      </c>
      <c r="S97" s="162">
        <v>892000148</v>
      </c>
      <c r="T97" s="77">
        <v>21222714</v>
      </c>
      <c r="U97" s="78" t="s">
        <v>1762</v>
      </c>
      <c r="V97" s="171"/>
      <c r="W97" s="80">
        <v>3618225</v>
      </c>
    </row>
    <row r="98" spans="1:23" ht="15.6" x14ac:dyDescent="0.3">
      <c r="A98" s="161" t="s">
        <v>1348</v>
      </c>
      <c r="B98" s="162">
        <v>21219656</v>
      </c>
      <c r="C98" s="163" t="s">
        <v>1349</v>
      </c>
      <c r="D98" s="163">
        <v>0</v>
      </c>
      <c r="E98" s="164" t="s">
        <v>21</v>
      </c>
      <c r="F98" s="161" t="s">
        <v>1643</v>
      </c>
      <c r="G98" s="165">
        <v>34700</v>
      </c>
      <c r="H98" s="174"/>
      <c r="I98" s="172">
        <v>5288688.7300000004</v>
      </c>
      <c r="J98" s="168">
        <v>705795.55</v>
      </c>
      <c r="K98" s="125"/>
      <c r="L98" s="169">
        <v>7.0099999999999996E-2</v>
      </c>
      <c r="M98" s="75">
        <v>134512</v>
      </c>
      <c r="N98" s="170">
        <v>14</v>
      </c>
      <c r="O98" s="170"/>
      <c r="P98" s="170"/>
      <c r="Q98" s="170"/>
      <c r="R98" s="161" t="s">
        <v>1614</v>
      </c>
      <c r="S98" s="162">
        <v>892000148</v>
      </c>
      <c r="T98" s="77" t="s">
        <v>1881</v>
      </c>
      <c r="U98" s="78" t="s">
        <v>1881</v>
      </c>
      <c r="V98" s="171"/>
      <c r="W98" s="80">
        <v>1994029</v>
      </c>
    </row>
    <row r="99" spans="1:23" ht="15.6" x14ac:dyDescent="0.3">
      <c r="A99" s="161" t="s">
        <v>1350</v>
      </c>
      <c r="B99" s="162">
        <v>21219736</v>
      </c>
      <c r="C99" s="163" t="s">
        <v>1351</v>
      </c>
      <c r="D99" s="163">
        <v>0</v>
      </c>
      <c r="E99" s="164" t="s">
        <v>21</v>
      </c>
      <c r="F99" s="161" t="s">
        <v>1643</v>
      </c>
      <c r="G99" s="165">
        <v>34700</v>
      </c>
      <c r="H99" s="174"/>
      <c r="I99" s="167">
        <v>9914867.6199999992</v>
      </c>
      <c r="J99" s="168">
        <v>1323176.6499999999</v>
      </c>
      <c r="K99" s="125"/>
      <c r="L99" s="169">
        <v>7.6100000000000001E-2</v>
      </c>
      <c r="M99" s="75">
        <v>66885</v>
      </c>
      <c r="N99" s="170">
        <v>14</v>
      </c>
      <c r="O99" s="170"/>
      <c r="P99" s="170"/>
      <c r="Q99" s="170"/>
      <c r="R99" s="161" t="s">
        <v>1614</v>
      </c>
      <c r="S99" s="162">
        <v>892000148</v>
      </c>
      <c r="T99" s="77" t="s">
        <v>1881</v>
      </c>
      <c r="U99" s="78" t="s">
        <v>1881</v>
      </c>
      <c r="V99" s="171"/>
      <c r="W99" s="80">
        <v>3443529</v>
      </c>
    </row>
    <row r="100" spans="1:23" ht="15.6" x14ac:dyDescent="0.3">
      <c r="A100" s="161" t="s">
        <v>1352</v>
      </c>
      <c r="B100" s="162">
        <v>41321695</v>
      </c>
      <c r="C100" s="163" t="s">
        <v>1353</v>
      </c>
      <c r="D100" s="163">
        <v>0</v>
      </c>
      <c r="E100" s="164" t="s">
        <v>21</v>
      </c>
      <c r="F100" s="161" t="s">
        <v>1643</v>
      </c>
      <c r="G100" s="165">
        <v>35063</v>
      </c>
      <c r="H100" s="174"/>
      <c r="I100" s="167">
        <v>3894828.62</v>
      </c>
      <c r="J100" s="168">
        <v>519779.64</v>
      </c>
      <c r="K100" s="125"/>
      <c r="L100" s="169">
        <v>5.45E-2</v>
      </c>
      <c r="M100" s="75">
        <v>15424</v>
      </c>
      <c r="N100" s="170">
        <v>14</v>
      </c>
      <c r="O100" s="170"/>
      <c r="P100" s="170"/>
      <c r="Q100" s="170"/>
      <c r="R100" s="161" t="s">
        <v>1614</v>
      </c>
      <c r="S100" s="162">
        <v>892000148</v>
      </c>
      <c r="T100" s="77" t="s">
        <v>1881</v>
      </c>
      <c r="U100" s="78" t="s">
        <v>1881</v>
      </c>
      <c r="V100" s="171"/>
      <c r="W100" s="80">
        <v>1888832</v>
      </c>
    </row>
    <row r="101" spans="1:23" ht="15.6" x14ac:dyDescent="0.3">
      <c r="A101" s="161" t="s">
        <v>1354</v>
      </c>
      <c r="B101" s="162">
        <v>3292067</v>
      </c>
      <c r="C101" s="163" t="s">
        <v>1355</v>
      </c>
      <c r="D101" s="163">
        <v>0</v>
      </c>
      <c r="E101" s="164" t="s">
        <v>21</v>
      </c>
      <c r="F101" s="161" t="s">
        <v>1643</v>
      </c>
      <c r="G101" s="165">
        <v>37104</v>
      </c>
      <c r="H101" s="174"/>
      <c r="I101" s="167">
        <v>13382806.199999999</v>
      </c>
      <c r="J101" s="168">
        <v>1785986.2</v>
      </c>
      <c r="K101" s="125"/>
      <c r="L101" s="169">
        <v>0.28210000000000002</v>
      </c>
      <c r="M101" s="75">
        <v>480088</v>
      </c>
      <c r="N101" s="170">
        <v>14</v>
      </c>
      <c r="O101" s="170"/>
      <c r="P101" s="170"/>
      <c r="Q101" s="170"/>
      <c r="R101" s="161" t="s">
        <v>1614</v>
      </c>
      <c r="S101" s="162">
        <v>892000148</v>
      </c>
      <c r="T101" s="77" t="s">
        <v>1881</v>
      </c>
      <c r="U101" s="78" t="s">
        <v>1881</v>
      </c>
      <c r="V101" s="171"/>
      <c r="W101" s="80">
        <v>1253850</v>
      </c>
    </row>
    <row r="102" spans="1:23" ht="15.6" x14ac:dyDescent="0.3">
      <c r="A102" s="161" t="s">
        <v>1356</v>
      </c>
      <c r="B102" s="162">
        <v>17185988</v>
      </c>
      <c r="C102" s="163" t="s">
        <v>1357</v>
      </c>
      <c r="D102" s="163">
        <v>0</v>
      </c>
      <c r="E102" s="164" t="s">
        <v>472</v>
      </c>
      <c r="F102" s="161" t="s">
        <v>1643</v>
      </c>
      <c r="G102" s="165">
        <v>37347</v>
      </c>
      <c r="H102" s="174"/>
      <c r="I102" s="167">
        <v>839511.65</v>
      </c>
      <c r="J102" s="168">
        <v>112036.01</v>
      </c>
      <c r="K102" s="125"/>
      <c r="L102" s="169">
        <v>1.44E-2</v>
      </c>
      <c r="M102" s="75">
        <v>33776</v>
      </c>
      <c r="N102" s="170">
        <v>14</v>
      </c>
      <c r="O102" s="170"/>
      <c r="P102" s="170"/>
      <c r="Q102" s="170"/>
      <c r="R102" s="161" t="s">
        <v>1614</v>
      </c>
      <c r="S102" s="162">
        <v>892000148</v>
      </c>
      <c r="T102" s="77" t="s">
        <v>1881</v>
      </c>
      <c r="U102" s="78" t="s">
        <v>1881</v>
      </c>
      <c r="V102" s="171"/>
      <c r="W102" s="80">
        <v>1540869</v>
      </c>
    </row>
    <row r="103" spans="1:23" ht="15.6" x14ac:dyDescent="0.3">
      <c r="A103" s="161" t="s">
        <v>725</v>
      </c>
      <c r="B103" s="162">
        <v>3296533</v>
      </c>
      <c r="C103" s="163" t="s">
        <v>726</v>
      </c>
      <c r="D103" s="163">
        <v>0</v>
      </c>
      <c r="E103" s="164" t="s">
        <v>472</v>
      </c>
      <c r="F103" s="161" t="s">
        <v>1643</v>
      </c>
      <c r="G103" s="165">
        <v>38741</v>
      </c>
      <c r="H103" s="174"/>
      <c r="I103" s="167">
        <v>5795136.6799999997</v>
      </c>
      <c r="J103" s="168">
        <v>773382.95</v>
      </c>
      <c r="K103" s="125"/>
      <c r="L103" s="169">
        <v>0.1149</v>
      </c>
      <c r="M103" s="75">
        <v>237477</v>
      </c>
      <c r="N103" s="170">
        <v>14</v>
      </c>
      <c r="O103" s="170"/>
      <c r="P103" s="170"/>
      <c r="Q103" s="170"/>
      <c r="R103" s="161" t="s">
        <v>1614</v>
      </c>
      <c r="S103" s="162">
        <v>892000148</v>
      </c>
      <c r="T103" s="77" t="s">
        <v>1881</v>
      </c>
      <c r="U103" s="78" t="s">
        <v>1881</v>
      </c>
      <c r="V103" s="171"/>
      <c r="W103" s="80">
        <v>1333046</v>
      </c>
    </row>
    <row r="104" spans="1:23" ht="15.6" x14ac:dyDescent="0.3">
      <c r="A104" s="161" t="s">
        <v>1358</v>
      </c>
      <c r="B104" s="162">
        <v>21227900</v>
      </c>
      <c r="C104" s="163" t="s">
        <v>1359</v>
      </c>
      <c r="D104" s="163">
        <v>0</v>
      </c>
      <c r="E104" s="164" t="s">
        <v>21</v>
      </c>
      <c r="F104" s="161" t="s">
        <v>1643</v>
      </c>
      <c r="G104" s="165">
        <v>38764</v>
      </c>
      <c r="H104" s="174"/>
      <c r="I104" s="172">
        <v>747670.69</v>
      </c>
      <c r="J104" s="168">
        <v>99779.49</v>
      </c>
      <c r="K104" s="125"/>
      <c r="L104" s="169">
        <v>7.1199999999999999E-2</v>
      </c>
      <c r="M104" s="75">
        <v>118298</v>
      </c>
      <c r="N104" s="170">
        <v>14</v>
      </c>
      <c r="O104" s="170"/>
      <c r="P104" s="170"/>
      <c r="Q104" s="170"/>
      <c r="R104" s="161" t="s">
        <v>1614</v>
      </c>
      <c r="S104" s="162">
        <v>892000148</v>
      </c>
      <c r="T104" s="77" t="s">
        <v>1881</v>
      </c>
      <c r="U104" s="78" t="s">
        <v>1881</v>
      </c>
      <c r="V104" s="171"/>
      <c r="W104" s="80">
        <v>277544</v>
      </c>
    </row>
    <row r="105" spans="1:23" ht="15.6" x14ac:dyDescent="0.3">
      <c r="A105" s="161" t="s">
        <v>1360</v>
      </c>
      <c r="B105" s="162">
        <v>19117020</v>
      </c>
      <c r="C105" s="163" t="s">
        <v>1361</v>
      </c>
      <c r="D105" s="163">
        <v>0</v>
      </c>
      <c r="E105" s="164" t="s">
        <v>472</v>
      </c>
      <c r="F105" s="161" t="s">
        <v>1645</v>
      </c>
      <c r="G105" s="165">
        <v>38869</v>
      </c>
      <c r="H105" s="174"/>
      <c r="I105" s="167">
        <v>0</v>
      </c>
      <c r="J105" s="168">
        <v>0</v>
      </c>
      <c r="K105" s="125"/>
      <c r="L105" s="169">
        <v>0.2039</v>
      </c>
      <c r="M105" s="75">
        <v>304319</v>
      </c>
      <c r="N105" s="170">
        <v>1</v>
      </c>
      <c r="O105" s="170"/>
      <c r="P105" s="170"/>
      <c r="Q105" s="170"/>
      <c r="R105" s="161" t="s">
        <v>1614</v>
      </c>
      <c r="S105" s="162">
        <v>892000148</v>
      </c>
      <c r="T105" s="77">
        <v>21229580</v>
      </c>
      <c r="U105" s="78" t="s">
        <v>1763</v>
      </c>
      <c r="V105" s="171"/>
      <c r="W105" s="80">
        <v>0</v>
      </c>
    </row>
    <row r="106" spans="1:23" ht="15.6" x14ac:dyDescent="0.3">
      <c r="A106" s="161" t="s">
        <v>1362</v>
      </c>
      <c r="B106" s="162">
        <v>19128188</v>
      </c>
      <c r="C106" s="163" t="s">
        <v>1363</v>
      </c>
      <c r="D106" s="163">
        <v>0</v>
      </c>
      <c r="E106" s="164" t="s">
        <v>472</v>
      </c>
      <c r="F106" s="161" t="s">
        <v>1643</v>
      </c>
      <c r="G106" s="165">
        <v>39083</v>
      </c>
      <c r="H106" s="174"/>
      <c r="I106" s="167">
        <v>4538.09</v>
      </c>
      <c r="J106" s="168">
        <v>605.63</v>
      </c>
      <c r="K106" s="125"/>
      <c r="L106" s="169">
        <v>2.5899999999999999E-2</v>
      </c>
      <c r="M106" s="75">
        <v>40230</v>
      </c>
      <c r="N106" s="170">
        <v>13</v>
      </c>
      <c r="O106" s="170"/>
      <c r="P106" s="170"/>
      <c r="Q106" s="170"/>
      <c r="R106" s="161" t="s">
        <v>1614</v>
      </c>
      <c r="S106" s="162">
        <v>892000148</v>
      </c>
      <c r="T106" s="77" t="s">
        <v>1881</v>
      </c>
      <c r="U106" s="78" t="s">
        <v>1881</v>
      </c>
      <c r="V106" s="171"/>
      <c r="W106" s="80">
        <v>4631</v>
      </c>
    </row>
    <row r="107" spans="1:23" ht="15.6" x14ac:dyDescent="0.3">
      <c r="A107" s="161" t="s">
        <v>1364</v>
      </c>
      <c r="B107" s="162">
        <v>8301783</v>
      </c>
      <c r="C107" s="163" t="s">
        <v>1365</v>
      </c>
      <c r="D107" s="163">
        <v>0</v>
      </c>
      <c r="E107" s="164" t="s">
        <v>472</v>
      </c>
      <c r="F107" s="161" t="s">
        <v>1645</v>
      </c>
      <c r="G107" s="165">
        <v>39415</v>
      </c>
      <c r="H107" s="174"/>
      <c r="I107" s="167">
        <v>0</v>
      </c>
      <c r="J107" s="168">
        <v>0</v>
      </c>
      <c r="K107" s="125"/>
      <c r="L107" s="169">
        <v>1.95E-2</v>
      </c>
      <c r="M107" s="75">
        <v>31680</v>
      </c>
      <c r="N107" s="170">
        <v>13</v>
      </c>
      <c r="O107" s="170"/>
      <c r="P107" s="170"/>
      <c r="Q107" s="170"/>
      <c r="R107" s="161" t="s">
        <v>1614</v>
      </c>
      <c r="S107" s="162">
        <v>892000148</v>
      </c>
      <c r="T107" s="77" t="s">
        <v>1881</v>
      </c>
      <c r="U107" s="78" t="s">
        <v>1881</v>
      </c>
      <c r="V107" s="171"/>
      <c r="W107" s="80">
        <v>0</v>
      </c>
    </row>
    <row r="108" spans="1:23" ht="15.6" x14ac:dyDescent="0.3">
      <c r="A108" s="161" t="s">
        <v>1366</v>
      </c>
      <c r="B108" s="162">
        <v>7489192</v>
      </c>
      <c r="C108" s="163" t="s">
        <v>1367</v>
      </c>
      <c r="D108" s="163">
        <v>0</v>
      </c>
      <c r="E108" s="164" t="s">
        <v>472</v>
      </c>
      <c r="F108" s="161" t="s">
        <v>1645</v>
      </c>
      <c r="G108" s="165">
        <v>39676</v>
      </c>
      <c r="H108" s="174"/>
      <c r="I108" s="167">
        <v>0</v>
      </c>
      <c r="J108" s="168">
        <v>0</v>
      </c>
      <c r="K108" s="125"/>
      <c r="L108" s="169">
        <v>2.8500000000000001E-2</v>
      </c>
      <c r="M108" s="75">
        <v>56329</v>
      </c>
      <c r="N108" s="170">
        <v>13</v>
      </c>
      <c r="O108" s="170"/>
      <c r="P108" s="170"/>
      <c r="Q108" s="170"/>
      <c r="R108" s="161" t="s">
        <v>1614</v>
      </c>
      <c r="S108" s="162">
        <v>892000148</v>
      </c>
      <c r="T108" s="77" t="s">
        <v>1881</v>
      </c>
      <c r="U108" s="78" t="s">
        <v>1881</v>
      </c>
      <c r="V108" s="171"/>
      <c r="W108" s="80">
        <v>0</v>
      </c>
    </row>
    <row r="109" spans="1:23" ht="15.6" x14ac:dyDescent="0.3">
      <c r="A109" s="161" t="s">
        <v>1368</v>
      </c>
      <c r="B109" s="162">
        <v>21230182</v>
      </c>
      <c r="C109" s="163" t="s">
        <v>1369</v>
      </c>
      <c r="D109" s="163">
        <v>0</v>
      </c>
      <c r="E109" s="164" t="s">
        <v>19</v>
      </c>
      <c r="F109" s="161" t="s">
        <v>1643</v>
      </c>
      <c r="G109" s="165">
        <v>40134</v>
      </c>
      <c r="H109" s="174"/>
      <c r="I109" s="167">
        <v>185376.05</v>
      </c>
      <c r="J109" s="168">
        <v>24739.14</v>
      </c>
      <c r="K109" s="125"/>
      <c r="L109" s="169">
        <v>2.2800000000000001E-2</v>
      </c>
      <c r="M109" s="75">
        <v>31691</v>
      </c>
      <c r="N109" s="170">
        <v>13</v>
      </c>
      <c r="O109" s="170"/>
      <c r="P109" s="170"/>
      <c r="Q109" s="170"/>
      <c r="R109" s="161" t="s">
        <v>1614</v>
      </c>
      <c r="S109" s="162">
        <v>892000148</v>
      </c>
      <c r="T109" s="77" t="s">
        <v>1881</v>
      </c>
      <c r="U109" s="78" t="s">
        <v>1881</v>
      </c>
      <c r="V109" s="171"/>
      <c r="W109" s="80">
        <v>214892</v>
      </c>
    </row>
    <row r="110" spans="1:23" ht="15.6" x14ac:dyDescent="0.3">
      <c r="A110" s="161" t="s">
        <v>1362</v>
      </c>
      <c r="B110" s="162">
        <v>19128188</v>
      </c>
      <c r="C110" s="163" t="s">
        <v>1363</v>
      </c>
      <c r="D110" s="163">
        <v>0</v>
      </c>
      <c r="E110" s="164" t="s">
        <v>472</v>
      </c>
      <c r="F110" s="161" t="s">
        <v>1643</v>
      </c>
      <c r="G110" s="165">
        <v>39083</v>
      </c>
      <c r="H110" s="174">
        <v>43606</v>
      </c>
      <c r="I110" s="172">
        <v>4538.09</v>
      </c>
      <c r="J110" s="168">
        <v>605.63</v>
      </c>
      <c r="K110" s="125"/>
      <c r="L110" s="169">
        <v>2.5899999999999999E-2</v>
      </c>
      <c r="M110" s="75">
        <v>63995</v>
      </c>
      <c r="N110" s="170">
        <v>13</v>
      </c>
      <c r="O110" s="170"/>
      <c r="P110" s="170"/>
      <c r="Q110" s="170"/>
      <c r="R110" s="161" t="s">
        <v>1615</v>
      </c>
      <c r="S110" s="162">
        <v>892000265</v>
      </c>
      <c r="T110" s="77" t="s">
        <v>1881</v>
      </c>
      <c r="U110" s="78" t="s">
        <v>1881</v>
      </c>
      <c r="V110" s="171"/>
      <c r="W110" s="80">
        <v>4631</v>
      </c>
    </row>
    <row r="111" spans="1:23" ht="15.6" x14ac:dyDescent="0.3">
      <c r="A111" s="161" t="s">
        <v>1370</v>
      </c>
      <c r="B111" s="162">
        <v>17127706</v>
      </c>
      <c r="C111" s="163" t="s">
        <v>1371</v>
      </c>
      <c r="D111" s="163">
        <v>0</v>
      </c>
      <c r="E111" s="164" t="s">
        <v>19</v>
      </c>
      <c r="F111" s="161" t="s">
        <v>1643</v>
      </c>
      <c r="G111" s="165">
        <v>35431</v>
      </c>
      <c r="H111" s="174"/>
      <c r="I111" s="167">
        <v>4363531.49</v>
      </c>
      <c r="J111" s="168">
        <v>582329.81000000006</v>
      </c>
      <c r="K111" s="127"/>
      <c r="L111" s="169">
        <v>0.122</v>
      </c>
      <c r="M111" s="75">
        <v>135947</v>
      </c>
      <c r="N111" s="170">
        <v>14</v>
      </c>
      <c r="O111" s="170"/>
      <c r="P111" s="170"/>
      <c r="Q111" s="170"/>
      <c r="R111" s="161" t="s">
        <v>1616</v>
      </c>
      <c r="S111" s="162">
        <v>892099324</v>
      </c>
      <c r="T111" s="77" t="s">
        <v>1881</v>
      </c>
      <c r="U111" s="78" t="s">
        <v>1881</v>
      </c>
      <c r="V111" s="171"/>
      <c r="W111" s="80">
        <v>945322</v>
      </c>
    </row>
    <row r="112" spans="1:23" ht="15.6" x14ac:dyDescent="0.3">
      <c r="A112" s="161" t="s">
        <v>1372</v>
      </c>
      <c r="B112" s="162">
        <v>27031334</v>
      </c>
      <c r="C112" s="163" t="s">
        <v>1373</v>
      </c>
      <c r="D112" s="163">
        <v>0</v>
      </c>
      <c r="E112" s="164" t="s">
        <v>19</v>
      </c>
      <c r="F112" s="161" t="s">
        <v>1645</v>
      </c>
      <c r="G112" s="165">
        <v>32509</v>
      </c>
      <c r="H112" s="174"/>
      <c r="I112" s="172">
        <v>0</v>
      </c>
      <c r="J112" s="168">
        <v>0</v>
      </c>
      <c r="K112" s="125"/>
      <c r="L112" s="169">
        <v>0.3553</v>
      </c>
      <c r="M112" s="75">
        <v>18848</v>
      </c>
      <c r="N112" s="170">
        <v>14</v>
      </c>
      <c r="O112" s="170"/>
      <c r="P112" s="170"/>
      <c r="Q112" s="170"/>
      <c r="R112" s="161" t="s">
        <v>1617</v>
      </c>
      <c r="S112" s="162">
        <v>892115003</v>
      </c>
      <c r="T112" s="77" t="s">
        <v>1881</v>
      </c>
      <c r="U112" s="78" t="s">
        <v>1881</v>
      </c>
      <c r="V112" s="173"/>
      <c r="W112" s="80">
        <v>0</v>
      </c>
    </row>
    <row r="113" spans="1:23" ht="15.6" x14ac:dyDescent="0.3">
      <c r="A113" s="161" t="s">
        <v>1374</v>
      </c>
      <c r="B113" s="162">
        <v>8258761</v>
      </c>
      <c r="C113" s="163" t="s">
        <v>1375</v>
      </c>
      <c r="D113" s="163">
        <v>0</v>
      </c>
      <c r="E113" s="164" t="s">
        <v>19</v>
      </c>
      <c r="F113" s="161" t="s">
        <v>1645</v>
      </c>
      <c r="G113" s="165">
        <v>37196</v>
      </c>
      <c r="H113" s="174"/>
      <c r="I113" s="167">
        <v>0</v>
      </c>
      <c r="J113" s="168">
        <v>0</v>
      </c>
      <c r="K113" s="125"/>
      <c r="L113" s="169">
        <v>1.67E-2</v>
      </c>
      <c r="M113" s="75">
        <v>41916</v>
      </c>
      <c r="N113" s="170">
        <v>14</v>
      </c>
      <c r="O113" s="170"/>
      <c r="P113" s="170"/>
      <c r="Q113" s="170"/>
      <c r="R113" s="161" t="s">
        <v>1618</v>
      </c>
      <c r="S113" s="162">
        <v>892115004</v>
      </c>
      <c r="T113" s="77" t="s">
        <v>1881</v>
      </c>
      <c r="U113" s="78" t="s">
        <v>1881</v>
      </c>
      <c r="V113" s="171"/>
      <c r="W113" s="80">
        <v>0</v>
      </c>
    </row>
    <row r="114" spans="1:23" ht="15.6" x14ac:dyDescent="0.3">
      <c r="A114" s="161" t="s">
        <v>1376</v>
      </c>
      <c r="B114" s="162">
        <v>1753208</v>
      </c>
      <c r="C114" s="163" t="s">
        <v>523</v>
      </c>
      <c r="D114" s="163">
        <v>0</v>
      </c>
      <c r="E114" s="164" t="s">
        <v>19</v>
      </c>
      <c r="F114" s="161" t="s">
        <v>1645</v>
      </c>
      <c r="G114" s="165">
        <v>27576</v>
      </c>
      <c r="H114" s="174"/>
      <c r="I114" s="167">
        <v>10608411.84</v>
      </c>
      <c r="J114" s="168">
        <v>1415732.75</v>
      </c>
      <c r="K114" s="125"/>
      <c r="L114" s="169">
        <v>0.24360000000000001</v>
      </c>
      <c r="M114" s="85">
        <v>825</v>
      </c>
      <c r="N114" s="170">
        <v>14</v>
      </c>
      <c r="O114" s="170"/>
      <c r="P114" s="170"/>
      <c r="Q114" s="170"/>
      <c r="R114" s="161" t="s">
        <v>1619</v>
      </c>
      <c r="S114" s="162">
        <v>892115007</v>
      </c>
      <c r="T114" s="77">
        <v>32674991</v>
      </c>
      <c r="U114" s="78" t="s">
        <v>1658</v>
      </c>
      <c r="V114" s="171"/>
      <c r="W114" s="80">
        <v>1150998</v>
      </c>
    </row>
    <row r="115" spans="1:23" ht="15.6" x14ac:dyDescent="0.3">
      <c r="A115" s="93" t="s">
        <v>700</v>
      </c>
      <c r="B115" s="94">
        <v>26938972</v>
      </c>
      <c r="C115" s="163" t="s">
        <v>701</v>
      </c>
      <c r="D115" s="163">
        <v>0</v>
      </c>
      <c r="E115" s="95" t="s">
        <v>19</v>
      </c>
      <c r="F115" s="161" t="s">
        <v>1643</v>
      </c>
      <c r="G115" s="165">
        <v>34703</v>
      </c>
      <c r="H115" s="121">
        <v>42004</v>
      </c>
      <c r="I115" s="167">
        <v>4630921.07</v>
      </c>
      <c r="J115" s="168">
        <v>618013.96</v>
      </c>
      <c r="K115" s="125"/>
      <c r="L115" s="169">
        <v>0.121</v>
      </c>
      <c r="M115" s="96">
        <v>16199</v>
      </c>
      <c r="N115" s="170">
        <v>14</v>
      </c>
      <c r="O115" s="170">
        <v>0</v>
      </c>
      <c r="P115" s="175">
        <v>389780</v>
      </c>
      <c r="Q115" s="175">
        <v>956608</v>
      </c>
      <c r="R115" s="161" t="s">
        <v>1620</v>
      </c>
      <c r="S115" s="162">
        <v>892115015</v>
      </c>
      <c r="T115" s="77" t="s">
        <v>1881</v>
      </c>
      <c r="U115" s="78" t="s">
        <v>1881</v>
      </c>
      <c r="V115" s="171"/>
      <c r="W115" s="80">
        <v>1011541</v>
      </c>
    </row>
    <row r="116" spans="1:23" ht="15.6" x14ac:dyDescent="0.3">
      <c r="A116" s="161" t="s">
        <v>1374</v>
      </c>
      <c r="B116" s="162">
        <v>8258761</v>
      </c>
      <c r="C116" s="163" t="s">
        <v>1375</v>
      </c>
      <c r="D116" s="163">
        <v>0</v>
      </c>
      <c r="E116" s="164" t="s">
        <v>19</v>
      </c>
      <c r="F116" s="161" t="s">
        <v>1645</v>
      </c>
      <c r="G116" s="165">
        <v>37196</v>
      </c>
      <c r="H116" s="121">
        <v>42004</v>
      </c>
      <c r="I116" s="167">
        <v>0</v>
      </c>
      <c r="J116" s="168">
        <v>0</v>
      </c>
      <c r="K116" s="125"/>
      <c r="L116" s="169">
        <v>1.67E-2</v>
      </c>
      <c r="M116" s="75">
        <v>18244</v>
      </c>
      <c r="N116" s="170">
        <v>14</v>
      </c>
      <c r="O116" s="170">
        <v>0</v>
      </c>
      <c r="P116" s="175">
        <v>259800</v>
      </c>
      <c r="Q116" s="175">
        <v>1156342</v>
      </c>
      <c r="R116" s="161" t="s">
        <v>1620</v>
      </c>
      <c r="S116" s="162">
        <v>892115015</v>
      </c>
      <c r="T116" s="77" t="s">
        <v>1881</v>
      </c>
      <c r="U116" s="78" t="s">
        <v>1881</v>
      </c>
      <c r="V116" s="171"/>
      <c r="W116" s="80">
        <v>0</v>
      </c>
    </row>
    <row r="117" spans="1:23" ht="15.6" x14ac:dyDescent="0.3">
      <c r="A117" s="161" t="s">
        <v>1377</v>
      </c>
      <c r="B117" s="162">
        <v>17800841</v>
      </c>
      <c r="C117" s="163" t="s">
        <v>1378</v>
      </c>
      <c r="D117" s="163">
        <v>0</v>
      </c>
      <c r="E117" s="164" t="s">
        <v>19</v>
      </c>
      <c r="F117" s="161" t="s">
        <v>1645</v>
      </c>
      <c r="G117" s="165">
        <v>37561</v>
      </c>
      <c r="H117" s="121">
        <v>42004</v>
      </c>
      <c r="I117" s="167">
        <v>17859219.640000001</v>
      </c>
      <c r="J117" s="168">
        <v>2383380.5299999998</v>
      </c>
      <c r="K117" s="125"/>
      <c r="L117" s="169">
        <v>0.4047</v>
      </c>
      <c r="M117" s="75">
        <v>282663</v>
      </c>
      <c r="N117" s="170">
        <v>14</v>
      </c>
      <c r="O117" s="170">
        <v>0</v>
      </c>
      <c r="P117" s="175">
        <v>769034</v>
      </c>
      <c r="Q117" s="175">
        <v>1288888</v>
      </c>
      <c r="R117" s="161" t="s">
        <v>1620</v>
      </c>
      <c r="S117" s="162">
        <v>892115015</v>
      </c>
      <c r="T117" s="77">
        <v>20619118</v>
      </c>
      <c r="U117" s="78" t="s">
        <v>1764</v>
      </c>
      <c r="V117" s="171"/>
      <c r="W117" s="80">
        <v>1166355</v>
      </c>
    </row>
    <row r="118" spans="1:23" ht="15.6" x14ac:dyDescent="0.3">
      <c r="A118" s="161" t="s">
        <v>912</v>
      </c>
      <c r="B118" s="162">
        <v>38972862</v>
      </c>
      <c r="C118" s="163" t="s">
        <v>913</v>
      </c>
      <c r="D118" s="163">
        <v>0</v>
      </c>
      <c r="E118" s="164" t="s">
        <v>19</v>
      </c>
      <c r="F118" s="161" t="s">
        <v>1643</v>
      </c>
      <c r="G118" s="165">
        <v>34700</v>
      </c>
      <c r="H118" s="174"/>
      <c r="I118" s="172">
        <v>1804168.51</v>
      </c>
      <c r="J118" s="168">
        <v>240773.12</v>
      </c>
      <c r="K118" s="125"/>
      <c r="L118" s="169">
        <v>2.6100000000000002E-2</v>
      </c>
      <c r="M118" s="75">
        <v>3160</v>
      </c>
      <c r="N118" s="170">
        <v>14</v>
      </c>
      <c r="O118" s="170"/>
      <c r="P118" s="170"/>
      <c r="Q118" s="170"/>
      <c r="R118" s="161" t="s">
        <v>1621</v>
      </c>
      <c r="S118" s="162">
        <v>892280021</v>
      </c>
      <c r="T118" s="77" t="s">
        <v>1881</v>
      </c>
      <c r="U118" s="78" t="s">
        <v>1881</v>
      </c>
      <c r="V118" s="171"/>
      <c r="W118" s="80">
        <v>1826998</v>
      </c>
    </row>
    <row r="119" spans="1:23" ht="15.6" x14ac:dyDescent="0.3">
      <c r="A119" s="161" t="s">
        <v>912</v>
      </c>
      <c r="B119" s="162">
        <v>38972862</v>
      </c>
      <c r="C119" s="163" t="s">
        <v>913</v>
      </c>
      <c r="D119" s="163">
        <v>0</v>
      </c>
      <c r="E119" s="164" t="s">
        <v>19</v>
      </c>
      <c r="F119" s="161" t="s">
        <v>1643</v>
      </c>
      <c r="G119" s="165">
        <v>34700</v>
      </c>
      <c r="H119" s="121">
        <v>41639</v>
      </c>
      <c r="I119" s="167">
        <v>1804168.51</v>
      </c>
      <c r="J119" s="168">
        <v>240773.12</v>
      </c>
      <c r="K119" s="125"/>
      <c r="L119" s="169">
        <v>2.6100000000000002E-2</v>
      </c>
      <c r="M119" s="75">
        <v>28792</v>
      </c>
      <c r="N119" s="170">
        <v>14</v>
      </c>
      <c r="O119" s="170">
        <v>0</v>
      </c>
      <c r="P119" s="175">
        <v>404370</v>
      </c>
      <c r="Q119" s="170">
        <v>0</v>
      </c>
      <c r="R119" s="161" t="s">
        <v>1622</v>
      </c>
      <c r="S119" s="162">
        <v>892399999</v>
      </c>
      <c r="T119" s="77" t="s">
        <v>1881</v>
      </c>
      <c r="U119" s="78" t="s">
        <v>1881</v>
      </c>
      <c r="V119" s="171"/>
      <c r="W119" s="80">
        <v>1826998</v>
      </c>
    </row>
    <row r="120" spans="1:23" ht="15.6" x14ac:dyDescent="0.3">
      <c r="A120" s="161" t="s">
        <v>1379</v>
      </c>
      <c r="B120" s="162">
        <v>26941236</v>
      </c>
      <c r="C120" s="163" t="s">
        <v>1380</v>
      </c>
      <c r="D120" s="163">
        <v>0</v>
      </c>
      <c r="E120" s="164" t="s">
        <v>1061</v>
      </c>
      <c r="F120" s="161" t="s">
        <v>1645</v>
      </c>
      <c r="G120" s="165">
        <v>40203</v>
      </c>
      <c r="H120" s="174"/>
      <c r="I120" s="172">
        <v>0</v>
      </c>
      <c r="J120" s="168">
        <v>0</v>
      </c>
      <c r="K120" s="125"/>
      <c r="L120" s="169">
        <v>8.7800000000000003E-2</v>
      </c>
      <c r="M120" s="75">
        <v>180212</v>
      </c>
      <c r="N120" s="170">
        <v>13</v>
      </c>
      <c r="O120" s="170"/>
      <c r="P120" s="170"/>
      <c r="Q120" s="170"/>
      <c r="R120" s="161" t="s">
        <v>1623</v>
      </c>
      <c r="S120" s="162">
        <v>892300548</v>
      </c>
      <c r="T120" s="77" t="s">
        <v>1881</v>
      </c>
      <c r="U120" s="78" t="s">
        <v>1881</v>
      </c>
      <c r="V120" s="171"/>
      <c r="W120" s="80">
        <v>0</v>
      </c>
    </row>
    <row r="121" spans="1:23" ht="15.6" x14ac:dyDescent="0.3">
      <c r="A121" s="161" t="s">
        <v>912</v>
      </c>
      <c r="B121" s="162">
        <v>38972862</v>
      </c>
      <c r="C121" s="163" t="s">
        <v>913</v>
      </c>
      <c r="D121" s="163">
        <v>0</v>
      </c>
      <c r="E121" s="164" t="s">
        <v>19</v>
      </c>
      <c r="F121" s="161" t="s">
        <v>1643</v>
      </c>
      <c r="G121" s="165">
        <v>34700</v>
      </c>
      <c r="H121" s="174"/>
      <c r="I121" s="167">
        <v>1804168.51</v>
      </c>
      <c r="J121" s="168">
        <v>240773.12</v>
      </c>
      <c r="K121" s="125"/>
      <c r="L121" s="169">
        <v>2.6100000000000002E-2</v>
      </c>
      <c r="M121" s="75">
        <v>16642</v>
      </c>
      <c r="N121" s="170">
        <v>14</v>
      </c>
      <c r="O121" s="170"/>
      <c r="P121" s="170"/>
      <c r="Q121" s="170"/>
      <c r="R121" s="161" t="s">
        <v>1624</v>
      </c>
      <c r="S121" s="162">
        <v>892399994</v>
      </c>
      <c r="T121" s="77" t="s">
        <v>1881</v>
      </c>
      <c r="U121" s="78" t="s">
        <v>1881</v>
      </c>
      <c r="V121" s="171"/>
      <c r="W121" s="80">
        <v>1826998</v>
      </c>
    </row>
    <row r="122" spans="1:23" ht="15.6" x14ac:dyDescent="0.3">
      <c r="A122" s="161" t="s">
        <v>700</v>
      </c>
      <c r="B122" s="162">
        <v>26938972</v>
      </c>
      <c r="C122" s="163" t="s">
        <v>701</v>
      </c>
      <c r="D122" s="163">
        <v>0</v>
      </c>
      <c r="E122" s="164" t="s">
        <v>19</v>
      </c>
      <c r="F122" s="161" t="s">
        <v>1643</v>
      </c>
      <c r="G122" s="165">
        <v>34703</v>
      </c>
      <c r="H122" s="121">
        <v>40543</v>
      </c>
      <c r="I122" s="172">
        <v>4630921.07</v>
      </c>
      <c r="J122" s="168">
        <v>618013.96</v>
      </c>
      <c r="K122" s="125"/>
      <c r="L122" s="169">
        <v>0.121</v>
      </c>
      <c r="M122" s="75">
        <v>44376</v>
      </c>
      <c r="N122" s="170">
        <v>14</v>
      </c>
      <c r="O122" s="170">
        <v>0</v>
      </c>
      <c r="P122" s="175">
        <v>449462</v>
      </c>
      <c r="Q122" s="170">
        <v>0</v>
      </c>
      <c r="R122" s="161" t="s">
        <v>1622</v>
      </c>
      <c r="S122" s="162">
        <v>892399999</v>
      </c>
      <c r="T122" s="77" t="s">
        <v>1881</v>
      </c>
      <c r="U122" s="78" t="s">
        <v>1881</v>
      </c>
      <c r="V122" s="171"/>
      <c r="W122" s="80">
        <v>1011541</v>
      </c>
    </row>
    <row r="123" spans="1:23" ht="15.6" x14ac:dyDescent="0.3">
      <c r="A123" s="161" t="s">
        <v>1381</v>
      </c>
      <c r="B123" s="162">
        <v>1781915</v>
      </c>
      <c r="C123" s="163" t="s">
        <v>1382</v>
      </c>
      <c r="D123" s="163">
        <v>0</v>
      </c>
      <c r="E123" s="164" t="s">
        <v>472</v>
      </c>
      <c r="F123" s="161" t="s">
        <v>1645</v>
      </c>
      <c r="G123" s="165">
        <v>35431</v>
      </c>
      <c r="H123" s="121">
        <v>40543</v>
      </c>
      <c r="I123" s="172">
        <v>0</v>
      </c>
      <c r="J123" s="168">
        <v>0</v>
      </c>
      <c r="K123" s="125"/>
      <c r="L123" s="169">
        <v>7.2400000000000006E-2</v>
      </c>
      <c r="M123" s="75">
        <v>44505</v>
      </c>
      <c r="N123" s="170">
        <v>14</v>
      </c>
      <c r="O123" s="170">
        <v>0</v>
      </c>
      <c r="P123" s="175">
        <v>614561</v>
      </c>
      <c r="Q123" s="170">
        <v>0</v>
      </c>
      <c r="R123" s="161" t="s">
        <v>1622</v>
      </c>
      <c r="S123" s="162">
        <v>892399999</v>
      </c>
      <c r="T123" s="77">
        <v>1065663536</v>
      </c>
      <c r="U123" s="78" t="s">
        <v>1765</v>
      </c>
      <c r="V123" s="171"/>
      <c r="W123" s="80">
        <v>0</v>
      </c>
    </row>
    <row r="124" spans="1:23" ht="15.6" x14ac:dyDescent="0.3">
      <c r="A124" s="161" t="s">
        <v>1383</v>
      </c>
      <c r="B124" s="162">
        <v>9129659</v>
      </c>
      <c r="C124" s="163" t="s">
        <v>1384</v>
      </c>
      <c r="D124" s="163">
        <v>0</v>
      </c>
      <c r="E124" s="164" t="s">
        <v>592</v>
      </c>
      <c r="F124" s="161" t="s">
        <v>1645</v>
      </c>
      <c r="G124" s="165">
        <v>38796</v>
      </c>
      <c r="H124" s="121">
        <v>40543</v>
      </c>
      <c r="I124" s="167">
        <v>9813728.8000000007</v>
      </c>
      <c r="J124" s="168">
        <v>1309679.29</v>
      </c>
      <c r="K124" s="125"/>
      <c r="L124" s="169">
        <v>0.28920000000000001</v>
      </c>
      <c r="M124" s="75">
        <v>427894</v>
      </c>
      <c r="N124" s="170">
        <v>14</v>
      </c>
      <c r="O124" s="170">
        <v>0</v>
      </c>
      <c r="P124" s="175">
        <v>1321886</v>
      </c>
      <c r="Q124" s="170"/>
      <c r="R124" s="161" t="s">
        <v>1622</v>
      </c>
      <c r="S124" s="162">
        <v>892399999</v>
      </c>
      <c r="T124" s="77">
        <v>36527388</v>
      </c>
      <c r="U124" s="78" t="s">
        <v>1766</v>
      </c>
      <c r="V124" s="171"/>
      <c r="W124" s="80">
        <v>896886</v>
      </c>
    </row>
    <row r="125" spans="1:23" ht="15.6" x14ac:dyDescent="0.3">
      <c r="A125" s="161" t="s">
        <v>498</v>
      </c>
      <c r="B125" s="162">
        <v>15240013</v>
      </c>
      <c r="C125" s="163" t="s">
        <v>499</v>
      </c>
      <c r="D125" s="163">
        <v>0</v>
      </c>
      <c r="E125" s="164" t="s">
        <v>19</v>
      </c>
      <c r="F125" s="161" t="s">
        <v>1643</v>
      </c>
      <c r="G125" s="165">
        <v>39569</v>
      </c>
      <c r="H125" s="174"/>
      <c r="I125" s="167">
        <v>11978893.49</v>
      </c>
      <c r="J125" s="168">
        <v>1598628.72</v>
      </c>
      <c r="K125" s="125"/>
      <c r="L125" s="169">
        <v>0.36099999999999999</v>
      </c>
      <c r="M125" s="75">
        <v>83579</v>
      </c>
      <c r="N125" s="170">
        <v>14</v>
      </c>
      <c r="O125" s="170"/>
      <c r="P125" s="170"/>
      <c r="Q125" s="170"/>
      <c r="R125" s="161" t="s">
        <v>1625</v>
      </c>
      <c r="S125" s="162">
        <v>892400038</v>
      </c>
      <c r="T125" s="77" t="s">
        <v>1881</v>
      </c>
      <c r="U125" s="78" t="s">
        <v>1881</v>
      </c>
      <c r="V125" s="171"/>
      <c r="W125" s="80">
        <v>877023</v>
      </c>
    </row>
    <row r="126" spans="1:23" ht="15.6" x14ac:dyDescent="0.3">
      <c r="A126" s="161" t="s">
        <v>1385</v>
      </c>
      <c r="B126" s="162">
        <v>23247979</v>
      </c>
      <c r="C126" s="163" t="s">
        <v>1386</v>
      </c>
      <c r="D126" s="163">
        <v>0</v>
      </c>
      <c r="E126" s="164" t="s">
        <v>19</v>
      </c>
      <c r="F126" s="161" t="s">
        <v>1643</v>
      </c>
      <c r="G126" s="165">
        <v>39569</v>
      </c>
      <c r="H126" s="174"/>
      <c r="I126" s="167">
        <v>6709339.79</v>
      </c>
      <c r="J126" s="168">
        <v>895386.82</v>
      </c>
      <c r="K126" s="125"/>
      <c r="L126" s="169">
        <v>0.24199999999999999</v>
      </c>
      <c r="M126" s="75">
        <v>278310</v>
      </c>
      <c r="N126" s="170">
        <v>14</v>
      </c>
      <c r="O126" s="170"/>
      <c r="P126" s="170"/>
      <c r="Q126" s="170"/>
      <c r="R126" s="161" t="s">
        <v>1625</v>
      </c>
      <c r="S126" s="162">
        <v>892400038</v>
      </c>
      <c r="T126" s="77" t="s">
        <v>1881</v>
      </c>
      <c r="U126" s="78" t="s">
        <v>1881</v>
      </c>
      <c r="V126" s="171"/>
      <c r="W126" s="80">
        <v>732767</v>
      </c>
    </row>
    <row r="127" spans="1:23" ht="15.6" x14ac:dyDescent="0.3">
      <c r="A127" s="161" t="s">
        <v>961</v>
      </c>
      <c r="B127" s="162">
        <v>2419662</v>
      </c>
      <c r="C127" s="163" t="s">
        <v>962</v>
      </c>
      <c r="D127" s="163">
        <v>0</v>
      </c>
      <c r="E127" s="164" t="s">
        <v>21</v>
      </c>
      <c r="F127" s="161" t="s">
        <v>1645</v>
      </c>
      <c r="G127" s="165">
        <v>26846</v>
      </c>
      <c r="H127" s="174">
        <v>44196</v>
      </c>
      <c r="I127" s="167">
        <v>24397618.52</v>
      </c>
      <c r="J127" s="168">
        <v>3255954.63</v>
      </c>
      <c r="K127" s="125"/>
      <c r="L127" s="169">
        <v>0.25140000000000001</v>
      </c>
      <c r="M127" s="75">
        <v>1270</v>
      </c>
      <c r="N127" s="170">
        <v>14</v>
      </c>
      <c r="O127" s="170">
        <v>0</v>
      </c>
      <c r="P127" s="175">
        <v>5052</v>
      </c>
      <c r="Q127" s="170">
        <v>0</v>
      </c>
      <c r="R127" s="161" t="s">
        <v>1626</v>
      </c>
      <c r="S127" s="162">
        <v>899999072</v>
      </c>
      <c r="T127" s="77">
        <v>29071625</v>
      </c>
      <c r="U127" s="78" t="s">
        <v>1712</v>
      </c>
      <c r="V127" s="171"/>
      <c r="W127" s="80">
        <v>2564978</v>
      </c>
    </row>
    <row r="128" spans="1:23" ht="15.6" x14ac:dyDescent="0.3">
      <c r="A128" s="161" t="s">
        <v>1194</v>
      </c>
      <c r="B128" s="162">
        <v>21264648</v>
      </c>
      <c r="C128" s="163" t="s">
        <v>1195</v>
      </c>
      <c r="D128" s="163">
        <v>0</v>
      </c>
      <c r="E128" s="164" t="s">
        <v>19</v>
      </c>
      <c r="F128" s="161" t="s">
        <v>1645</v>
      </c>
      <c r="G128" s="165">
        <v>30864</v>
      </c>
      <c r="H128" s="174">
        <v>44561</v>
      </c>
      <c r="I128" s="167">
        <v>16637020.5</v>
      </c>
      <c r="J128" s="168">
        <v>2220273.42</v>
      </c>
      <c r="K128" s="125"/>
      <c r="L128" s="169">
        <v>0.26540000000000002</v>
      </c>
      <c r="M128" s="75">
        <v>12513</v>
      </c>
      <c r="N128" s="170">
        <v>14</v>
      </c>
      <c r="O128" s="170">
        <v>0</v>
      </c>
      <c r="P128" s="175">
        <v>27640</v>
      </c>
      <c r="Q128" s="175">
        <v>19505</v>
      </c>
      <c r="R128" s="161" t="s">
        <v>1626</v>
      </c>
      <c r="S128" s="162">
        <v>899999072</v>
      </c>
      <c r="T128" s="77" t="s">
        <v>1881</v>
      </c>
      <c r="U128" s="78" t="s">
        <v>1881</v>
      </c>
      <c r="V128" s="171"/>
      <c r="W128" s="80">
        <v>1656823</v>
      </c>
    </row>
    <row r="129" spans="1:23" ht="15.6" x14ac:dyDescent="0.3">
      <c r="A129" s="161" t="s">
        <v>1387</v>
      </c>
      <c r="B129" s="162">
        <v>116581</v>
      </c>
      <c r="C129" s="163" t="s">
        <v>1388</v>
      </c>
      <c r="D129" s="163">
        <v>0</v>
      </c>
      <c r="E129" s="164" t="s">
        <v>21</v>
      </c>
      <c r="F129" s="161">
        <v>0</v>
      </c>
      <c r="G129" s="165">
        <v>0</v>
      </c>
      <c r="H129" s="174">
        <v>44561</v>
      </c>
      <c r="I129" s="167">
        <v>0</v>
      </c>
      <c r="J129" s="168">
        <v>0</v>
      </c>
      <c r="K129" s="125"/>
      <c r="L129" s="169">
        <v>0</v>
      </c>
      <c r="M129" s="75">
        <v>62369</v>
      </c>
      <c r="N129" s="170">
        <v>0</v>
      </c>
      <c r="O129" s="170">
        <v>0</v>
      </c>
      <c r="P129" s="175">
        <v>742039</v>
      </c>
      <c r="Q129" s="175">
        <v>3584100</v>
      </c>
      <c r="R129" s="161" t="s">
        <v>1626</v>
      </c>
      <c r="S129" s="162">
        <v>899999072</v>
      </c>
      <c r="T129" s="77">
        <v>0</v>
      </c>
      <c r="U129" s="78">
        <v>0</v>
      </c>
      <c r="V129" s="171"/>
      <c r="W129" s="80">
        <v>0</v>
      </c>
    </row>
    <row r="130" spans="1:23" ht="15.6" x14ac:dyDescent="0.3">
      <c r="A130" s="161" t="s">
        <v>1389</v>
      </c>
      <c r="B130" s="162">
        <v>20333921</v>
      </c>
      <c r="C130" s="163" t="s">
        <v>1390</v>
      </c>
      <c r="D130" s="163">
        <v>0</v>
      </c>
      <c r="E130" s="164" t="s">
        <v>21</v>
      </c>
      <c r="F130" s="161" t="s">
        <v>1643</v>
      </c>
      <c r="G130" s="165">
        <v>34335</v>
      </c>
      <c r="H130" s="174">
        <v>44561</v>
      </c>
      <c r="I130" s="172">
        <v>2095106.98</v>
      </c>
      <c r="J130" s="168">
        <v>279599.96000000002</v>
      </c>
      <c r="K130" s="125"/>
      <c r="L130" s="169">
        <v>5.4600000000000003E-2</v>
      </c>
      <c r="M130" s="75">
        <v>30201</v>
      </c>
      <c r="N130" s="170">
        <v>14</v>
      </c>
      <c r="O130" s="170">
        <v>0</v>
      </c>
      <c r="P130" s="175">
        <v>160582</v>
      </c>
      <c r="Q130" s="175">
        <v>819529</v>
      </c>
      <c r="R130" s="161" t="s">
        <v>1626</v>
      </c>
      <c r="S130" s="162">
        <v>899999072</v>
      </c>
      <c r="T130" s="77" t="s">
        <v>1881</v>
      </c>
      <c r="U130" s="78" t="s">
        <v>1881</v>
      </c>
      <c r="V130" s="171"/>
      <c r="W130" s="80">
        <v>1014180</v>
      </c>
    </row>
    <row r="131" spans="1:23" ht="15.6" x14ac:dyDescent="0.3">
      <c r="A131" s="161" t="s">
        <v>1391</v>
      </c>
      <c r="B131" s="162">
        <v>41400678</v>
      </c>
      <c r="C131" s="163" t="s">
        <v>1392</v>
      </c>
      <c r="D131" s="163">
        <v>0</v>
      </c>
      <c r="E131" s="164" t="s">
        <v>21</v>
      </c>
      <c r="F131" s="161" t="s">
        <v>1643</v>
      </c>
      <c r="G131" s="165">
        <v>34700</v>
      </c>
      <c r="H131" s="174">
        <v>44561</v>
      </c>
      <c r="I131" s="167">
        <v>1046982.68</v>
      </c>
      <c r="J131" s="168">
        <v>139723.81</v>
      </c>
      <c r="K131" s="125"/>
      <c r="L131" s="169">
        <v>7.7899999999999997E-2</v>
      </c>
      <c r="M131" s="75">
        <v>31981</v>
      </c>
      <c r="N131" s="170">
        <v>14</v>
      </c>
      <c r="O131" s="170">
        <v>0</v>
      </c>
      <c r="P131" s="175">
        <v>93950</v>
      </c>
      <c r="Q131" s="175">
        <v>910768</v>
      </c>
      <c r="R131" s="161" t="s">
        <v>1626</v>
      </c>
      <c r="S131" s="162">
        <v>899999072</v>
      </c>
      <c r="T131" s="77" t="s">
        <v>1881</v>
      </c>
      <c r="U131" s="78" t="s">
        <v>1881</v>
      </c>
      <c r="V131" s="171"/>
      <c r="W131" s="80">
        <v>355225</v>
      </c>
    </row>
    <row r="132" spans="1:23" ht="15.6" x14ac:dyDescent="0.3">
      <c r="A132" s="161" t="s">
        <v>1393</v>
      </c>
      <c r="B132" s="162">
        <v>98344</v>
      </c>
      <c r="C132" s="163" t="s">
        <v>1394</v>
      </c>
      <c r="D132" s="163">
        <v>0</v>
      </c>
      <c r="E132" s="164" t="s">
        <v>472</v>
      </c>
      <c r="F132" s="161" t="s">
        <v>1643</v>
      </c>
      <c r="G132" s="165">
        <v>29626</v>
      </c>
      <c r="H132" s="174"/>
      <c r="I132" s="167">
        <v>1550727.31</v>
      </c>
      <c r="J132" s="168">
        <v>206950.43</v>
      </c>
      <c r="K132" s="125"/>
      <c r="L132" s="169">
        <v>0.23469999999999999</v>
      </c>
      <c r="M132" s="75">
        <v>1703</v>
      </c>
      <c r="N132" s="170">
        <v>14</v>
      </c>
      <c r="O132" s="170"/>
      <c r="P132" s="170"/>
      <c r="Q132" s="170"/>
      <c r="R132" s="161" t="s">
        <v>1627</v>
      </c>
      <c r="S132" s="162">
        <v>899999082</v>
      </c>
      <c r="T132" s="77" t="s">
        <v>1881</v>
      </c>
      <c r="U132" s="78" t="s">
        <v>1881</v>
      </c>
      <c r="V132" s="171"/>
      <c r="W132" s="80">
        <v>174632</v>
      </c>
    </row>
    <row r="133" spans="1:23" ht="15.6" x14ac:dyDescent="0.3">
      <c r="A133" s="161" t="s">
        <v>1395</v>
      </c>
      <c r="B133" s="162">
        <v>2857421</v>
      </c>
      <c r="C133" s="163" t="s">
        <v>1396</v>
      </c>
      <c r="D133" s="163">
        <v>0</v>
      </c>
      <c r="E133" s="164" t="s">
        <v>472</v>
      </c>
      <c r="F133" s="161" t="s">
        <v>1645</v>
      </c>
      <c r="G133" s="165">
        <v>30682</v>
      </c>
      <c r="H133" s="174"/>
      <c r="I133" s="167">
        <v>0</v>
      </c>
      <c r="J133" s="168">
        <v>0</v>
      </c>
      <c r="K133" s="127"/>
      <c r="L133" s="169">
        <v>0.54790000000000005</v>
      </c>
      <c r="M133" s="75">
        <v>21110</v>
      </c>
      <c r="N133" s="170">
        <v>14</v>
      </c>
      <c r="O133" s="170"/>
      <c r="P133" s="170"/>
      <c r="Q133" s="170"/>
      <c r="R133" s="161" t="s">
        <v>1627</v>
      </c>
      <c r="S133" s="162">
        <v>899999082</v>
      </c>
      <c r="T133" s="77">
        <v>20032324</v>
      </c>
      <c r="U133" s="78" t="s">
        <v>1767</v>
      </c>
      <c r="V133" s="171"/>
      <c r="W133" s="80">
        <v>0</v>
      </c>
    </row>
    <row r="134" spans="1:23" ht="15.6" x14ac:dyDescent="0.3">
      <c r="A134" s="161" t="s">
        <v>1397</v>
      </c>
      <c r="B134" s="162">
        <v>467493</v>
      </c>
      <c r="C134" s="163" t="s">
        <v>1398</v>
      </c>
      <c r="D134" s="163">
        <v>0</v>
      </c>
      <c r="E134" s="164" t="s">
        <v>21</v>
      </c>
      <c r="F134" s="161" t="s">
        <v>1645</v>
      </c>
      <c r="G134" s="165">
        <v>27883</v>
      </c>
      <c r="H134" s="174">
        <v>44196</v>
      </c>
      <c r="I134" s="167">
        <v>110084319.16</v>
      </c>
      <c r="J134" s="168">
        <v>14691169.49</v>
      </c>
      <c r="K134" s="125"/>
      <c r="L134" s="169">
        <v>0.53349999999999997</v>
      </c>
      <c r="M134" s="75">
        <v>12544</v>
      </c>
      <c r="N134" s="170">
        <v>14</v>
      </c>
      <c r="O134" s="170">
        <v>0</v>
      </c>
      <c r="P134" s="175">
        <v>48698</v>
      </c>
      <c r="Q134" s="175">
        <v>37653</v>
      </c>
      <c r="R134" s="161" t="s">
        <v>1628</v>
      </c>
      <c r="S134" s="162">
        <v>899999114</v>
      </c>
      <c r="T134" s="77">
        <v>20150950</v>
      </c>
      <c r="U134" s="78" t="s">
        <v>1768</v>
      </c>
      <c r="V134" s="171"/>
      <c r="W134" s="80">
        <v>5453716</v>
      </c>
    </row>
    <row r="135" spans="1:23" ht="15.6" x14ac:dyDescent="0.3">
      <c r="A135" s="161" t="s">
        <v>1399</v>
      </c>
      <c r="B135" s="162">
        <v>57787</v>
      </c>
      <c r="C135" s="163" t="s">
        <v>1400</v>
      </c>
      <c r="D135" s="163">
        <v>0</v>
      </c>
      <c r="E135" s="164" t="s">
        <v>21</v>
      </c>
      <c r="F135" s="161" t="s">
        <v>1645</v>
      </c>
      <c r="G135" s="165">
        <v>28137</v>
      </c>
      <c r="H135" s="174">
        <v>44196</v>
      </c>
      <c r="I135" s="167">
        <v>0</v>
      </c>
      <c r="J135" s="168">
        <v>0</v>
      </c>
      <c r="K135" s="125"/>
      <c r="L135" s="169">
        <v>0.57850000000000001</v>
      </c>
      <c r="M135" s="75">
        <v>3226</v>
      </c>
      <c r="N135" s="170">
        <v>14</v>
      </c>
      <c r="O135" s="170">
        <v>0</v>
      </c>
      <c r="P135" s="175">
        <v>42668</v>
      </c>
      <c r="Q135" s="175">
        <v>51720</v>
      </c>
      <c r="R135" s="161" t="s">
        <v>1628</v>
      </c>
      <c r="S135" s="162">
        <v>899999114</v>
      </c>
      <c r="T135" s="77">
        <v>20240485</v>
      </c>
      <c r="U135" s="78" t="s">
        <v>1769</v>
      </c>
      <c r="V135" s="171"/>
      <c r="W135" s="80">
        <v>0</v>
      </c>
    </row>
    <row r="136" spans="1:23" ht="15.6" x14ac:dyDescent="0.3">
      <c r="A136" s="161" t="s">
        <v>674</v>
      </c>
      <c r="B136" s="162">
        <v>48463</v>
      </c>
      <c r="C136" s="163" t="s">
        <v>675</v>
      </c>
      <c r="D136" s="163">
        <v>0</v>
      </c>
      <c r="E136" s="164" t="s">
        <v>21</v>
      </c>
      <c r="F136" s="161" t="s">
        <v>1645</v>
      </c>
      <c r="G136" s="165">
        <v>28682</v>
      </c>
      <c r="H136" s="174">
        <v>44196</v>
      </c>
      <c r="I136" s="172">
        <v>5674668.7400000002</v>
      </c>
      <c r="J136" s="168">
        <v>757306.04</v>
      </c>
      <c r="K136" s="125"/>
      <c r="L136" s="169">
        <v>0.1135</v>
      </c>
      <c r="M136" s="75">
        <v>1153</v>
      </c>
      <c r="N136" s="170">
        <v>14</v>
      </c>
      <c r="O136" s="170">
        <v>0</v>
      </c>
      <c r="P136" s="175">
        <v>50047</v>
      </c>
      <c r="Q136" s="175">
        <v>51720</v>
      </c>
      <c r="R136" s="161" t="s">
        <v>1628</v>
      </c>
      <c r="S136" s="162">
        <v>899999114</v>
      </c>
      <c r="T136" s="77">
        <v>41353549</v>
      </c>
      <c r="U136" s="78" t="s">
        <v>1676</v>
      </c>
      <c r="V136" s="171"/>
      <c r="W136" s="80">
        <v>1321436</v>
      </c>
    </row>
    <row r="137" spans="1:23" ht="15.6" x14ac:dyDescent="0.3">
      <c r="A137" s="93" t="s">
        <v>613</v>
      </c>
      <c r="B137" s="94">
        <v>28505549</v>
      </c>
      <c r="C137" s="163" t="s">
        <v>614</v>
      </c>
      <c r="D137" s="163">
        <v>0</v>
      </c>
      <c r="E137" s="95" t="s">
        <v>21</v>
      </c>
      <c r="F137" s="161" t="s">
        <v>1645</v>
      </c>
      <c r="G137" s="165">
        <v>28897</v>
      </c>
      <c r="H137" s="174">
        <v>41274</v>
      </c>
      <c r="I137" s="167">
        <v>30375314.989999998</v>
      </c>
      <c r="J137" s="168">
        <v>4053700.87</v>
      </c>
      <c r="K137" s="125"/>
      <c r="L137" s="169">
        <v>0.35099999999999998</v>
      </c>
      <c r="M137" s="96">
        <v>6692</v>
      </c>
      <c r="N137" s="170">
        <v>14</v>
      </c>
      <c r="O137" s="170">
        <v>0</v>
      </c>
      <c r="P137" s="175">
        <v>30507</v>
      </c>
      <c r="Q137" s="175">
        <v>11298</v>
      </c>
      <c r="R137" s="161" t="s">
        <v>1628</v>
      </c>
      <c r="S137" s="162">
        <v>899999114</v>
      </c>
      <c r="T137" s="77">
        <v>1796134</v>
      </c>
      <c r="U137" s="78" t="s">
        <v>1671</v>
      </c>
      <c r="V137" s="171"/>
      <c r="W137" s="80">
        <v>2287258</v>
      </c>
    </row>
    <row r="138" spans="1:23" ht="15.6" x14ac:dyDescent="0.3">
      <c r="A138" s="161" t="s">
        <v>1401</v>
      </c>
      <c r="B138" s="162">
        <v>72023</v>
      </c>
      <c r="C138" s="163" t="s">
        <v>1402</v>
      </c>
      <c r="D138" s="163">
        <v>0</v>
      </c>
      <c r="E138" s="164" t="s">
        <v>21</v>
      </c>
      <c r="F138" s="161" t="s">
        <v>1645</v>
      </c>
      <c r="G138" s="165">
        <v>30133</v>
      </c>
      <c r="H138" s="174">
        <v>44196</v>
      </c>
      <c r="I138" s="167">
        <v>0</v>
      </c>
      <c r="J138" s="168">
        <v>0</v>
      </c>
      <c r="K138" s="125"/>
      <c r="L138" s="169">
        <v>0.2064</v>
      </c>
      <c r="M138" s="75">
        <v>11135</v>
      </c>
      <c r="N138" s="170">
        <v>14</v>
      </c>
      <c r="O138" s="170">
        <v>0</v>
      </c>
      <c r="P138" s="175">
        <v>53948</v>
      </c>
      <c r="Q138" s="175">
        <v>20490</v>
      </c>
      <c r="R138" s="161" t="s">
        <v>1628</v>
      </c>
      <c r="S138" s="162">
        <v>899999114</v>
      </c>
      <c r="T138" s="77">
        <v>20178278</v>
      </c>
      <c r="U138" s="78" t="s">
        <v>1770</v>
      </c>
      <c r="V138" s="171"/>
      <c r="W138" s="80">
        <v>0</v>
      </c>
    </row>
    <row r="139" spans="1:23" ht="15.6" x14ac:dyDescent="0.3">
      <c r="A139" s="161" t="s">
        <v>682</v>
      </c>
      <c r="B139" s="162">
        <v>20144614</v>
      </c>
      <c r="C139" s="163" t="s">
        <v>683</v>
      </c>
      <c r="D139" s="163">
        <v>0</v>
      </c>
      <c r="E139" s="164" t="s">
        <v>472</v>
      </c>
      <c r="F139" s="161" t="s">
        <v>1645</v>
      </c>
      <c r="G139" s="165">
        <v>30133</v>
      </c>
      <c r="H139" s="174">
        <v>44196</v>
      </c>
      <c r="I139" s="167">
        <v>23681251.09</v>
      </c>
      <c r="J139" s="168">
        <v>3160352.68</v>
      </c>
      <c r="K139" s="125"/>
      <c r="L139" s="169">
        <v>0.45029999999999998</v>
      </c>
      <c r="M139" s="75">
        <v>13927</v>
      </c>
      <c r="N139" s="170">
        <v>14</v>
      </c>
      <c r="O139" s="170">
        <v>0</v>
      </c>
      <c r="P139" s="175">
        <v>30425</v>
      </c>
      <c r="Q139" s="175">
        <v>16812</v>
      </c>
      <c r="R139" s="161" t="s">
        <v>1628</v>
      </c>
      <c r="S139" s="162">
        <v>899999114</v>
      </c>
      <c r="T139" s="77">
        <v>121425</v>
      </c>
      <c r="U139" s="78" t="s">
        <v>1629</v>
      </c>
      <c r="V139" s="171"/>
      <c r="W139" s="80">
        <v>1389966</v>
      </c>
    </row>
    <row r="140" spans="1:23" ht="15.6" x14ac:dyDescent="0.3">
      <c r="A140" s="161" t="s">
        <v>1403</v>
      </c>
      <c r="B140" s="162">
        <v>48483</v>
      </c>
      <c r="C140" s="163" t="s">
        <v>1404</v>
      </c>
      <c r="D140" s="163">
        <v>0</v>
      </c>
      <c r="E140" s="164" t="s">
        <v>472</v>
      </c>
      <c r="F140" s="161" t="s">
        <v>1645</v>
      </c>
      <c r="G140" s="165">
        <v>30317</v>
      </c>
      <c r="H140" s="174">
        <v>44196</v>
      </c>
      <c r="I140" s="172">
        <v>5773688.8700000001</v>
      </c>
      <c r="J140" s="168">
        <v>770520.65</v>
      </c>
      <c r="K140" s="125"/>
      <c r="L140" s="169">
        <v>0.1479</v>
      </c>
      <c r="M140" s="75">
        <v>3497</v>
      </c>
      <c r="N140" s="170">
        <v>14</v>
      </c>
      <c r="O140" s="170">
        <v>0</v>
      </c>
      <c r="P140" s="175">
        <v>82637</v>
      </c>
      <c r="Q140" s="175">
        <v>81510</v>
      </c>
      <c r="R140" s="161" t="s">
        <v>1628</v>
      </c>
      <c r="S140" s="162">
        <v>899999114</v>
      </c>
      <c r="T140" s="77">
        <v>20119888</v>
      </c>
      <c r="U140" s="78" t="s">
        <v>1771</v>
      </c>
      <c r="V140" s="171"/>
      <c r="W140" s="80">
        <v>1031779</v>
      </c>
    </row>
    <row r="141" spans="1:23" ht="15.6" x14ac:dyDescent="0.3">
      <c r="A141" s="161" t="s">
        <v>1405</v>
      </c>
      <c r="B141" s="162">
        <v>20001327</v>
      </c>
      <c r="C141" s="163" t="s">
        <v>1406</v>
      </c>
      <c r="D141" s="163">
        <v>0</v>
      </c>
      <c r="E141" s="164" t="s">
        <v>472</v>
      </c>
      <c r="F141" s="161" t="s">
        <v>1645</v>
      </c>
      <c r="G141" s="165">
        <v>30317</v>
      </c>
      <c r="H141" s="174"/>
      <c r="I141" s="167">
        <v>0</v>
      </c>
      <c r="J141" s="168">
        <v>0</v>
      </c>
      <c r="K141" s="125"/>
      <c r="L141" s="169">
        <v>0.64580000000000004</v>
      </c>
      <c r="M141" s="75">
        <v>180466</v>
      </c>
      <c r="N141" s="170">
        <v>14</v>
      </c>
      <c r="O141" s="170">
        <v>0</v>
      </c>
      <c r="P141" s="170">
        <v>0</v>
      </c>
      <c r="Q141" s="170">
        <v>0</v>
      </c>
      <c r="R141" s="161" t="s">
        <v>1628</v>
      </c>
      <c r="S141" s="162">
        <v>899999114</v>
      </c>
      <c r="T141" s="77" t="s">
        <v>1881</v>
      </c>
      <c r="U141" s="78" t="s">
        <v>1881</v>
      </c>
      <c r="V141" s="171"/>
      <c r="W141" s="80">
        <v>0</v>
      </c>
    </row>
    <row r="142" spans="1:23" ht="15.6" x14ac:dyDescent="0.3">
      <c r="A142" s="161" t="s">
        <v>680</v>
      </c>
      <c r="B142" s="162">
        <v>20003759</v>
      </c>
      <c r="C142" s="163" t="s">
        <v>681</v>
      </c>
      <c r="D142" s="163">
        <v>0</v>
      </c>
      <c r="E142" s="164" t="s">
        <v>472</v>
      </c>
      <c r="F142" s="161" t="s">
        <v>1645</v>
      </c>
      <c r="G142" s="165">
        <v>29830</v>
      </c>
      <c r="H142" s="174">
        <v>44196</v>
      </c>
      <c r="I142" s="167">
        <v>20347988.77</v>
      </c>
      <c r="J142" s="168">
        <v>2715516.2</v>
      </c>
      <c r="K142" s="125"/>
      <c r="L142" s="169">
        <v>0.27879999999999999</v>
      </c>
      <c r="M142" s="75">
        <v>7687</v>
      </c>
      <c r="N142" s="170">
        <v>14</v>
      </c>
      <c r="O142" s="170">
        <v>0</v>
      </c>
      <c r="P142" s="175">
        <v>32856</v>
      </c>
      <c r="Q142" s="175">
        <v>16812</v>
      </c>
      <c r="R142" s="161" t="s">
        <v>1628</v>
      </c>
      <c r="S142" s="162">
        <v>899999114</v>
      </c>
      <c r="T142" s="77">
        <v>117425</v>
      </c>
      <c r="U142" s="78" t="s">
        <v>1679</v>
      </c>
      <c r="V142" s="171"/>
      <c r="W142" s="80">
        <v>1928991</v>
      </c>
    </row>
    <row r="143" spans="1:23" ht="15.6" x14ac:dyDescent="0.3">
      <c r="A143" s="161" t="s">
        <v>1407</v>
      </c>
      <c r="B143" s="162">
        <v>20003804</v>
      </c>
      <c r="C143" s="163" t="s">
        <v>1408</v>
      </c>
      <c r="D143" s="163">
        <v>0</v>
      </c>
      <c r="E143" s="164" t="s">
        <v>472</v>
      </c>
      <c r="F143" s="161" t="s">
        <v>1645</v>
      </c>
      <c r="G143" s="165">
        <v>31048</v>
      </c>
      <c r="H143" s="174">
        <v>44196</v>
      </c>
      <c r="I143" s="167">
        <v>0</v>
      </c>
      <c r="J143" s="168">
        <v>0</v>
      </c>
      <c r="K143" s="125"/>
      <c r="L143" s="169">
        <v>0.29399999999999998</v>
      </c>
      <c r="M143" s="75">
        <v>15002</v>
      </c>
      <c r="N143" s="170">
        <v>3</v>
      </c>
      <c r="O143" s="170">
        <v>0</v>
      </c>
      <c r="P143" s="175">
        <v>308932</v>
      </c>
      <c r="Q143" s="175">
        <v>390482</v>
      </c>
      <c r="R143" s="161" t="s">
        <v>1628</v>
      </c>
      <c r="S143" s="162">
        <v>899999114</v>
      </c>
      <c r="T143" s="77" t="s">
        <v>1881</v>
      </c>
      <c r="U143" s="78" t="s">
        <v>1881</v>
      </c>
      <c r="V143" s="171"/>
      <c r="W143" s="80">
        <v>0</v>
      </c>
    </row>
    <row r="144" spans="1:23" ht="15.6" x14ac:dyDescent="0.3">
      <c r="A144" s="161" t="s">
        <v>1409</v>
      </c>
      <c r="B144" s="162">
        <v>38987</v>
      </c>
      <c r="C144" s="163" t="s">
        <v>1410</v>
      </c>
      <c r="D144" s="163">
        <v>0</v>
      </c>
      <c r="E144" s="164" t="s">
        <v>472</v>
      </c>
      <c r="F144" s="161" t="s">
        <v>1645</v>
      </c>
      <c r="G144" s="165">
        <v>32143</v>
      </c>
      <c r="H144" s="174">
        <v>44196</v>
      </c>
      <c r="I144" s="167">
        <v>0</v>
      </c>
      <c r="J144" s="168">
        <v>0</v>
      </c>
      <c r="K144" s="125"/>
      <c r="L144" s="169">
        <v>0.37280000000000002</v>
      </c>
      <c r="M144" s="75">
        <v>10198</v>
      </c>
      <c r="N144" s="170">
        <v>14</v>
      </c>
      <c r="O144" s="170">
        <v>0</v>
      </c>
      <c r="P144" s="175">
        <v>27355</v>
      </c>
      <c r="Q144" s="175">
        <v>57679</v>
      </c>
      <c r="R144" s="161" t="s">
        <v>1628</v>
      </c>
      <c r="S144" s="162">
        <v>899999114</v>
      </c>
      <c r="T144" s="77">
        <v>21165305</v>
      </c>
      <c r="U144" s="78" t="s">
        <v>1772</v>
      </c>
      <c r="V144" s="171"/>
      <c r="W144" s="80">
        <v>0</v>
      </c>
    </row>
    <row r="145" spans="1:23" ht="15.6" x14ac:dyDescent="0.3">
      <c r="A145" s="161" t="s">
        <v>1411</v>
      </c>
      <c r="B145" s="162">
        <v>29022287</v>
      </c>
      <c r="C145" s="163" t="s">
        <v>1412</v>
      </c>
      <c r="D145" s="163">
        <v>0</v>
      </c>
      <c r="E145" s="164" t="s">
        <v>21</v>
      </c>
      <c r="F145" s="161" t="s">
        <v>1643</v>
      </c>
      <c r="G145" s="165">
        <v>32143</v>
      </c>
      <c r="H145" s="174">
        <v>44196</v>
      </c>
      <c r="I145" s="172">
        <v>30227711.969999999</v>
      </c>
      <c r="J145" s="168">
        <v>4034002.69</v>
      </c>
      <c r="K145" s="125"/>
      <c r="L145" s="169">
        <v>0.2606</v>
      </c>
      <c r="M145" s="75">
        <v>26065</v>
      </c>
      <c r="N145" s="170">
        <v>14</v>
      </c>
      <c r="O145" s="170">
        <v>0</v>
      </c>
      <c r="P145" s="175">
        <v>331467</v>
      </c>
      <c r="Q145" s="175">
        <v>98700</v>
      </c>
      <c r="R145" s="161" t="s">
        <v>1628</v>
      </c>
      <c r="S145" s="162">
        <v>899999114</v>
      </c>
      <c r="T145" s="77" t="s">
        <v>1881</v>
      </c>
      <c r="U145" s="78" t="s">
        <v>1881</v>
      </c>
      <c r="V145" s="171"/>
      <c r="W145" s="80">
        <v>3065719</v>
      </c>
    </row>
    <row r="146" spans="1:23" ht="15.6" x14ac:dyDescent="0.3">
      <c r="A146" s="161" t="s">
        <v>1413</v>
      </c>
      <c r="B146" s="162">
        <v>23251569</v>
      </c>
      <c r="C146" s="163" t="s">
        <v>1414</v>
      </c>
      <c r="D146" s="163">
        <v>0</v>
      </c>
      <c r="E146" s="164" t="s">
        <v>21</v>
      </c>
      <c r="F146" s="161" t="s">
        <v>1643</v>
      </c>
      <c r="G146" s="165">
        <v>32509</v>
      </c>
      <c r="H146" s="174">
        <v>44196</v>
      </c>
      <c r="I146" s="167">
        <v>2602779.17</v>
      </c>
      <c r="J146" s="168">
        <v>347350.74</v>
      </c>
      <c r="K146" s="125"/>
      <c r="L146" s="169">
        <v>3.7499999999999999E-2</v>
      </c>
      <c r="M146" s="75">
        <v>3526</v>
      </c>
      <c r="N146" s="170">
        <v>14</v>
      </c>
      <c r="O146" s="170">
        <v>0</v>
      </c>
      <c r="P146" s="175">
        <v>51528</v>
      </c>
      <c r="Q146" s="175">
        <v>59179</v>
      </c>
      <c r="R146" s="161" t="s">
        <v>1628</v>
      </c>
      <c r="S146" s="162">
        <v>899999114</v>
      </c>
      <c r="T146" s="77" t="s">
        <v>1881</v>
      </c>
      <c r="U146" s="78" t="s">
        <v>1881</v>
      </c>
      <c r="V146" s="171"/>
      <c r="W146" s="80">
        <v>1834457</v>
      </c>
    </row>
    <row r="147" spans="1:23" ht="15.6" x14ac:dyDescent="0.3">
      <c r="A147" s="161" t="s">
        <v>1415</v>
      </c>
      <c r="B147" s="162">
        <v>20288423</v>
      </c>
      <c r="C147" s="163" t="s">
        <v>1416</v>
      </c>
      <c r="D147" s="163">
        <v>0</v>
      </c>
      <c r="E147" s="164" t="s">
        <v>818</v>
      </c>
      <c r="F147" s="161" t="s">
        <v>1643</v>
      </c>
      <c r="G147" s="165">
        <v>33207</v>
      </c>
      <c r="H147" s="174"/>
      <c r="I147" s="167">
        <v>11293144</v>
      </c>
      <c r="J147" s="168">
        <v>1507112.86</v>
      </c>
      <c r="K147" s="125"/>
      <c r="L147" s="169">
        <v>0.12529999999999999</v>
      </c>
      <c r="M147" s="75">
        <v>19600</v>
      </c>
      <c r="N147" s="170">
        <v>14</v>
      </c>
      <c r="O147" s="170"/>
      <c r="P147" s="170"/>
      <c r="Q147" s="170"/>
      <c r="R147" s="161" t="s">
        <v>1628</v>
      </c>
      <c r="S147" s="162">
        <v>899999114</v>
      </c>
      <c r="T147" s="77" t="s">
        <v>1881</v>
      </c>
      <c r="U147" s="78" t="s">
        <v>1881</v>
      </c>
      <c r="V147" s="171"/>
      <c r="W147" s="80">
        <v>2382129</v>
      </c>
    </row>
    <row r="148" spans="1:23" ht="15.6" x14ac:dyDescent="0.3">
      <c r="A148" s="161" t="s">
        <v>1417</v>
      </c>
      <c r="B148" s="162">
        <v>21286792</v>
      </c>
      <c r="C148" s="163" t="s">
        <v>1418</v>
      </c>
      <c r="D148" s="163">
        <v>0</v>
      </c>
      <c r="E148" s="164" t="s">
        <v>19</v>
      </c>
      <c r="F148" s="161" t="s">
        <v>1643</v>
      </c>
      <c r="G148" s="165">
        <v>33207</v>
      </c>
      <c r="H148" s="174"/>
      <c r="I148" s="172">
        <v>4135166.28</v>
      </c>
      <c r="J148" s="168">
        <v>551853.61</v>
      </c>
      <c r="K148" s="125"/>
      <c r="L148" s="169">
        <v>2.7799999999999998E-2</v>
      </c>
      <c r="M148" s="75">
        <v>50167</v>
      </c>
      <c r="N148" s="170">
        <v>14</v>
      </c>
      <c r="O148" s="170"/>
      <c r="P148" s="170"/>
      <c r="Q148" s="170"/>
      <c r="R148" s="161" t="s">
        <v>1628</v>
      </c>
      <c r="S148" s="162">
        <v>899999114</v>
      </c>
      <c r="T148" s="77" t="s">
        <v>1881</v>
      </c>
      <c r="U148" s="78" t="s">
        <v>1881</v>
      </c>
      <c r="V148" s="171"/>
      <c r="W148" s="80">
        <v>3931422</v>
      </c>
    </row>
    <row r="149" spans="1:23" ht="15.6" x14ac:dyDescent="0.3">
      <c r="A149" s="161" t="s">
        <v>1419</v>
      </c>
      <c r="B149" s="162">
        <v>20334626</v>
      </c>
      <c r="C149" s="163" t="s">
        <v>1420</v>
      </c>
      <c r="D149" s="163">
        <v>0</v>
      </c>
      <c r="E149" s="164" t="s">
        <v>21</v>
      </c>
      <c r="F149" s="161" t="s">
        <v>1643</v>
      </c>
      <c r="G149" s="165">
        <v>76308</v>
      </c>
      <c r="H149" s="174"/>
      <c r="I149" s="172">
        <v>7052068.6799999997</v>
      </c>
      <c r="J149" s="168">
        <v>941125.28</v>
      </c>
      <c r="K149" s="125"/>
      <c r="L149" s="169">
        <v>0.1103</v>
      </c>
      <c r="M149" s="75">
        <v>35083</v>
      </c>
      <c r="N149" s="170">
        <v>14</v>
      </c>
      <c r="O149" s="170">
        <v>0</v>
      </c>
      <c r="P149" s="170">
        <v>0</v>
      </c>
      <c r="Q149" s="170">
        <v>0</v>
      </c>
      <c r="R149" s="161" t="s">
        <v>1628</v>
      </c>
      <c r="S149" s="162">
        <v>899999114</v>
      </c>
      <c r="T149" s="77" t="s">
        <v>1881</v>
      </c>
      <c r="U149" s="78" t="s">
        <v>1881</v>
      </c>
      <c r="V149" s="171"/>
      <c r="W149" s="80">
        <v>1689828</v>
      </c>
    </row>
    <row r="150" spans="1:23" ht="15.6" x14ac:dyDescent="0.3">
      <c r="A150" s="161" t="s">
        <v>1421</v>
      </c>
      <c r="B150" s="162">
        <v>13213283</v>
      </c>
      <c r="C150" s="163" t="s">
        <v>1422</v>
      </c>
      <c r="D150" s="163">
        <v>0</v>
      </c>
      <c r="E150" s="164" t="s">
        <v>472</v>
      </c>
      <c r="F150" s="161" t="s">
        <v>1643</v>
      </c>
      <c r="G150" s="165">
        <v>34700</v>
      </c>
      <c r="H150" s="174">
        <v>44196</v>
      </c>
      <c r="I150" s="167">
        <v>5973217.7599999998</v>
      </c>
      <c r="J150" s="168">
        <v>797148.54</v>
      </c>
      <c r="K150" s="125"/>
      <c r="L150" s="169">
        <v>0.2273</v>
      </c>
      <c r="M150" s="75">
        <v>66436</v>
      </c>
      <c r="N150" s="170">
        <v>14</v>
      </c>
      <c r="O150" s="170">
        <v>0</v>
      </c>
      <c r="P150" s="175">
        <v>218212</v>
      </c>
      <c r="Q150" s="175">
        <v>744283</v>
      </c>
      <c r="R150" s="161" t="s">
        <v>1628</v>
      </c>
      <c r="S150" s="162">
        <v>899999114</v>
      </c>
      <c r="T150" s="77" t="s">
        <v>1881</v>
      </c>
      <c r="U150" s="78" t="s">
        <v>1881</v>
      </c>
      <c r="V150" s="171"/>
      <c r="W150" s="80">
        <v>694561</v>
      </c>
    </row>
    <row r="151" spans="1:23" ht="15.6" x14ac:dyDescent="0.3">
      <c r="A151" s="161" t="s">
        <v>706</v>
      </c>
      <c r="B151" s="162">
        <v>20041246</v>
      </c>
      <c r="C151" s="163" t="s">
        <v>707</v>
      </c>
      <c r="D151" s="163">
        <v>0</v>
      </c>
      <c r="E151" s="164" t="s">
        <v>472</v>
      </c>
      <c r="F151" s="161" t="s">
        <v>1645</v>
      </c>
      <c r="G151" s="165">
        <v>35065</v>
      </c>
      <c r="H151" s="174"/>
      <c r="I151" s="167">
        <v>0</v>
      </c>
      <c r="J151" s="168">
        <v>0</v>
      </c>
      <c r="K151" s="125"/>
      <c r="L151" s="169">
        <v>0.12920000000000001</v>
      </c>
      <c r="M151" s="75">
        <v>45876</v>
      </c>
      <c r="N151" s="170">
        <v>11</v>
      </c>
      <c r="O151" s="170">
        <v>0</v>
      </c>
      <c r="P151" s="175">
        <v>173586</v>
      </c>
      <c r="Q151" s="175">
        <v>342337</v>
      </c>
      <c r="R151" s="161" t="s">
        <v>1628</v>
      </c>
      <c r="S151" s="162">
        <v>899999114</v>
      </c>
      <c r="T151" s="77" t="s">
        <v>1881</v>
      </c>
      <c r="U151" s="78" t="s">
        <v>1881</v>
      </c>
      <c r="V151" s="171"/>
      <c r="W151" s="80">
        <v>0</v>
      </c>
    </row>
    <row r="152" spans="1:23" ht="15.6" x14ac:dyDescent="0.3">
      <c r="A152" s="161" t="s">
        <v>1423</v>
      </c>
      <c r="B152" s="162">
        <v>3011821</v>
      </c>
      <c r="C152" s="163" t="s">
        <v>1424</v>
      </c>
      <c r="D152" s="163">
        <v>0</v>
      </c>
      <c r="E152" s="164" t="s">
        <v>472</v>
      </c>
      <c r="F152" s="161" t="s">
        <v>1643</v>
      </c>
      <c r="G152" s="165">
        <v>35431</v>
      </c>
      <c r="H152" s="174">
        <v>44196</v>
      </c>
      <c r="I152" s="172">
        <v>7682777.9000000004</v>
      </c>
      <c r="J152" s="168">
        <v>1025295.82</v>
      </c>
      <c r="K152" s="131"/>
      <c r="L152" s="169">
        <v>0.2331</v>
      </c>
      <c r="M152" s="75">
        <v>290590</v>
      </c>
      <c r="N152" s="170">
        <v>14</v>
      </c>
      <c r="O152" s="170">
        <v>0</v>
      </c>
      <c r="P152" s="175">
        <v>294619</v>
      </c>
      <c r="Q152" s="175">
        <v>952014</v>
      </c>
      <c r="R152" s="161" t="s">
        <v>1628</v>
      </c>
      <c r="S152" s="162">
        <v>899999114</v>
      </c>
      <c r="T152" s="77" t="s">
        <v>1881</v>
      </c>
      <c r="U152" s="78" t="s">
        <v>1881</v>
      </c>
      <c r="V152" s="173"/>
      <c r="W152" s="80">
        <v>871119</v>
      </c>
    </row>
    <row r="153" spans="1:23" ht="15.6" x14ac:dyDescent="0.3">
      <c r="A153" s="161" t="s">
        <v>985</v>
      </c>
      <c r="B153" s="162">
        <v>20161316</v>
      </c>
      <c r="C153" s="163" t="s">
        <v>986</v>
      </c>
      <c r="D153" s="163">
        <v>0</v>
      </c>
      <c r="E153" s="164" t="s">
        <v>472</v>
      </c>
      <c r="F153" s="161" t="s">
        <v>1643</v>
      </c>
      <c r="G153" s="165">
        <v>73815</v>
      </c>
      <c r="H153" s="174">
        <v>44196</v>
      </c>
      <c r="I153" s="167">
        <v>4605531.2</v>
      </c>
      <c r="J153" s="168">
        <v>614625.59</v>
      </c>
      <c r="K153" s="125"/>
      <c r="L153" s="169">
        <v>0.1244</v>
      </c>
      <c r="M153" s="75">
        <v>65140</v>
      </c>
      <c r="N153" s="170">
        <v>14</v>
      </c>
      <c r="O153" s="170">
        <v>0</v>
      </c>
      <c r="P153" s="175">
        <v>188445</v>
      </c>
      <c r="Q153" s="175">
        <v>1169054</v>
      </c>
      <c r="R153" s="161" t="s">
        <v>1628</v>
      </c>
      <c r="S153" s="162">
        <v>899999114</v>
      </c>
      <c r="T153" s="77" t="s">
        <v>1881</v>
      </c>
      <c r="U153" s="78" t="s">
        <v>1881</v>
      </c>
      <c r="V153" s="171"/>
      <c r="W153" s="80">
        <v>978500</v>
      </c>
    </row>
    <row r="154" spans="1:23" ht="15.6" x14ac:dyDescent="0.3">
      <c r="A154" s="161" t="s">
        <v>1425</v>
      </c>
      <c r="B154" s="162">
        <v>17008660</v>
      </c>
      <c r="C154" s="163" t="s">
        <v>1426</v>
      </c>
      <c r="D154" s="163">
        <v>0</v>
      </c>
      <c r="E154" s="164" t="s">
        <v>21</v>
      </c>
      <c r="F154" s="161" t="s">
        <v>1645</v>
      </c>
      <c r="G154" s="165">
        <v>35796</v>
      </c>
      <c r="H154" s="174">
        <v>44196</v>
      </c>
      <c r="I154" s="167">
        <v>0</v>
      </c>
      <c r="J154" s="168">
        <v>0</v>
      </c>
      <c r="K154" s="125"/>
      <c r="L154" s="169">
        <v>0.29909999999999998</v>
      </c>
      <c r="M154" s="75">
        <v>151722</v>
      </c>
      <c r="N154" s="170">
        <v>14</v>
      </c>
      <c r="O154" s="170">
        <v>0</v>
      </c>
      <c r="P154" s="175">
        <v>166682</v>
      </c>
      <c r="Q154" s="175">
        <v>862807</v>
      </c>
      <c r="R154" s="161" t="s">
        <v>1628</v>
      </c>
      <c r="S154" s="162">
        <v>899999114</v>
      </c>
      <c r="T154" s="77">
        <v>32401935</v>
      </c>
      <c r="U154" s="78" t="s">
        <v>1630</v>
      </c>
      <c r="V154" s="171"/>
      <c r="W154" s="80">
        <v>0</v>
      </c>
    </row>
    <row r="155" spans="1:23" ht="15.6" x14ac:dyDescent="0.3">
      <c r="A155" s="161" t="s">
        <v>1427</v>
      </c>
      <c r="B155" s="162">
        <v>142743</v>
      </c>
      <c r="C155" s="163" t="s">
        <v>1428</v>
      </c>
      <c r="D155" s="163">
        <v>0</v>
      </c>
      <c r="E155" s="164" t="s">
        <v>21</v>
      </c>
      <c r="F155" s="161" t="s">
        <v>1645</v>
      </c>
      <c r="G155" s="165">
        <v>35990</v>
      </c>
      <c r="H155" s="174">
        <v>44196</v>
      </c>
      <c r="I155" s="167">
        <v>0</v>
      </c>
      <c r="J155" s="168">
        <v>0</v>
      </c>
      <c r="K155" s="125"/>
      <c r="L155" s="169">
        <v>0.25519999999999998</v>
      </c>
      <c r="M155" s="75">
        <v>181823</v>
      </c>
      <c r="N155" s="170">
        <v>14</v>
      </c>
      <c r="O155" s="170">
        <v>0</v>
      </c>
      <c r="P155" s="175">
        <v>449894</v>
      </c>
      <c r="Q155" s="175">
        <v>761638</v>
      </c>
      <c r="R155" s="161" t="s">
        <v>1628</v>
      </c>
      <c r="S155" s="162">
        <v>899999114</v>
      </c>
      <c r="T155" s="77">
        <v>20118903</v>
      </c>
      <c r="U155" s="78" t="s">
        <v>1773</v>
      </c>
      <c r="V155" s="171"/>
      <c r="W155" s="80">
        <v>0</v>
      </c>
    </row>
    <row r="156" spans="1:23" ht="15.6" x14ac:dyDescent="0.3">
      <c r="A156" s="161" t="s">
        <v>716</v>
      </c>
      <c r="B156" s="162">
        <v>41314945</v>
      </c>
      <c r="C156" s="163" t="s">
        <v>717</v>
      </c>
      <c r="D156" s="163">
        <v>0</v>
      </c>
      <c r="E156" s="164" t="s">
        <v>19</v>
      </c>
      <c r="F156" s="161" t="s">
        <v>1643</v>
      </c>
      <c r="G156" s="165">
        <v>36586</v>
      </c>
      <c r="H156" s="174">
        <v>44196</v>
      </c>
      <c r="I156" s="167">
        <v>8075473.9900000002</v>
      </c>
      <c r="J156" s="168">
        <v>1077702.6000000001</v>
      </c>
      <c r="K156" s="125"/>
      <c r="L156" s="169">
        <v>6.0900000000000003E-2</v>
      </c>
      <c r="M156" s="75">
        <v>132354</v>
      </c>
      <c r="N156" s="170">
        <v>14</v>
      </c>
      <c r="O156" s="170">
        <v>0</v>
      </c>
      <c r="P156" s="175">
        <v>1012501</v>
      </c>
      <c r="Q156" s="175">
        <v>1161879</v>
      </c>
      <c r="R156" s="161" t="s">
        <v>1628</v>
      </c>
      <c r="S156" s="162">
        <v>899999114</v>
      </c>
      <c r="T156" s="77" t="s">
        <v>1881</v>
      </c>
      <c r="U156" s="78" t="s">
        <v>1881</v>
      </c>
      <c r="V156" s="171"/>
      <c r="W156" s="80">
        <v>3504711</v>
      </c>
    </row>
    <row r="157" spans="1:23" ht="15.6" x14ac:dyDescent="0.3">
      <c r="A157" s="161" t="s">
        <v>1429</v>
      </c>
      <c r="B157" s="162">
        <v>17135950</v>
      </c>
      <c r="C157" s="163" t="s">
        <v>1430</v>
      </c>
      <c r="D157" s="163">
        <v>0</v>
      </c>
      <c r="E157" s="164" t="s">
        <v>21</v>
      </c>
      <c r="F157" s="161" t="s">
        <v>1645</v>
      </c>
      <c r="G157" s="165">
        <v>36831</v>
      </c>
      <c r="H157" s="174">
        <v>44196</v>
      </c>
      <c r="I157" s="172">
        <v>2185778.02</v>
      </c>
      <c r="J157" s="168">
        <v>291700.36</v>
      </c>
      <c r="K157" s="125"/>
      <c r="L157" s="169">
        <v>0.23749999999999999</v>
      </c>
      <c r="M157" s="75">
        <v>176543</v>
      </c>
      <c r="N157" s="170">
        <v>14</v>
      </c>
      <c r="O157" s="170">
        <v>0</v>
      </c>
      <c r="P157" s="175">
        <v>347637</v>
      </c>
      <c r="Q157" s="175">
        <v>848299</v>
      </c>
      <c r="R157" s="161" t="s">
        <v>1628</v>
      </c>
      <c r="S157" s="162">
        <v>899999114</v>
      </c>
      <c r="T157" s="77">
        <v>41386340</v>
      </c>
      <c r="U157" s="78" t="s">
        <v>1774</v>
      </c>
      <c r="V157" s="171"/>
      <c r="W157" s="80">
        <v>243245</v>
      </c>
    </row>
    <row r="158" spans="1:23" ht="15.6" x14ac:dyDescent="0.3">
      <c r="A158" s="161" t="s">
        <v>1431</v>
      </c>
      <c r="B158" s="162">
        <v>41339522</v>
      </c>
      <c r="C158" s="163" t="s">
        <v>1432</v>
      </c>
      <c r="D158" s="163">
        <v>0</v>
      </c>
      <c r="E158" s="164" t="s">
        <v>592</v>
      </c>
      <c r="F158" s="161" t="s">
        <v>1643</v>
      </c>
      <c r="G158" s="165">
        <v>37041</v>
      </c>
      <c r="H158" s="174">
        <v>44196</v>
      </c>
      <c r="I158" s="167">
        <v>68893463.930000007</v>
      </c>
      <c r="J158" s="168">
        <v>9194093.7899999991</v>
      </c>
      <c r="K158" s="125"/>
      <c r="L158" s="169">
        <v>0.30280000000000001</v>
      </c>
      <c r="M158" s="75">
        <v>572074</v>
      </c>
      <c r="N158" s="170">
        <v>14</v>
      </c>
      <c r="O158" s="170">
        <v>0</v>
      </c>
      <c r="P158" s="175">
        <v>1889281</v>
      </c>
      <c r="Q158" s="170">
        <v>0</v>
      </c>
      <c r="R158" s="161" t="s">
        <v>1628</v>
      </c>
      <c r="S158" s="162">
        <v>899999114</v>
      </c>
      <c r="T158" s="77" t="s">
        <v>1881</v>
      </c>
      <c r="U158" s="78" t="s">
        <v>1881</v>
      </c>
      <c r="V158" s="171"/>
      <c r="W158" s="80">
        <v>6013449</v>
      </c>
    </row>
    <row r="159" spans="1:23" ht="15.6" x14ac:dyDescent="0.3">
      <c r="A159" s="161" t="s">
        <v>1433</v>
      </c>
      <c r="B159" s="162">
        <v>17178348</v>
      </c>
      <c r="C159" s="163" t="s">
        <v>1434</v>
      </c>
      <c r="D159" s="163">
        <v>0</v>
      </c>
      <c r="E159" s="164" t="s">
        <v>472</v>
      </c>
      <c r="F159" s="161" t="s">
        <v>1643</v>
      </c>
      <c r="G159" s="165">
        <v>37100</v>
      </c>
      <c r="H159" s="174">
        <v>44196</v>
      </c>
      <c r="I159" s="167">
        <v>19255447.129999999</v>
      </c>
      <c r="J159" s="168">
        <v>2569712.38</v>
      </c>
      <c r="K159" s="125"/>
      <c r="L159" s="169">
        <v>0.31019999999999998</v>
      </c>
      <c r="M159" s="75">
        <v>613418</v>
      </c>
      <c r="N159" s="170">
        <v>14</v>
      </c>
      <c r="O159" s="170">
        <v>0</v>
      </c>
      <c r="P159" s="175">
        <v>831445</v>
      </c>
      <c r="Q159" s="175">
        <v>1955365</v>
      </c>
      <c r="R159" s="161" t="s">
        <v>1628</v>
      </c>
      <c r="S159" s="162">
        <v>899999114</v>
      </c>
      <c r="T159" s="77" t="s">
        <v>1881</v>
      </c>
      <c r="U159" s="78" t="s">
        <v>1881</v>
      </c>
      <c r="V159" s="171"/>
      <c r="W159" s="80">
        <v>1640640</v>
      </c>
    </row>
    <row r="160" spans="1:23" ht="15.6" x14ac:dyDescent="0.3">
      <c r="A160" s="161" t="s">
        <v>1435</v>
      </c>
      <c r="B160" s="162">
        <v>41448731</v>
      </c>
      <c r="C160" s="163" t="s">
        <v>1436</v>
      </c>
      <c r="D160" s="163">
        <v>0</v>
      </c>
      <c r="E160" s="164" t="s">
        <v>21</v>
      </c>
      <c r="F160" s="161" t="s">
        <v>1643</v>
      </c>
      <c r="G160" s="165">
        <v>38534</v>
      </c>
      <c r="H160" s="174">
        <v>44196</v>
      </c>
      <c r="I160" s="167">
        <v>1928900.95</v>
      </c>
      <c r="J160" s="168">
        <v>257419.14</v>
      </c>
      <c r="K160" s="125"/>
      <c r="L160" s="169">
        <v>0.1118</v>
      </c>
      <c r="M160" s="75">
        <v>185376</v>
      </c>
      <c r="N160" s="170">
        <v>14</v>
      </c>
      <c r="O160" s="170">
        <v>0</v>
      </c>
      <c r="P160" s="175">
        <v>194367</v>
      </c>
      <c r="Q160" s="175">
        <v>1562706</v>
      </c>
      <c r="R160" s="161" t="s">
        <v>1628</v>
      </c>
      <c r="S160" s="162">
        <v>899999114</v>
      </c>
      <c r="T160" s="77" t="s">
        <v>1881</v>
      </c>
      <c r="U160" s="78" t="s">
        <v>1881</v>
      </c>
      <c r="V160" s="171"/>
      <c r="W160" s="80">
        <v>456005</v>
      </c>
    </row>
    <row r="161" spans="1:23" ht="15.6" x14ac:dyDescent="0.3">
      <c r="A161" s="161" t="s">
        <v>1437</v>
      </c>
      <c r="B161" s="162">
        <v>41491714</v>
      </c>
      <c r="C161" s="163" t="s">
        <v>1438</v>
      </c>
      <c r="D161" s="163">
        <v>0</v>
      </c>
      <c r="E161" s="164" t="s">
        <v>722</v>
      </c>
      <c r="F161" s="161" t="s">
        <v>1643</v>
      </c>
      <c r="G161" s="165">
        <v>38749</v>
      </c>
      <c r="H161" s="174">
        <v>44196</v>
      </c>
      <c r="I161" s="167">
        <v>2928774.9</v>
      </c>
      <c r="J161" s="168">
        <v>390856.11</v>
      </c>
      <c r="K161" s="125"/>
      <c r="L161" s="169">
        <v>0.14419999999999999</v>
      </c>
      <c r="M161" s="75">
        <v>245759</v>
      </c>
      <c r="N161" s="170">
        <v>14</v>
      </c>
      <c r="O161" s="170">
        <v>0</v>
      </c>
      <c r="P161" s="175">
        <v>318092</v>
      </c>
      <c r="Q161" s="175">
        <v>1923171</v>
      </c>
      <c r="R161" s="161" t="s">
        <v>1628</v>
      </c>
      <c r="S161" s="162">
        <v>899999114</v>
      </c>
      <c r="T161" s="77" t="s">
        <v>1881</v>
      </c>
      <c r="U161" s="78" t="s">
        <v>1881</v>
      </c>
      <c r="V161" s="171"/>
      <c r="W161" s="80">
        <v>536812</v>
      </c>
    </row>
    <row r="162" spans="1:23" ht="15.6" x14ac:dyDescent="0.3">
      <c r="A162" s="161" t="s">
        <v>1439</v>
      </c>
      <c r="B162" s="162">
        <v>17182518</v>
      </c>
      <c r="C162" s="163" t="s">
        <v>1440</v>
      </c>
      <c r="D162" s="163">
        <v>0</v>
      </c>
      <c r="E162" s="164" t="s">
        <v>21</v>
      </c>
      <c r="F162" s="161" t="s">
        <v>1643</v>
      </c>
      <c r="G162" s="165">
        <v>38800</v>
      </c>
      <c r="H162" s="174">
        <v>44196</v>
      </c>
      <c r="I162" s="167">
        <v>13488748.02</v>
      </c>
      <c r="J162" s="168">
        <v>1800124.53</v>
      </c>
      <c r="K162" s="125"/>
      <c r="L162" s="169">
        <v>9.5000000000000001E-2</v>
      </c>
      <c r="M162" s="75">
        <v>359298</v>
      </c>
      <c r="N162" s="170">
        <v>14</v>
      </c>
      <c r="O162" s="170">
        <v>0</v>
      </c>
      <c r="P162" s="175">
        <v>1671254</v>
      </c>
      <c r="Q162" s="175">
        <v>2110827</v>
      </c>
      <c r="R162" s="161" t="s">
        <v>1628</v>
      </c>
      <c r="S162" s="162">
        <v>899999114</v>
      </c>
      <c r="T162" s="77" t="s">
        <v>1881</v>
      </c>
      <c r="U162" s="78" t="s">
        <v>1881</v>
      </c>
      <c r="V162" s="171"/>
      <c r="W162" s="80">
        <v>3752749</v>
      </c>
    </row>
    <row r="163" spans="1:23" ht="15.6" x14ac:dyDescent="0.3">
      <c r="A163" s="161" t="s">
        <v>1441</v>
      </c>
      <c r="B163" s="162">
        <v>11292350</v>
      </c>
      <c r="C163" s="163" t="s">
        <v>1442</v>
      </c>
      <c r="D163" s="163">
        <v>0</v>
      </c>
      <c r="E163" s="164" t="s">
        <v>472</v>
      </c>
      <c r="F163" s="161" t="s">
        <v>1643</v>
      </c>
      <c r="G163" s="165">
        <v>38838</v>
      </c>
      <c r="H163" s="174">
        <v>44196</v>
      </c>
      <c r="I163" s="167">
        <v>4162036.86</v>
      </c>
      <c r="J163" s="168">
        <v>555439.59</v>
      </c>
      <c r="K163" s="125"/>
      <c r="L163" s="169">
        <v>7.6600000000000001E-2</v>
      </c>
      <c r="M163" s="75">
        <v>201121</v>
      </c>
      <c r="N163" s="170">
        <v>14</v>
      </c>
      <c r="O163" s="170">
        <v>0</v>
      </c>
      <c r="P163" s="175">
        <v>727776</v>
      </c>
      <c r="Q163" s="175">
        <v>2445962</v>
      </c>
      <c r="R163" s="161" t="s">
        <v>1628</v>
      </c>
      <c r="S163" s="162">
        <v>899999114</v>
      </c>
      <c r="T163" s="77" t="s">
        <v>1881</v>
      </c>
      <c r="U163" s="78" t="s">
        <v>1881</v>
      </c>
      <c r="V163" s="171"/>
      <c r="W163" s="80">
        <v>1436080</v>
      </c>
    </row>
    <row r="164" spans="1:23" ht="15.6" x14ac:dyDescent="0.3">
      <c r="A164" s="161" t="s">
        <v>1443</v>
      </c>
      <c r="B164" s="162">
        <v>41443975</v>
      </c>
      <c r="C164" s="163" t="s">
        <v>1444</v>
      </c>
      <c r="D164" s="163">
        <v>0</v>
      </c>
      <c r="E164" s="164" t="s">
        <v>21</v>
      </c>
      <c r="F164" s="161" t="s">
        <v>1643</v>
      </c>
      <c r="G164" s="165">
        <v>38867</v>
      </c>
      <c r="H164" s="174">
        <v>44196</v>
      </c>
      <c r="I164" s="167">
        <v>6592837.96</v>
      </c>
      <c r="J164" s="168">
        <v>879839.2</v>
      </c>
      <c r="K164" s="125"/>
      <c r="L164" s="169">
        <v>0.2364</v>
      </c>
      <c r="M164" s="75">
        <v>417407</v>
      </c>
      <c r="N164" s="170">
        <v>14</v>
      </c>
      <c r="O164" s="170">
        <v>0</v>
      </c>
      <c r="P164" s="175">
        <v>417707</v>
      </c>
      <c r="Q164" s="175">
        <v>2000638</v>
      </c>
      <c r="R164" s="161" t="s">
        <v>1628</v>
      </c>
      <c r="S164" s="162">
        <v>899999114</v>
      </c>
      <c r="T164" s="77" t="s">
        <v>1881</v>
      </c>
      <c r="U164" s="78" t="s">
        <v>1881</v>
      </c>
      <c r="V164" s="171"/>
      <c r="W164" s="80">
        <v>737100</v>
      </c>
    </row>
    <row r="165" spans="1:23" ht="15.6" x14ac:dyDescent="0.3">
      <c r="A165" s="161" t="s">
        <v>1445</v>
      </c>
      <c r="B165" s="162">
        <v>41485099</v>
      </c>
      <c r="C165" s="163" t="s">
        <v>1446</v>
      </c>
      <c r="D165" s="163">
        <v>0</v>
      </c>
      <c r="E165" s="164" t="s">
        <v>19</v>
      </c>
      <c r="F165" s="161" t="s">
        <v>1643</v>
      </c>
      <c r="G165" s="165">
        <v>39037</v>
      </c>
      <c r="H165" s="174"/>
      <c r="I165" s="167">
        <v>11497760.699999999</v>
      </c>
      <c r="J165" s="168">
        <v>1534419.73</v>
      </c>
      <c r="K165" s="125"/>
      <c r="L165" s="169">
        <v>0.25059999999999999</v>
      </c>
      <c r="M165" s="75">
        <v>523218</v>
      </c>
      <c r="N165" s="170">
        <v>13</v>
      </c>
      <c r="O165" s="170"/>
      <c r="P165" s="170"/>
      <c r="Q165" s="170"/>
      <c r="R165" s="161" t="s">
        <v>1628</v>
      </c>
      <c r="S165" s="162">
        <v>899999114</v>
      </c>
      <c r="T165" s="77" t="s">
        <v>1881</v>
      </c>
      <c r="U165" s="78" t="s">
        <v>1881</v>
      </c>
      <c r="V165" s="171"/>
      <c r="W165" s="80">
        <v>1212645</v>
      </c>
    </row>
    <row r="166" spans="1:23" ht="15.6" x14ac:dyDescent="0.3">
      <c r="A166" s="161" t="s">
        <v>747</v>
      </c>
      <c r="B166" s="162">
        <v>19100573</v>
      </c>
      <c r="C166" s="163" t="s">
        <v>748</v>
      </c>
      <c r="D166" s="163">
        <v>0</v>
      </c>
      <c r="E166" s="164" t="s">
        <v>472</v>
      </c>
      <c r="F166" s="161" t="s">
        <v>1643</v>
      </c>
      <c r="G166" s="165">
        <v>39051</v>
      </c>
      <c r="H166" s="174">
        <v>44012</v>
      </c>
      <c r="I166" s="172">
        <v>8493125.4900000002</v>
      </c>
      <c r="J166" s="168">
        <v>1133439.78</v>
      </c>
      <c r="K166" s="125"/>
      <c r="L166" s="169">
        <v>4.4600000000000001E-2</v>
      </c>
      <c r="M166" s="75">
        <v>88202</v>
      </c>
      <c r="N166" s="170">
        <v>1</v>
      </c>
      <c r="O166" s="170">
        <v>0</v>
      </c>
      <c r="P166" s="175">
        <v>605784</v>
      </c>
      <c r="Q166" s="175">
        <v>2604301</v>
      </c>
      <c r="R166" s="161" t="s">
        <v>1628</v>
      </c>
      <c r="S166" s="162">
        <v>899999114</v>
      </c>
      <c r="T166" s="77" t="s">
        <v>1881</v>
      </c>
      <c r="U166" s="78" t="s">
        <v>1881</v>
      </c>
      <c r="V166" s="171"/>
      <c r="W166" s="80">
        <v>5033083.8256000001</v>
      </c>
    </row>
    <row r="167" spans="1:23" ht="15.6" x14ac:dyDescent="0.3">
      <c r="A167" s="161" t="s">
        <v>1447</v>
      </c>
      <c r="B167" s="162">
        <v>17131068</v>
      </c>
      <c r="C167" s="163" t="s">
        <v>1448</v>
      </c>
      <c r="D167" s="163">
        <v>0</v>
      </c>
      <c r="E167" s="164" t="s">
        <v>472</v>
      </c>
      <c r="F167" s="161" t="s">
        <v>1645</v>
      </c>
      <c r="G167" s="165">
        <v>39052</v>
      </c>
      <c r="H167" s="174"/>
      <c r="I167" s="167">
        <v>0</v>
      </c>
      <c r="J167" s="168">
        <v>0</v>
      </c>
      <c r="K167" s="125"/>
      <c r="L167" s="169">
        <v>9.9099999999999994E-2</v>
      </c>
      <c r="M167" s="75">
        <v>143847</v>
      </c>
      <c r="N167" s="170">
        <v>14</v>
      </c>
      <c r="O167" s="170">
        <v>0</v>
      </c>
      <c r="P167" s="170">
        <v>0</v>
      </c>
      <c r="Q167" s="170">
        <v>0</v>
      </c>
      <c r="R167" s="161" t="s">
        <v>1628</v>
      </c>
      <c r="S167" s="162">
        <v>899999114</v>
      </c>
      <c r="T167" s="77" t="s">
        <v>1881</v>
      </c>
      <c r="U167" s="78" t="s">
        <v>1881</v>
      </c>
      <c r="V167" s="171"/>
      <c r="W167" s="80">
        <v>0</v>
      </c>
    </row>
    <row r="168" spans="1:23" ht="15.6" x14ac:dyDescent="0.3">
      <c r="A168" s="161" t="s">
        <v>745</v>
      </c>
      <c r="B168" s="162">
        <v>17174648</v>
      </c>
      <c r="C168" s="163" t="s">
        <v>746</v>
      </c>
      <c r="D168" s="163">
        <v>0</v>
      </c>
      <c r="E168" s="164" t="s">
        <v>21</v>
      </c>
      <c r="F168" s="161" t="s">
        <v>1643</v>
      </c>
      <c r="G168" s="165">
        <v>39052</v>
      </c>
      <c r="H168" s="174">
        <v>44196</v>
      </c>
      <c r="I168" s="167">
        <v>947704.54</v>
      </c>
      <c r="J168" s="168">
        <v>126474.76</v>
      </c>
      <c r="K168" s="125"/>
      <c r="L168" s="169">
        <v>2.4E-2</v>
      </c>
      <c r="M168" s="75">
        <v>50624</v>
      </c>
      <c r="N168" s="170">
        <v>14</v>
      </c>
      <c r="O168" s="170">
        <v>0</v>
      </c>
      <c r="P168" s="175">
        <v>464786</v>
      </c>
      <c r="Q168" s="175">
        <v>4178696</v>
      </c>
      <c r="R168" s="161" t="s">
        <v>1628</v>
      </c>
      <c r="S168" s="162">
        <v>899999114</v>
      </c>
      <c r="T168" s="77" t="s">
        <v>1881</v>
      </c>
      <c r="U168" s="78" t="s">
        <v>1881</v>
      </c>
      <c r="V168" s="171"/>
      <c r="W168" s="80">
        <v>1043670</v>
      </c>
    </row>
    <row r="169" spans="1:23" ht="15.6" x14ac:dyDescent="0.3">
      <c r="A169" s="161" t="s">
        <v>1449</v>
      </c>
      <c r="B169" s="162">
        <v>3013490</v>
      </c>
      <c r="C169" s="163" t="s">
        <v>1450</v>
      </c>
      <c r="D169" s="163">
        <v>0</v>
      </c>
      <c r="E169" s="164" t="s">
        <v>19</v>
      </c>
      <c r="F169" s="161" t="s">
        <v>1643</v>
      </c>
      <c r="G169" s="165">
        <v>39059</v>
      </c>
      <c r="H169" s="174">
        <v>44196</v>
      </c>
      <c r="I169" s="167">
        <v>12130542.51</v>
      </c>
      <c r="J169" s="168">
        <v>1618866.86</v>
      </c>
      <c r="K169" s="125"/>
      <c r="L169" s="169">
        <v>0.17979999999999999</v>
      </c>
      <c r="M169" s="75">
        <v>387336</v>
      </c>
      <c r="N169" s="170">
        <v>14</v>
      </c>
      <c r="O169" s="170">
        <v>0</v>
      </c>
      <c r="P169" s="175">
        <v>903674</v>
      </c>
      <c r="Q169" s="175">
        <v>1657623</v>
      </c>
      <c r="R169" s="161" t="s">
        <v>1628</v>
      </c>
      <c r="S169" s="162">
        <v>899999114</v>
      </c>
      <c r="T169" s="77" t="s">
        <v>1881</v>
      </c>
      <c r="U169" s="78" t="s">
        <v>1881</v>
      </c>
      <c r="V169" s="171"/>
      <c r="W169" s="80">
        <v>1783167</v>
      </c>
    </row>
    <row r="170" spans="1:23" ht="15.6" x14ac:dyDescent="0.3">
      <c r="A170" s="161" t="s">
        <v>1451</v>
      </c>
      <c r="B170" s="162">
        <v>41549095</v>
      </c>
      <c r="C170" s="163" t="s">
        <v>1452</v>
      </c>
      <c r="D170" s="163">
        <v>0</v>
      </c>
      <c r="E170" s="164" t="s">
        <v>472</v>
      </c>
      <c r="F170" s="161" t="s">
        <v>1643</v>
      </c>
      <c r="G170" s="165">
        <v>39173</v>
      </c>
      <c r="H170" s="174">
        <v>44196</v>
      </c>
      <c r="I170" s="167">
        <v>1461561.33</v>
      </c>
      <c r="J170" s="168">
        <v>195050.9</v>
      </c>
      <c r="K170" s="125"/>
      <c r="L170" s="169">
        <v>5.8000000000000003E-2</v>
      </c>
      <c r="M170" s="75">
        <v>92331</v>
      </c>
      <c r="N170" s="170">
        <v>13</v>
      </c>
      <c r="O170" s="170">
        <v>0</v>
      </c>
      <c r="P170" s="175">
        <v>162943</v>
      </c>
      <c r="Q170" s="175">
        <v>1699821</v>
      </c>
      <c r="R170" s="161" t="s">
        <v>1628</v>
      </c>
      <c r="S170" s="162">
        <v>899999114</v>
      </c>
      <c r="T170" s="77" t="s">
        <v>1881</v>
      </c>
      <c r="U170" s="78" t="s">
        <v>1881</v>
      </c>
      <c r="V170" s="171"/>
      <c r="W170" s="80">
        <v>666025</v>
      </c>
    </row>
    <row r="171" spans="1:23" ht="15.6" x14ac:dyDescent="0.3">
      <c r="A171" s="161" t="s">
        <v>1453</v>
      </c>
      <c r="B171" s="162">
        <v>11372802</v>
      </c>
      <c r="C171" s="163" t="s">
        <v>1454</v>
      </c>
      <c r="D171" s="163">
        <v>0</v>
      </c>
      <c r="E171" s="164" t="s">
        <v>21</v>
      </c>
      <c r="F171" s="161" t="s">
        <v>1643</v>
      </c>
      <c r="G171" s="165">
        <v>39661</v>
      </c>
      <c r="H171" s="174">
        <v>44196</v>
      </c>
      <c r="I171" s="167">
        <v>3841674.73</v>
      </c>
      <c r="J171" s="168">
        <v>512686.05</v>
      </c>
      <c r="K171" s="125"/>
      <c r="L171" s="169">
        <v>0.1555</v>
      </c>
      <c r="M171" s="75">
        <v>307337</v>
      </c>
      <c r="N171" s="170">
        <v>13</v>
      </c>
      <c r="O171" s="170">
        <v>0</v>
      </c>
      <c r="P171" s="175">
        <v>348227</v>
      </c>
      <c r="Q171" s="175">
        <v>2587747</v>
      </c>
      <c r="R171" s="161" t="s">
        <v>1628</v>
      </c>
      <c r="S171" s="162">
        <v>899999114</v>
      </c>
      <c r="T171" s="77" t="s">
        <v>1881</v>
      </c>
      <c r="U171" s="78" t="s">
        <v>1881</v>
      </c>
      <c r="V171" s="171"/>
      <c r="W171" s="80">
        <v>652967.67039999994</v>
      </c>
    </row>
    <row r="172" spans="1:23" ht="15.6" x14ac:dyDescent="0.3">
      <c r="A172" s="161" t="s">
        <v>771</v>
      </c>
      <c r="B172" s="162">
        <v>17196930</v>
      </c>
      <c r="C172" s="163" t="s">
        <v>772</v>
      </c>
      <c r="D172" s="163">
        <v>0</v>
      </c>
      <c r="E172" s="164" t="s">
        <v>472</v>
      </c>
      <c r="F172" s="161" t="s">
        <v>1645</v>
      </c>
      <c r="G172" s="165">
        <v>39753</v>
      </c>
      <c r="H172" s="174"/>
      <c r="I172" s="167">
        <v>5252011.4800000004</v>
      </c>
      <c r="J172" s="168">
        <v>700900.83</v>
      </c>
      <c r="K172" s="125"/>
      <c r="L172" s="169">
        <v>0.1381</v>
      </c>
      <c r="M172" s="75">
        <v>248632</v>
      </c>
      <c r="N172" s="170">
        <v>13</v>
      </c>
      <c r="O172" s="170">
        <v>0</v>
      </c>
      <c r="P172" s="175">
        <v>473106</v>
      </c>
      <c r="Q172" s="175">
        <v>1570233</v>
      </c>
      <c r="R172" s="161" t="s">
        <v>1628</v>
      </c>
      <c r="S172" s="162">
        <v>899999114</v>
      </c>
      <c r="T172" s="77" t="s">
        <v>1881</v>
      </c>
      <c r="U172" s="78" t="s">
        <v>1881</v>
      </c>
      <c r="V172" s="171"/>
      <c r="W172" s="80">
        <v>1005156</v>
      </c>
    </row>
    <row r="173" spans="1:23" ht="15.6" x14ac:dyDescent="0.3">
      <c r="A173" s="161" t="s">
        <v>1455</v>
      </c>
      <c r="B173" s="162">
        <v>41621038</v>
      </c>
      <c r="C173" s="163" t="s">
        <v>1456</v>
      </c>
      <c r="D173" s="163">
        <v>0</v>
      </c>
      <c r="E173" s="164" t="s">
        <v>472</v>
      </c>
      <c r="F173" s="161" t="s">
        <v>1643</v>
      </c>
      <c r="G173" s="165">
        <v>40120</v>
      </c>
      <c r="H173" s="174"/>
      <c r="I173" s="167">
        <v>3244853.02</v>
      </c>
      <c r="J173" s="168">
        <v>433037.93</v>
      </c>
      <c r="K173" s="125"/>
      <c r="L173" s="169">
        <v>0.1137</v>
      </c>
      <c r="M173" s="75">
        <v>225638</v>
      </c>
      <c r="N173" s="170">
        <v>13</v>
      </c>
      <c r="O173" s="170">
        <v>0</v>
      </c>
      <c r="P173" s="175">
        <v>399663</v>
      </c>
      <c r="Q173" s="175">
        <v>2139229</v>
      </c>
      <c r="R173" s="161" t="s">
        <v>1628</v>
      </c>
      <c r="S173" s="162">
        <v>899999114</v>
      </c>
      <c r="T173" s="77" t="s">
        <v>1881</v>
      </c>
      <c r="U173" s="78" t="s">
        <v>1881</v>
      </c>
      <c r="V173" s="171"/>
      <c r="W173" s="80">
        <v>754286</v>
      </c>
    </row>
    <row r="174" spans="1:23" ht="15.6" x14ac:dyDescent="0.3">
      <c r="A174" s="161" t="s">
        <v>1457</v>
      </c>
      <c r="B174" s="162">
        <v>3226873</v>
      </c>
      <c r="C174" s="163" t="s">
        <v>1458</v>
      </c>
      <c r="D174" s="163">
        <v>0</v>
      </c>
      <c r="E174" s="164" t="s">
        <v>21</v>
      </c>
      <c r="F174" s="161" t="s">
        <v>1643</v>
      </c>
      <c r="G174" s="165">
        <v>40147</v>
      </c>
      <c r="H174" s="174"/>
      <c r="I174" s="167">
        <v>628451</v>
      </c>
      <c r="J174" s="168">
        <v>83869.17</v>
      </c>
      <c r="K174" s="125"/>
      <c r="L174" s="169">
        <v>1.7500000000000002E-2</v>
      </c>
      <c r="M174" s="75">
        <v>60559</v>
      </c>
      <c r="N174" s="170">
        <v>13</v>
      </c>
      <c r="O174" s="170">
        <v>0</v>
      </c>
      <c r="P174" s="175">
        <v>537877</v>
      </c>
      <c r="Q174" s="175">
        <v>3331747</v>
      </c>
      <c r="R174" s="161" t="s">
        <v>1628</v>
      </c>
      <c r="S174" s="162">
        <v>899999114</v>
      </c>
      <c r="T174" s="77" t="s">
        <v>1881</v>
      </c>
      <c r="U174" s="78" t="s">
        <v>1881</v>
      </c>
      <c r="V174" s="171"/>
      <c r="W174" s="80">
        <v>949150</v>
      </c>
    </row>
    <row r="175" spans="1:23" ht="15.6" x14ac:dyDescent="0.3">
      <c r="A175" s="161" t="s">
        <v>1459</v>
      </c>
      <c r="B175" s="162">
        <v>19215004</v>
      </c>
      <c r="C175" s="163" t="s">
        <v>782</v>
      </c>
      <c r="D175" s="163">
        <v>0</v>
      </c>
      <c r="E175" s="164" t="s">
        <v>472</v>
      </c>
      <c r="F175" s="161" t="s">
        <v>1645</v>
      </c>
      <c r="G175" s="165">
        <v>40147</v>
      </c>
      <c r="H175" s="174"/>
      <c r="I175" s="172">
        <v>0</v>
      </c>
      <c r="J175" s="168">
        <v>0</v>
      </c>
      <c r="K175" s="125"/>
      <c r="L175" s="169">
        <v>0.14860000000000001</v>
      </c>
      <c r="M175" s="75">
        <v>327467</v>
      </c>
      <c r="N175" s="170">
        <v>13</v>
      </c>
      <c r="O175" s="170">
        <v>0</v>
      </c>
      <c r="P175" s="175">
        <v>823584</v>
      </c>
      <c r="Q175" s="175">
        <v>2226962</v>
      </c>
      <c r="R175" s="161" t="s">
        <v>1628</v>
      </c>
      <c r="S175" s="162">
        <v>899999114</v>
      </c>
      <c r="T175" s="77">
        <v>20427516</v>
      </c>
      <c r="U175" s="78" t="s">
        <v>1687</v>
      </c>
      <c r="V175" s="173"/>
      <c r="W175" s="80">
        <v>0</v>
      </c>
    </row>
    <row r="176" spans="1:23" ht="15.6" x14ac:dyDescent="0.3">
      <c r="A176" s="161" t="s">
        <v>1460</v>
      </c>
      <c r="B176" s="162">
        <v>17110172</v>
      </c>
      <c r="C176" s="163" t="s">
        <v>1461</v>
      </c>
      <c r="D176" s="163">
        <v>0</v>
      </c>
      <c r="E176" s="164" t="s">
        <v>722</v>
      </c>
      <c r="F176" s="161" t="s">
        <v>1643</v>
      </c>
      <c r="G176" s="165">
        <v>40210</v>
      </c>
      <c r="H176" s="174"/>
      <c r="I176" s="167">
        <v>224210.53</v>
      </c>
      <c r="J176" s="168">
        <v>29921.75</v>
      </c>
      <c r="K176" s="125"/>
      <c r="L176" s="169">
        <v>2.53E-2</v>
      </c>
      <c r="M176" s="75">
        <v>44442</v>
      </c>
      <c r="N176" s="170">
        <v>14</v>
      </c>
      <c r="O176" s="170">
        <v>0</v>
      </c>
      <c r="P176" s="175">
        <v>121072</v>
      </c>
      <c r="Q176" s="175">
        <v>1609133</v>
      </c>
      <c r="R176" s="161" t="s">
        <v>1628</v>
      </c>
      <c r="S176" s="162">
        <v>899999114</v>
      </c>
      <c r="T176" s="77" t="s">
        <v>1881</v>
      </c>
      <c r="U176" s="78" t="s">
        <v>1881</v>
      </c>
      <c r="V176" s="171"/>
      <c r="W176" s="80">
        <v>234227</v>
      </c>
    </row>
    <row r="177" spans="1:23" ht="15.6" x14ac:dyDescent="0.3">
      <c r="A177" s="161" t="s">
        <v>1403</v>
      </c>
      <c r="B177" s="162">
        <v>48483</v>
      </c>
      <c r="C177" s="163" t="s">
        <v>1404</v>
      </c>
      <c r="D177" s="163">
        <v>0</v>
      </c>
      <c r="E177" s="164" t="s">
        <v>472</v>
      </c>
      <c r="F177" s="161" t="s">
        <v>1645</v>
      </c>
      <c r="G177" s="165">
        <v>30317</v>
      </c>
      <c r="H177" s="174"/>
      <c r="I177" s="167">
        <v>5773688.8700000001</v>
      </c>
      <c r="J177" s="168">
        <v>770520.65</v>
      </c>
      <c r="K177" s="125"/>
      <c r="L177" s="169">
        <v>0.1479</v>
      </c>
      <c r="M177" s="85"/>
      <c r="N177" s="170">
        <v>14</v>
      </c>
      <c r="O177" s="170"/>
      <c r="P177" s="170"/>
      <c r="Q177" s="170"/>
      <c r="R177" s="161" t="s">
        <v>1631</v>
      </c>
      <c r="S177" s="162">
        <v>899999115</v>
      </c>
      <c r="T177" s="77">
        <v>20119888</v>
      </c>
      <c r="U177" s="78" t="s">
        <v>1771</v>
      </c>
      <c r="V177" s="171"/>
      <c r="W177" s="80">
        <v>1031779</v>
      </c>
    </row>
    <row r="178" spans="1:23" ht="15.6" x14ac:dyDescent="0.3">
      <c r="A178" s="161" t="s">
        <v>1462</v>
      </c>
      <c r="B178" s="162">
        <v>17161853</v>
      </c>
      <c r="C178" s="163" t="s">
        <v>1463</v>
      </c>
      <c r="D178" s="163">
        <v>0</v>
      </c>
      <c r="E178" s="164" t="s">
        <v>19</v>
      </c>
      <c r="F178" s="161" t="s">
        <v>1643</v>
      </c>
      <c r="G178" s="165">
        <v>37225</v>
      </c>
      <c r="H178" s="174"/>
      <c r="I178" s="172">
        <v>8966303.1699999999</v>
      </c>
      <c r="J178" s="168">
        <v>1196587.1299999999</v>
      </c>
      <c r="K178" s="125"/>
      <c r="L178" s="169">
        <v>0.24429999999999999</v>
      </c>
      <c r="M178" s="75">
        <v>309265</v>
      </c>
      <c r="N178" s="170">
        <v>14</v>
      </c>
      <c r="O178" s="170"/>
      <c r="P178" s="170"/>
      <c r="Q178" s="170"/>
      <c r="R178" s="161" t="s">
        <v>1631</v>
      </c>
      <c r="S178" s="162">
        <v>899999115</v>
      </c>
      <c r="T178" s="77" t="s">
        <v>1881</v>
      </c>
      <c r="U178" s="78" t="s">
        <v>1881</v>
      </c>
      <c r="V178" s="171"/>
      <c r="W178" s="80">
        <v>970044</v>
      </c>
    </row>
    <row r="179" spans="1:23" ht="15.6" x14ac:dyDescent="0.3">
      <c r="A179" s="161" t="s">
        <v>1464</v>
      </c>
      <c r="B179" s="162">
        <v>19091072</v>
      </c>
      <c r="C179" s="163" t="s">
        <v>1465</v>
      </c>
      <c r="D179" s="163">
        <v>0</v>
      </c>
      <c r="E179" s="164" t="s">
        <v>592</v>
      </c>
      <c r="F179" s="161" t="s">
        <v>1643</v>
      </c>
      <c r="G179" s="165">
        <v>39028</v>
      </c>
      <c r="H179" s="174"/>
      <c r="I179" s="172">
        <v>5310400.97</v>
      </c>
      <c r="J179" s="168">
        <v>708693.13</v>
      </c>
      <c r="K179" s="125"/>
      <c r="L179" s="169">
        <v>0.16039999999999999</v>
      </c>
      <c r="M179" s="75">
        <v>382044</v>
      </c>
      <c r="N179" s="170">
        <v>14</v>
      </c>
      <c r="O179" s="170"/>
      <c r="P179" s="170"/>
      <c r="Q179" s="170"/>
      <c r="R179" s="161" t="s">
        <v>1631</v>
      </c>
      <c r="S179" s="162">
        <v>899999115</v>
      </c>
      <c r="T179" s="77" t="s">
        <v>1881</v>
      </c>
      <c r="U179" s="78" t="s">
        <v>1881</v>
      </c>
      <c r="V179" s="171"/>
      <c r="W179" s="80">
        <v>875033</v>
      </c>
    </row>
    <row r="180" spans="1:23" ht="15.6" x14ac:dyDescent="0.3">
      <c r="A180" s="161" t="s">
        <v>1466</v>
      </c>
      <c r="B180" s="162">
        <v>2904614</v>
      </c>
      <c r="C180" s="163" t="s">
        <v>1467</v>
      </c>
      <c r="D180" s="163">
        <v>0</v>
      </c>
      <c r="E180" s="164" t="s">
        <v>472</v>
      </c>
      <c r="F180" s="161" t="s">
        <v>1645</v>
      </c>
      <c r="G180" s="165">
        <v>33572</v>
      </c>
      <c r="H180" s="174">
        <v>44944</v>
      </c>
      <c r="I180" s="167">
        <v>6160682.2800000003</v>
      </c>
      <c r="J180" s="167">
        <v>822166.39</v>
      </c>
      <c r="K180" s="73"/>
      <c r="L180" s="169">
        <v>0.18090000000000001</v>
      </c>
      <c r="M180" s="75">
        <v>44291</v>
      </c>
      <c r="N180" s="170">
        <v>14</v>
      </c>
      <c r="O180" s="170"/>
      <c r="P180" s="170"/>
      <c r="Q180" s="170"/>
      <c r="R180" s="161" t="s">
        <v>1632</v>
      </c>
      <c r="S180" s="162">
        <v>899999230</v>
      </c>
      <c r="T180" s="77">
        <v>20321820</v>
      </c>
      <c r="U180" s="78" t="s">
        <v>1775</v>
      </c>
      <c r="V180" s="73"/>
      <c r="W180" s="80">
        <v>900102</v>
      </c>
    </row>
    <row r="181" spans="1:23" ht="15.6" x14ac:dyDescent="0.3">
      <c r="A181" s="161" t="s">
        <v>1403</v>
      </c>
      <c r="B181" s="162">
        <v>48483</v>
      </c>
      <c r="C181" s="163" t="s">
        <v>1404</v>
      </c>
      <c r="D181" s="163">
        <v>0</v>
      </c>
      <c r="E181" s="164" t="s">
        <v>19</v>
      </c>
      <c r="F181" s="161" t="s">
        <v>1645</v>
      </c>
      <c r="G181" s="165">
        <v>30317</v>
      </c>
      <c r="H181" s="174">
        <v>43621</v>
      </c>
      <c r="I181" s="167">
        <v>5773688.8700000001</v>
      </c>
      <c r="J181" s="167">
        <v>770520.65</v>
      </c>
      <c r="K181" s="73"/>
      <c r="L181" s="169">
        <v>0.1479</v>
      </c>
      <c r="M181" s="85"/>
      <c r="N181" s="170">
        <v>14</v>
      </c>
      <c r="O181" s="170"/>
      <c r="P181" s="170"/>
      <c r="Q181" s="170"/>
      <c r="R181" s="161" t="s">
        <v>1633</v>
      </c>
      <c r="S181" s="162">
        <v>899999318</v>
      </c>
      <c r="T181" s="77">
        <v>20119888</v>
      </c>
      <c r="U181" s="78" t="s">
        <v>1771</v>
      </c>
      <c r="V181" s="73"/>
      <c r="W181" s="80">
        <v>1031779</v>
      </c>
    </row>
    <row r="182" spans="1:23" ht="15.6" x14ac:dyDescent="0.3">
      <c r="A182" s="161" t="s">
        <v>1468</v>
      </c>
      <c r="B182" s="162">
        <v>41454822</v>
      </c>
      <c r="C182" s="163" t="s">
        <v>1469</v>
      </c>
      <c r="D182" s="163">
        <v>0</v>
      </c>
      <c r="E182" s="164" t="s">
        <v>472</v>
      </c>
      <c r="F182" s="161" t="s">
        <v>1643</v>
      </c>
      <c r="G182" s="165">
        <v>38899</v>
      </c>
      <c r="H182" s="174"/>
      <c r="I182" s="167">
        <v>1578632.38</v>
      </c>
      <c r="J182" s="167">
        <v>210674.47</v>
      </c>
      <c r="K182" s="73"/>
      <c r="L182" s="169">
        <v>0.1023</v>
      </c>
      <c r="M182" s="75">
        <v>170795</v>
      </c>
      <c r="N182" s="170">
        <v>14</v>
      </c>
      <c r="O182" s="170"/>
      <c r="P182" s="170"/>
      <c r="Q182" s="170"/>
      <c r="R182" s="161" t="s">
        <v>1634</v>
      </c>
      <c r="S182" s="162">
        <v>899999450</v>
      </c>
      <c r="T182" s="77" t="s">
        <v>1881</v>
      </c>
      <c r="U182" s="78" t="s">
        <v>1881</v>
      </c>
      <c r="V182" s="73"/>
      <c r="W182" s="80">
        <v>407856</v>
      </c>
    </row>
    <row r="183" spans="1:23" ht="15.6" x14ac:dyDescent="0.3">
      <c r="A183" s="161" t="s">
        <v>831</v>
      </c>
      <c r="B183" s="162">
        <v>2023146</v>
      </c>
      <c r="C183" s="163" t="s">
        <v>832</v>
      </c>
      <c r="D183" s="163">
        <v>0</v>
      </c>
      <c r="E183" s="164" t="s">
        <v>19</v>
      </c>
      <c r="F183" s="161" t="s">
        <v>1645</v>
      </c>
      <c r="G183" s="165">
        <v>32143</v>
      </c>
      <c r="H183" s="174"/>
      <c r="I183" s="167">
        <v>0</v>
      </c>
      <c r="J183" s="167">
        <v>0</v>
      </c>
      <c r="K183" s="73"/>
      <c r="L183" s="169">
        <v>1.46E-2</v>
      </c>
      <c r="M183" s="75">
        <v>11801</v>
      </c>
      <c r="N183" s="170">
        <v>14</v>
      </c>
      <c r="O183" s="170"/>
      <c r="P183" s="170"/>
      <c r="Q183" s="170"/>
      <c r="R183" s="161" t="s">
        <v>1635</v>
      </c>
      <c r="S183" s="162">
        <v>899999814</v>
      </c>
      <c r="T183" s="77">
        <v>27929700</v>
      </c>
      <c r="U183" s="78" t="s">
        <v>1695</v>
      </c>
      <c r="V183" s="73"/>
      <c r="W183" s="80">
        <v>0</v>
      </c>
    </row>
    <row r="185" spans="1:23" ht="15.6" x14ac:dyDescent="0.3">
      <c r="A185" s="161" t="s">
        <v>494</v>
      </c>
      <c r="B185" s="162">
        <v>1918635</v>
      </c>
      <c r="C185" s="163" t="s">
        <v>495</v>
      </c>
      <c r="D185" s="163">
        <v>0</v>
      </c>
      <c r="E185" s="164" t="s">
        <v>472</v>
      </c>
      <c r="F185" s="161" t="s">
        <v>1645</v>
      </c>
      <c r="G185" s="165">
        <v>34060</v>
      </c>
      <c r="H185" s="166"/>
      <c r="I185" s="172">
        <v>887324.42</v>
      </c>
      <c r="J185" s="168">
        <v>118416.8</v>
      </c>
      <c r="K185" s="123" t="s">
        <v>1479</v>
      </c>
      <c r="L185" s="169">
        <v>3.6700000000000003E-2</v>
      </c>
      <c r="M185" s="75">
        <v>15492</v>
      </c>
      <c r="N185" s="170">
        <v>14</v>
      </c>
      <c r="O185" s="170">
        <v>0</v>
      </c>
      <c r="P185" s="175">
        <v>246135</v>
      </c>
      <c r="Q185" s="175">
        <v>284894</v>
      </c>
      <c r="R185" s="161" t="s">
        <v>1506</v>
      </c>
      <c r="S185" s="162">
        <v>800102838</v>
      </c>
      <c r="T185" s="77">
        <v>27576342</v>
      </c>
      <c r="U185" s="78" t="s">
        <v>1657</v>
      </c>
      <c r="V185" s="171"/>
      <c r="W185" s="80">
        <v>639025</v>
      </c>
    </row>
    <row r="186" spans="1:23" ht="15.6" x14ac:dyDescent="0.3">
      <c r="A186" s="177" t="s">
        <v>496</v>
      </c>
      <c r="B186" s="162">
        <v>13348376</v>
      </c>
      <c r="C186" s="163" t="s">
        <v>497</v>
      </c>
      <c r="D186" s="163">
        <v>0</v>
      </c>
      <c r="E186" s="164" t="s">
        <v>19</v>
      </c>
      <c r="F186" s="161" t="s">
        <v>1643</v>
      </c>
      <c r="G186" s="165">
        <v>39782</v>
      </c>
      <c r="H186" s="166"/>
      <c r="I186" s="167">
        <v>672854.22</v>
      </c>
      <c r="J186" s="168">
        <v>89794.95</v>
      </c>
      <c r="K186" s="123" t="s">
        <v>1479</v>
      </c>
      <c r="L186" s="169">
        <v>6.9800000000000001E-2</v>
      </c>
      <c r="M186" s="75">
        <v>101224</v>
      </c>
      <c r="N186" s="170">
        <v>14</v>
      </c>
      <c r="O186" s="170">
        <v>0</v>
      </c>
      <c r="P186" s="175">
        <v>131699</v>
      </c>
      <c r="Q186" s="175">
        <v>1647552</v>
      </c>
      <c r="R186" s="161" t="s">
        <v>1506</v>
      </c>
      <c r="S186" s="162">
        <v>800102838</v>
      </c>
      <c r="T186" s="77" t="s">
        <v>1881</v>
      </c>
      <c r="U186" s="78" t="s">
        <v>1881</v>
      </c>
      <c r="V186" s="171"/>
      <c r="W186" s="80">
        <v>254781</v>
      </c>
    </row>
    <row r="187" spans="1:23" ht="15.6" x14ac:dyDescent="0.3">
      <c r="A187" s="161" t="s">
        <v>642</v>
      </c>
      <c r="B187" s="178">
        <v>32412374</v>
      </c>
      <c r="C187" s="163" t="s">
        <v>643</v>
      </c>
      <c r="D187" s="163">
        <v>0</v>
      </c>
      <c r="E187" s="164" t="s">
        <v>472</v>
      </c>
      <c r="F187" s="161" t="s">
        <v>1643</v>
      </c>
      <c r="G187" s="165">
        <v>34700</v>
      </c>
      <c r="H187" s="166">
        <v>45222</v>
      </c>
      <c r="I187" s="167">
        <v>80104.240000000005</v>
      </c>
      <c r="J187" s="168">
        <v>10690.21</v>
      </c>
      <c r="K187" s="123" t="s">
        <v>1472</v>
      </c>
      <c r="L187" s="169">
        <v>6.1100000000000002E-2</v>
      </c>
      <c r="M187" s="85"/>
      <c r="N187" s="170">
        <v>14</v>
      </c>
      <c r="O187" s="170"/>
      <c r="P187" s="170"/>
      <c r="Q187" s="170"/>
      <c r="R187" s="161" t="s">
        <v>1515</v>
      </c>
      <c r="S187" s="162">
        <v>800114312</v>
      </c>
      <c r="T187" s="77" t="s">
        <v>1881</v>
      </c>
      <c r="U187" s="78" t="s">
        <v>1881</v>
      </c>
      <c r="V187" s="82"/>
      <c r="W187" s="80">
        <v>34651</v>
      </c>
    </row>
    <row r="188" spans="1:23" ht="15.6" x14ac:dyDescent="0.3">
      <c r="A188" s="161" t="s">
        <v>654</v>
      </c>
      <c r="B188" s="162">
        <v>33128453</v>
      </c>
      <c r="C188" s="163" t="s">
        <v>655</v>
      </c>
      <c r="D188" s="163">
        <v>0</v>
      </c>
      <c r="E188" s="164" t="s">
        <v>472</v>
      </c>
      <c r="F188" s="161" t="s">
        <v>1643</v>
      </c>
      <c r="G188" s="165">
        <v>38275</v>
      </c>
      <c r="H188" s="166">
        <v>45222</v>
      </c>
      <c r="I188" s="172">
        <v>1549583.89</v>
      </c>
      <c r="J188" s="168">
        <v>206797.84</v>
      </c>
      <c r="K188" s="123" t="s">
        <v>1490</v>
      </c>
      <c r="L188" s="169">
        <v>3.9699999999999999E-2</v>
      </c>
      <c r="M188" s="75">
        <v>18714</v>
      </c>
      <c r="N188" s="170">
        <v>14</v>
      </c>
      <c r="O188" s="170"/>
      <c r="P188" s="170"/>
      <c r="Q188" s="170"/>
      <c r="R188" s="161" t="s">
        <v>1521</v>
      </c>
      <c r="S188" s="162">
        <v>800231235</v>
      </c>
      <c r="T188" s="77" t="s">
        <v>1881</v>
      </c>
      <c r="U188" s="78" t="s">
        <v>1881</v>
      </c>
      <c r="V188" s="171"/>
      <c r="W188" s="80">
        <v>1031635</v>
      </c>
    </row>
    <row r="189" spans="1:23" ht="15.6" x14ac:dyDescent="0.3">
      <c r="A189" s="161" t="s">
        <v>656</v>
      </c>
      <c r="B189" s="162">
        <v>34523687</v>
      </c>
      <c r="C189" s="163" t="s">
        <v>657</v>
      </c>
      <c r="D189" s="163">
        <v>0</v>
      </c>
      <c r="E189" s="164" t="s">
        <v>472</v>
      </c>
      <c r="F189" s="161" t="s">
        <v>1643</v>
      </c>
      <c r="G189" s="165">
        <v>39539</v>
      </c>
      <c r="H189" s="166">
        <v>45222</v>
      </c>
      <c r="I189" s="172">
        <v>1477110.97</v>
      </c>
      <c r="J189" s="168">
        <v>197126.05</v>
      </c>
      <c r="K189" s="123" t="s">
        <v>1491</v>
      </c>
      <c r="L189" s="169">
        <v>6.4500000000000002E-2</v>
      </c>
      <c r="M189" s="75">
        <v>120659</v>
      </c>
      <c r="N189" s="170">
        <v>13</v>
      </c>
      <c r="O189" s="170"/>
      <c r="P189" s="170"/>
      <c r="Q189" s="170"/>
      <c r="R189" s="161" t="s">
        <v>1521</v>
      </c>
      <c r="S189" s="162">
        <v>800231235</v>
      </c>
      <c r="T189" s="77" t="s">
        <v>1881</v>
      </c>
      <c r="U189" s="78" t="s">
        <v>1881</v>
      </c>
      <c r="V189" s="171"/>
      <c r="W189" s="80">
        <v>605278</v>
      </c>
    </row>
    <row r="190" spans="1:23" ht="15.6" x14ac:dyDescent="0.3">
      <c r="A190" s="161" t="s">
        <v>668</v>
      </c>
      <c r="B190" s="162">
        <v>26412914</v>
      </c>
      <c r="C190" s="163" t="s">
        <v>669</v>
      </c>
      <c r="D190" s="163">
        <v>0</v>
      </c>
      <c r="E190" s="164" t="s">
        <v>19</v>
      </c>
      <c r="F190" s="161" t="s">
        <v>1643</v>
      </c>
      <c r="G190" s="165">
        <v>33178</v>
      </c>
      <c r="H190" s="166">
        <v>45222</v>
      </c>
      <c r="I190" s="172">
        <v>1080808.47</v>
      </c>
      <c r="J190" s="168">
        <v>144237.98000000001</v>
      </c>
      <c r="K190" s="123" t="s">
        <v>1471</v>
      </c>
      <c r="L190" s="169">
        <v>3.4000000000000002E-2</v>
      </c>
      <c r="M190" s="75">
        <v>5649</v>
      </c>
      <c r="N190" s="170">
        <v>14</v>
      </c>
      <c r="O190" s="170"/>
      <c r="P190" s="170"/>
      <c r="Q190" s="170"/>
      <c r="R190" s="161" t="s">
        <v>1527</v>
      </c>
      <c r="S190" s="162">
        <v>860015929</v>
      </c>
      <c r="T190" s="77" t="s">
        <v>1881</v>
      </c>
      <c r="U190" s="78" t="s">
        <v>1881</v>
      </c>
      <c r="V190" s="171"/>
      <c r="W190" s="80">
        <v>840178</v>
      </c>
    </row>
    <row r="191" spans="1:23" ht="15.6" x14ac:dyDescent="0.3">
      <c r="A191" s="161" t="s">
        <v>789</v>
      </c>
      <c r="B191" s="162">
        <v>7507931</v>
      </c>
      <c r="C191" s="163" t="s">
        <v>790</v>
      </c>
      <c r="D191" s="163">
        <v>0</v>
      </c>
      <c r="E191" s="164" t="s">
        <v>472</v>
      </c>
      <c r="F191" s="161" t="s">
        <v>1645</v>
      </c>
      <c r="G191" s="165">
        <v>38853</v>
      </c>
      <c r="H191" s="166">
        <v>40908</v>
      </c>
      <c r="I191" s="172">
        <v>2110420.54</v>
      </c>
      <c r="J191" s="168">
        <v>281643.62</v>
      </c>
      <c r="K191" s="125"/>
      <c r="L191" s="169">
        <v>7.4499999999999997E-2</v>
      </c>
      <c r="M191" s="75">
        <v>139492</v>
      </c>
      <c r="N191" s="170">
        <v>14</v>
      </c>
      <c r="O191" s="170"/>
      <c r="P191" s="170"/>
      <c r="Q191" s="170"/>
      <c r="R191" s="161" t="s">
        <v>1531</v>
      </c>
      <c r="S191" s="162">
        <v>890000441</v>
      </c>
      <c r="T191" s="77">
        <v>24486333</v>
      </c>
      <c r="U191" s="78" t="s">
        <v>1689</v>
      </c>
      <c r="V191" s="103"/>
      <c r="W191" s="80">
        <v>748711</v>
      </c>
    </row>
    <row r="192" spans="1:23" ht="15.6" x14ac:dyDescent="0.3">
      <c r="A192" s="161" t="s">
        <v>662</v>
      </c>
      <c r="B192" s="162">
        <v>37815104</v>
      </c>
      <c r="C192" s="163" t="s">
        <v>663</v>
      </c>
      <c r="D192" s="163">
        <v>0</v>
      </c>
      <c r="E192" s="164" t="s">
        <v>472</v>
      </c>
      <c r="F192" s="161" t="s">
        <v>1643</v>
      </c>
      <c r="G192" s="165">
        <v>39539</v>
      </c>
      <c r="H192" s="166">
        <v>40178</v>
      </c>
      <c r="I192" s="167">
        <v>2474025.7599999998</v>
      </c>
      <c r="J192" s="168">
        <v>323907.38</v>
      </c>
      <c r="K192" s="125"/>
      <c r="L192" s="169">
        <v>0.1545</v>
      </c>
      <c r="M192" s="75">
        <v>265448</v>
      </c>
      <c r="N192" s="170">
        <v>13</v>
      </c>
      <c r="O192" s="170">
        <v>0</v>
      </c>
      <c r="P192" s="175">
        <v>288299</v>
      </c>
      <c r="Q192" s="175">
        <v>1429809</v>
      </c>
      <c r="R192" s="161" t="s">
        <v>1547</v>
      </c>
      <c r="S192" s="162">
        <v>890206167</v>
      </c>
      <c r="T192" s="77" t="s">
        <v>1881</v>
      </c>
      <c r="U192" s="78" t="s">
        <v>1881</v>
      </c>
      <c r="V192" s="171"/>
      <c r="W192" s="80">
        <v>419356</v>
      </c>
    </row>
    <row r="193" spans="1:23" ht="15.6" x14ac:dyDescent="0.3">
      <c r="A193" s="161" t="s">
        <v>1183</v>
      </c>
      <c r="B193" s="162">
        <v>3309855</v>
      </c>
      <c r="C193" s="163" t="s">
        <v>1184</v>
      </c>
      <c r="D193" s="163">
        <v>0</v>
      </c>
      <c r="E193" s="164" t="s">
        <v>472</v>
      </c>
      <c r="F193" s="161" t="s">
        <v>1645</v>
      </c>
      <c r="G193" s="165">
        <v>29325</v>
      </c>
      <c r="H193" s="166">
        <v>44196</v>
      </c>
      <c r="I193" s="167">
        <v>0</v>
      </c>
      <c r="J193" s="168">
        <v>0</v>
      </c>
      <c r="K193" s="125"/>
      <c r="L193" s="169">
        <v>4.3999999999999997E-2</v>
      </c>
      <c r="M193" s="85">
        <v>973</v>
      </c>
      <c r="N193" s="170">
        <v>14</v>
      </c>
      <c r="O193" s="170"/>
      <c r="P193" s="170"/>
      <c r="Q193" s="170"/>
      <c r="R193" s="161" t="s">
        <v>1576</v>
      </c>
      <c r="S193" s="162">
        <v>890904996</v>
      </c>
      <c r="T193" s="77">
        <v>21265842</v>
      </c>
      <c r="U193" s="78" t="s">
        <v>1742</v>
      </c>
      <c r="V193" s="171"/>
      <c r="W193" s="80">
        <v>0</v>
      </c>
    </row>
    <row r="194" spans="1:23" ht="15.6" x14ac:dyDescent="0.3">
      <c r="A194" s="161" t="s">
        <v>1185</v>
      </c>
      <c r="B194" s="162">
        <v>6435800</v>
      </c>
      <c r="C194" s="163" t="s">
        <v>1186</v>
      </c>
      <c r="D194" s="163">
        <v>0</v>
      </c>
      <c r="E194" s="164" t="s">
        <v>472</v>
      </c>
      <c r="F194" s="161" t="s">
        <v>1643</v>
      </c>
      <c r="G194" s="165">
        <v>35033</v>
      </c>
      <c r="H194" s="166">
        <v>44561</v>
      </c>
      <c r="I194" s="167">
        <v>623843.88</v>
      </c>
      <c r="J194" s="168">
        <v>83254.33</v>
      </c>
      <c r="K194" s="125"/>
      <c r="L194" s="169">
        <v>4.2900000000000001E-2</v>
      </c>
      <c r="M194" s="75">
        <v>14225</v>
      </c>
      <c r="N194" s="170">
        <v>14</v>
      </c>
      <c r="O194" s="170"/>
      <c r="P194" s="170"/>
      <c r="Q194" s="170"/>
      <c r="R194" s="161" t="s">
        <v>1576</v>
      </c>
      <c r="S194" s="162">
        <v>890904996</v>
      </c>
      <c r="T194" s="77" t="s">
        <v>1881</v>
      </c>
      <c r="U194" s="78" t="s">
        <v>1881</v>
      </c>
      <c r="V194" s="171"/>
      <c r="W194" s="80">
        <v>384344</v>
      </c>
    </row>
    <row r="195" spans="1:23" ht="15.6" x14ac:dyDescent="0.3">
      <c r="A195" s="161" t="s">
        <v>1187</v>
      </c>
      <c r="B195" s="162">
        <v>6781718</v>
      </c>
      <c r="C195" s="163" t="s">
        <v>1134</v>
      </c>
      <c r="D195" s="163">
        <v>0</v>
      </c>
      <c r="E195" s="164" t="s">
        <v>592</v>
      </c>
      <c r="F195" s="161" t="s">
        <v>1645</v>
      </c>
      <c r="G195" s="165">
        <v>35905</v>
      </c>
      <c r="H195" s="166">
        <v>44561</v>
      </c>
      <c r="I195" s="167">
        <v>33488443.210000001</v>
      </c>
      <c r="J195" s="168">
        <v>4469159.63</v>
      </c>
      <c r="K195" s="125"/>
      <c r="L195" s="169">
        <v>0.23730000000000001</v>
      </c>
      <c r="M195" s="96">
        <v>609757</v>
      </c>
      <c r="N195" s="170">
        <v>14</v>
      </c>
      <c r="O195" s="170"/>
      <c r="P195" s="170"/>
      <c r="Q195" s="170"/>
      <c r="R195" s="161" t="s">
        <v>1576</v>
      </c>
      <c r="S195" s="162">
        <v>890904996</v>
      </c>
      <c r="T195" s="77" t="s">
        <v>1881</v>
      </c>
      <c r="U195" s="78" t="s">
        <v>1881</v>
      </c>
      <c r="V195" s="171"/>
      <c r="W195" s="80">
        <v>3729913</v>
      </c>
    </row>
    <row r="196" spans="1:23" ht="15.6" x14ac:dyDescent="0.3">
      <c r="A196" s="161" t="s">
        <v>1188</v>
      </c>
      <c r="B196" s="162">
        <v>8343098</v>
      </c>
      <c r="C196" s="163" t="s">
        <v>1189</v>
      </c>
      <c r="D196" s="163">
        <v>0</v>
      </c>
      <c r="E196" s="164" t="s">
        <v>472</v>
      </c>
      <c r="F196" s="161" t="s">
        <v>1643</v>
      </c>
      <c r="G196" s="165">
        <v>38899</v>
      </c>
      <c r="H196" s="166">
        <v>44196</v>
      </c>
      <c r="I196" s="172">
        <v>15902625.800000001</v>
      </c>
      <c r="J196" s="168">
        <v>2122265.67</v>
      </c>
      <c r="K196" s="125"/>
      <c r="L196" s="169">
        <v>0.1033</v>
      </c>
      <c r="M196" s="96">
        <v>824356</v>
      </c>
      <c r="N196" s="170">
        <v>1</v>
      </c>
      <c r="O196" s="170"/>
      <c r="P196" s="170"/>
      <c r="Q196" s="170"/>
      <c r="R196" s="161" t="s">
        <v>1576</v>
      </c>
      <c r="S196" s="162">
        <v>890904996</v>
      </c>
      <c r="T196" s="77" t="s">
        <v>1881</v>
      </c>
      <c r="U196" s="78" t="s">
        <v>1881</v>
      </c>
      <c r="V196" s="171"/>
      <c r="W196" s="80">
        <v>4068834.2607999998</v>
      </c>
    </row>
    <row r="197" spans="1:23" ht="15.6" x14ac:dyDescent="0.3">
      <c r="A197" s="161" t="s">
        <v>1190</v>
      </c>
      <c r="B197" s="162">
        <v>8276654</v>
      </c>
      <c r="C197" s="163" t="s">
        <v>1191</v>
      </c>
      <c r="D197" s="163">
        <v>0</v>
      </c>
      <c r="E197" s="164" t="s">
        <v>472</v>
      </c>
      <c r="F197" s="161" t="s">
        <v>1643</v>
      </c>
      <c r="G197" s="165">
        <v>38991</v>
      </c>
      <c r="H197" s="166"/>
      <c r="I197" s="167">
        <v>13748783.93</v>
      </c>
      <c r="J197" s="168">
        <v>1834827.31</v>
      </c>
      <c r="K197" s="125"/>
      <c r="L197" s="169">
        <v>0.52759999999999996</v>
      </c>
      <c r="M197" s="75">
        <v>358738</v>
      </c>
      <c r="N197" s="170">
        <v>14</v>
      </c>
      <c r="O197" s="170"/>
      <c r="P197" s="170"/>
      <c r="Q197" s="170"/>
      <c r="R197" s="161" t="s">
        <v>1576</v>
      </c>
      <c r="S197" s="162">
        <v>890904996</v>
      </c>
      <c r="T197" s="77" t="s">
        <v>1881</v>
      </c>
      <c r="U197" s="78" t="s">
        <v>1881</v>
      </c>
      <c r="V197" s="171"/>
      <c r="W197" s="80">
        <v>688749</v>
      </c>
    </row>
    <row r="198" spans="1:23" ht="15.6" x14ac:dyDescent="0.3">
      <c r="A198" s="161" t="s">
        <v>1120</v>
      </c>
      <c r="B198" s="162">
        <v>3329674</v>
      </c>
      <c r="C198" s="163" t="s">
        <v>1121</v>
      </c>
      <c r="D198" s="163">
        <v>0</v>
      </c>
      <c r="E198" s="164" t="s">
        <v>472</v>
      </c>
      <c r="F198" s="161" t="s">
        <v>1643</v>
      </c>
      <c r="G198" s="165">
        <v>34303</v>
      </c>
      <c r="H198" s="166">
        <v>44196</v>
      </c>
      <c r="I198" s="167">
        <v>13726390.75</v>
      </c>
      <c r="J198" s="168">
        <v>1831838.86</v>
      </c>
      <c r="K198" s="125"/>
      <c r="L198" s="169">
        <v>0.1095</v>
      </c>
      <c r="M198" s="75">
        <v>157187</v>
      </c>
      <c r="N198" s="170">
        <v>14</v>
      </c>
      <c r="O198" s="170"/>
      <c r="P198" s="170"/>
      <c r="Q198" s="170"/>
      <c r="R198" s="161" t="s">
        <v>1578</v>
      </c>
      <c r="S198" s="162">
        <v>890905065</v>
      </c>
      <c r="T198" s="77" t="s">
        <v>1881</v>
      </c>
      <c r="U198" s="78" t="s">
        <v>1881</v>
      </c>
      <c r="V198" s="171"/>
      <c r="W198" s="80">
        <v>3313170</v>
      </c>
    </row>
    <row r="199" spans="1:23" ht="15.6" x14ac:dyDescent="0.3">
      <c r="A199" s="161" t="s">
        <v>1194</v>
      </c>
      <c r="B199" s="162">
        <v>21264648</v>
      </c>
      <c r="C199" s="163" t="s">
        <v>1195</v>
      </c>
      <c r="D199" s="163">
        <v>0</v>
      </c>
      <c r="E199" s="164" t="s">
        <v>472</v>
      </c>
      <c r="F199" s="161" t="s">
        <v>1645</v>
      </c>
      <c r="G199" s="165">
        <v>30864</v>
      </c>
      <c r="H199" s="166">
        <v>44196</v>
      </c>
      <c r="I199" s="172">
        <v>16637020.5</v>
      </c>
      <c r="J199" s="168">
        <v>2220273.42</v>
      </c>
      <c r="K199" s="125"/>
      <c r="L199" s="169">
        <v>0.26540000000000002</v>
      </c>
      <c r="M199" s="75">
        <v>8604</v>
      </c>
      <c r="N199" s="170">
        <v>14</v>
      </c>
      <c r="O199" s="170"/>
      <c r="P199" s="170"/>
      <c r="Q199" s="170"/>
      <c r="R199" s="161" t="s">
        <v>1579</v>
      </c>
      <c r="S199" s="162">
        <v>890905166</v>
      </c>
      <c r="T199" s="77" t="s">
        <v>1881</v>
      </c>
      <c r="U199" s="78" t="s">
        <v>1881</v>
      </c>
      <c r="V199" s="171"/>
      <c r="W199" s="80">
        <v>1656823</v>
      </c>
    </row>
    <row r="200" spans="1:23" ht="15.6" x14ac:dyDescent="0.3">
      <c r="A200" s="161" t="s">
        <v>1196</v>
      </c>
      <c r="B200" s="162">
        <v>32327708</v>
      </c>
      <c r="C200" s="163" t="s">
        <v>1197</v>
      </c>
      <c r="D200" s="163">
        <v>0</v>
      </c>
      <c r="E200" s="164" t="s">
        <v>592</v>
      </c>
      <c r="F200" s="161" t="s">
        <v>1643</v>
      </c>
      <c r="G200" s="165">
        <v>35431</v>
      </c>
      <c r="H200" s="87">
        <v>41274</v>
      </c>
      <c r="I200" s="167">
        <v>811536.11</v>
      </c>
      <c r="J200" s="168">
        <v>108302.57</v>
      </c>
      <c r="K200" s="125"/>
      <c r="L200" s="169">
        <v>0.1002</v>
      </c>
      <c r="M200" s="75">
        <v>70653</v>
      </c>
      <c r="N200" s="170">
        <v>14</v>
      </c>
      <c r="O200" s="170"/>
      <c r="P200" s="170"/>
      <c r="Q200" s="170"/>
      <c r="R200" s="161" t="s">
        <v>1579</v>
      </c>
      <c r="S200" s="162">
        <v>890905166</v>
      </c>
      <c r="T200" s="77" t="s">
        <v>1881</v>
      </c>
      <c r="U200" s="78" t="s">
        <v>1881</v>
      </c>
      <c r="V200" s="171"/>
      <c r="W200" s="80">
        <v>214063</v>
      </c>
    </row>
    <row r="201" spans="1:23" ht="15.6" x14ac:dyDescent="0.3">
      <c r="A201" s="161" t="s">
        <v>1131</v>
      </c>
      <c r="B201" s="162">
        <v>32400861</v>
      </c>
      <c r="C201" s="163" t="s">
        <v>1132</v>
      </c>
      <c r="D201" s="163">
        <v>0</v>
      </c>
      <c r="E201" s="164" t="s">
        <v>592</v>
      </c>
      <c r="F201" s="161" t="s">
        <v>1643</v>
      </c>
      <c r="G201" s="165">
        <v>35796</v>
      </c>
      <c r="H201" s="166">
        <v>44196</v>
      </c>
      <c r="I201" s="172">
        <v>9852824.1600000001</v>
      </c>
      <c r="J201" s="168">
        <v>1314896.71</v>
      </c>
      <c r="K201" s="125"/>
      <c r="L201" s="169">
        <v>0.45900000000000002</v>
      </c>
      <c r="M201" s="75">
        <v>280848</v>
      </c>
      <c r="N201" s="170">
        <v>14</v>
      </c>
      <c r="O201" s="170"/>
      <c r="P201" s="170"/>
      <c r="Q201" s="170"/>
      <c r="R201" s="161" t="s">
        <v>1579</v>
      </c>
      <c r="S201" s="162">
        <v>890905166</v>
      </c>
      <c r="T201" s="77" t="s">
        <v>1881</v>
      </c>
      <c r="U201" s="78" t="s">
        <v>1881</v>
      </c>
      <c r="V201" s="171"/>
      <c r="W201" s="80">
        <v>567348</v>
      </c>
    </row>
    <row r="202" spans="1:23" ht="15.6" x14ac:dyDescent="0.3">
      <c r="A202" s="161" t="s">
        <v>1198</v>
      </c>
      <c r="B202" s="162">
        <v>32076761</v>
      </c>
      <c r="C202" s="163" t="s">
        <v>1199</v>
      </c>
      <c r="D202" s="163">
        <v>0</v>
      </c>
      <c r="E202" s="164" t="s">
        <v>592</v>
      </c>
      <c r="F202" s="161" t="s">
        <v>1643</v>
      </c>
      <c r="G202" s="165">
        <v>37073</v>
      </c>
      <c r="H202" s="166">
        <v>44196</v>
      </c>
      <c r="I202" s="172">
        <v>5762788.5599999996</v>
      </c>
      <c r="J202" s="168">
        <v>769065.97</v>
      </c>
      <c r="K202" s="125"/>
      <c r="L202" s="169">
        <v>0.1336</v>
      </c>
      <c r="M202" s="75">
        <v>142785</v>
      </c>
      <c r="N202" s="170">
        <v>14</v>
      </c>
      <c r="O202" s="170"/>
      <c r="P202" s="170"/>
      <c r="Q202" s="170"/>
      <c r="R202" s="161" t="s">
        <v>1579</v>
      </c>
      <c r="S202" s="162">
        <v>890905166</v>
      </c>
      <c r="T202" s="77" t="s">
        <v>1881</v>
      </c>
      <c r="U202" s="78" t="s">
        <v>1881</v>
      </c>
      <c r="V202" s="171"/>
      <c r="W202" s="80">
        <v>1140060</v>
      </c>
    </row>
    <row r="203" spans="1:23" ht="15.6" x14ac:dyDescent="0.3">
      <c r="A203" s="161" t="s">
        <v>1200</v>
      </c>
      <c r="B203" s="162">
        <v>9072993</v>
      </c>
      <c r="C203" s="163" t="s">
        <v>1201</v>
      </c>
      <c r="D203" s="163">
        <v>0</v>
      </c>
      <c r="E203" s="164" t="s">
        <v>19</v>
      </c>
      <c r="F203" s="161" t="s">
        <v>1643</v>
      </c>
      <c r="G203" s="165">
        <v>38839</v>
      </c>
      <c r="H203" s="166">
        <v>44196</v>
      </c>
      <c r="I203" s="167">
        <v>15800402.689999999</v>
      </c>
      <c r="J203" s="168">
        <v>2108623.6</v>
      </c>
      <c r="K203" s="125"/>
      <c r="L203" s="169">
        <v>9.98E-2</v>
      </c>
      <c r="M203" s="75">
        <v>178004</v>
      </c>
      <c r="N203" s="170">
        <v>1</v>
      </c>
      <c r="O203" s="170"/>
      <c r="P203" s="170"/>
      <c r="Q203" s="170"/>
      <c r="R203" s="161" t="s">
        <v>1579</v>
      </c>
      <c r="S203" s="162">
        <v>890905166</v>
      </c>
      <c r="T203" s="77" t="s">
        <v>1881</v>
      </c>
      <c r="U203" s="78" t="s">
        <v>1881</v>
      </c>
      <c r="V203" s="171"/>
      <c r="W203" s="80">
        <v>4184456.872</v>
      </c>
    </row>
    <row r="204" spans="1:23" ht="15.6" x14ac:dyDescent="0.3">
      <c r="A204" s="161" t="s">
        <v>1251</v>
      </c>
      <c r="B204" s="162">
        <v>29279203</v>
      </c>
      <c r="C204" s="163" t="s">
        <v>1252</v>
      </c>
      <c r="D204" s="163">
        <v>0</v>
      </c>
      <c r="E204" s="164" t="s">
        <v>472</v>
      </c>
      <c r="F204" s="161" t="s">
        <v>1643</v>
      </c>
      <c r="G204" s="165">
        <v>34700</v>
      </c>
      <c r="H204" s="166"/>
      <c r="I204" s="167">
        <v>5509960.0099999998</v>
      </c>
      <c r="J204" s="168">
        <v>735325.04</v>
      </c>
      <c r="K204" s="125"/>
      <c r="L204" s="169">
        <v>0.17760000000000001</v>
      </c>
      <c r="M204" s="75">
        <v>108726</v>
      </c>
      <c r="N204" s="170">
        <v>14</v>
      </c>
      <c r="O204" s="170"/>
      <c r="P204" s="170"/>
      <c r="Q204" s="170"/>
      <c r="R204" s="161" t="s">
        <v>1589</v>
      </c>
      <c r="S204" s="162">
        <v>891380033</v>
      </c>
      <c r="T204" s="77" t="s">
        <v>1881</v>
      </c>
      <c r="U204" s="78" t="s">
        <v>1881</v>
      </c>
      <c r="V204" s="171"/>
      <c r="W204" s="80">
        <v>819987</v>
      </c>
    </row>
    <row r="205" spans="1:23" ht="15.6" x14ac:dyDescent="0.3">
      <c r="A205" s="161" t="s">
        <v>1253</v>
      </c>
      <c r="B205" s="162">
        <v>6183479</v>
      </c>
      <c r="C205" s="163" t="s">
        <v>1254</v>
      </c>
      <c r="D205" s="163">
        <v>0</v>
      </c>
      <c r="E205" s="164" t="s">
        <v>19</v>
      </c>
      <c r="F205" s="161" t="s">
        <v>1643</v>
      </c>
      <c r="G205" s="165">
        <v>35796</v>
      </c>
      <c r="H205" s="174"/>
      <c r="I205" s="172">
        <v>3287927.58</v>
      </c>
      <c r="J205" s="168">
        <v>438786.39</v>
      </c>
      <c r="K205" s="125"/>
      <c r="L205" s="169">
        <v>0.222</v>
      </c>
      <c r="M205" s="75">
        <v>181576</v>
      </c>
      <c r="N205" s="170">
        <v>14</v>
      </c>
      <c r="O205" s="170"/>
      <c r="P205" s="170"/>
      <c r="Q205" s="170"/>
      <c r="R205" s="161" t="s">
        <v>1589</v>
      </c>
      <c r="S205" s="162">
        <v>891380033</v>
      </c>
      <c r="T205" s="77" t="s">
        <v>1881</v>
      </c>
      <c r="U205" s="78" t="s">
        <v>1881</v>
      </c>
      <c r="V205" s="171"/>
      <c r="W205" s="80">
        <v>391445</v>
      </c>
    </row>
    <row r="206" spans="1:23" ht="15.6" x14ac:dyDescent="0.3">
      <c r="A206" s="161" t="s">
        <v>1393</v>
      </c>
      <c r="B206" s="162">
        <v>98344</v>
      </c>
      <c r="C206" s="163" t="s">
        <v>1394</v>
      </c>
      <c r="D206" s="163">
        <v>0</v>
      </c>
      <c r="E206" s="164" t="s">
        <v>472</v>
      </c>
      <c r="F206" s="161" t="s">
        <v>1643</v>
      </c>
      <c r="G206" s="165">
        <v>29626</v>
      </c>
      <c r="H206" s="174"/>
      <c r="I206" s="167">
        <v>1550727.31</v>
      </c>
      <c r="J206" s="168">
        <v>206950.43</v>
      </c>
      <c r="K206" s="125"/>
      <c r="L206" s="169">
        <v>0.23469999999999999</v>
      </c>
      <c r="M206" s="75">
        <v>1703</v>
      </c>
      <c r="N206" s="170">
        <v>14</v>
      </c>
      <c r="O206" s="170"/>
      <c r="P206" s="170"/>
      <c r="Q206" s="170"/>
      <c r="R206" s="161" t="s">
        <v>1627</v>
      </c>
      <c r="S206" s="162">
        <v>899999082</v>
      </c>
      <c r="T206" s="77" t="s">
        <v>1881</v>
      </c>
      <c r="U206" s="78" t="s">
        <v>1881</v>
      </c>
      <c r="V206" s="171"/>
      <c r="W206" s="80">
        <v>174632</v>
      </c>
    </row>
    <row r="207" spans="1:23" ht="15.6" x14ac:dyDescent="0.3">
      <c r="A207" s="161" t="s">
        <v>1395</v>
      </c>
      <c r="B207" s="162">
        <v>2857421</v>
      </c>
      <c r="C207" s="163" t="s">
        <v>1396</v>
      </c>
      <c r="D207" s="163">
        <v>0</v>
      </c>
      <c r="E207" s="164" t="s">
        <v>472</v>
      </c>
      <c r="F207" s="161" t="s">
        <v>1645</v>
      </c>
      <c r="G207" s="165">
        <v>30682</v>
      </c>
      <c r="H207" s="174"/>
      <c r="I207" s="167">
        <v>0</v>
      </c>
      <c r="J207" s="168">
        <v>0</v>
      </c>
      <c r="K207" s="127"/>
      <c r="L207" s="169">
        <v>0.54790000000000005</v>
      </c>
      <c r="M207" s="75">
        <v>21110</v>
      </c>
      <c r="N207" s="170">
        <v>14</v>
      </c>
      <c r="O207" s="170"/>
      <c r="P207" s="170"/>
      <c r="Q207" s="170"/>
      <c r="R207" s="161" t="s">
        <v>1627</v>
      </c>
      <c r="S207" s="162">
        <v>899999082</v>
      </c>
      <c r="T207" s="77">
        <v>20032324</v>
      </c>
      <c r="U207" s="78" t="s">
        <v>1767</v>
      </c>
      <c r="V207" s="171"/>
      <c r="W207" s="80">
        <v>0</v>
      </c>
    </row>
    <row r="209" spans="7:10" x14ac:dyDescent="0.3">
      <c r="G209" s="159"/>
      <c r="H209" s="159"/>
      <c r="I209" s="159" t="s">
        <v>1784</v>
      </c>
      <c r="J209" s="159" t="s">
        <v>1785</v>
      </c>
    </row>
    <row r="210" spans="7:10" x14ac:dyDescent="0.3">
      <c r="G210" s="159" t="s">
        <v>1877</v>
      </c>
      <c r="H210" s="159" t="s">
        <v>1878</v>
      </c>
      <c r="I210" s="179">
        <v>5174979299.9399977</v>
      </c>
      <c r="J210" s="179">
        <v>690614334.13</v>
      </c>
    </row>
    <row r="211" spans="7:10" x14ac:dyDescent="0.3">
      <c r="I211" s="180"/>
      <c r="J211" s="180"/>
    </row>
    <row r="212" spans="7:10" x14ac:dyDescent="0.3">
      <c r="I212" s="180"/>
      <c r="J212" s="18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3DAE5-44EB-41AB-B16A-3C8D575E2516}">
  <sheetPr codeName="Hoja4" filterMode="1"/>
  <dimension ref="A2:W449"/>
  <sheetViews>
    <sheetView topLeftCell="A307" zoomScale="62" zoomScaleNormal="62" workbookViewId="0">
      <selection activeCell="A319" sqref="A319:W386"/>
    </sheetView>
  </sheetViews>
  <sheetFormatPr baseColWidth="10" defaultRowHeight="14.4" x14ac:dyDescent="0.3"/>
  <cols>
    <col min="1" max="1" width="36.88671875" bestFit="1" customWidth="1"/>
    <col min="2" max="2" width="12.33203125" bestFit="1" customWidth="1"/>
    <col min="7" max="8" width="12.33203125" bestFit="1" customWidth="1"/>
    <col min="9" max="9" width="18" bestFit="1" customWidth="1"/>
    <col min="10" max="10" width="16.5546875" bestFit="1" customWidth="1"/>
    <col min="18" max="18" width="43.21875" customWidth="1"/>
    <col min="19" max="19" width="13.5546875" bestFit="1" customWidth="1"/>
    <col min="23" max="23" width="12.33203125" bestFit="1" customWidth="1"/>
  </cols>
  <sheetData>
    <row r="2" spans="1:23" ht="15.6" hidden="1" x14ac:dyDescent="0.3">
      <c r="A2" s="67" t="s">
        <v>1215</v>
      </c>
      <c r="B2" s="69">
        <v>21360804</v>
      </c>
      <c r="C2" s="69" t="s">
        <v>1216</v>
      </c>
      <c r="D2" s="69">
        <v>0</v>
      </c>
      <c r="E2" s="70" t="s">
        <v>472</v>
      </c>
      <c r="F2" s="67" t="s">
        <v>1645</v>
      </c>
      <c r="G2" s="71">
        <v>36494</v>
      </c>
      <c r="H2" s="72">
        <v>44196</v>
      </c>
      <c r="I2" s="133">
        <v>0</v>
      </c>
      <c r="J2" s="134">
        <v>0</v>
      </c>
      <c r="K2" s="125"/>
      <c r="L2" s="74">
        <v>0.18329999999999999</v>
      </c>
      <c r="M2" s="75">
        <v>155631</v>
      </c>
      <c r="N2" s="76">
        <v>14</v>
      </c>
      <c r="O2" s="76"/>
      <c r="P2" s="76"/>
      <c r="Q2" s="76"/>
      <c r="R2" s="67" t="s">
        <v>1580</v>
      </c>
      <c r="S2" s="68">
        <v>890905211</v>
      </c>
      <c r="T2" s="77"/>
      <c r="U2" s="78"/>
      <c r="V2" s="82"/>
      <c r="W2" s="80">
        <v>0</v>
      </c>
    </row>
    <row r="3" spans="1:23" ht="15.6" hidden="1" x14ac:dyDescent="0.3">
      <c r="A3" s="67" t="s">
        <v>959</v>
      </c>
      <c r="B3" s="69">
        <v>2413007</v>
      </c>
      <c r="C3" s="69" t="s">
        <v>960</v>
      </c>
      <c r="D3" s="69">
        <v>0</v>
      </c>
      <c r="E3" s="70" t="s">
        <v>472</v>
      </c>
      <c r="F3" s="67" t="s">
        <v>1645</v>
      </c>
      <c r="G3" s="71">
        <v>26307</v>
      </c>
      <c r="H3" s="72">
        <v>44889</v>
      </c>
      <c r="I3" s="133">
        <v>0</v>
      </c>
      <c r="J3" s="134">
        <v>0</v>
      </c>
      <c r="K3" s="125"/>
      <c r="L3" s="74">
        <v>0.92130000000000001</v>
      </c>
      <c r="M3" s="75">
        <v>2193</v>
      </c>
      <c r="N3" s="76">
        <v>14</v>
      </c>
      <c r="O3" s="76"/>
      <c r="P3" s="76"/>
      <c r="Q3" s="76"/>
      <c r="R3" s="67" t="s">
        <v>1556</v>
      </c>
      <c r="S3" s="68">
        <v>890399029</v>
      </c>
      <c r="T3" s="77">
        <v>29072622</v>
      </c>
      <c r="U3" s="78" t="s">
        <v>1711</v>
      </c>
      <c r="V3" s="81"/>
      <c r="W3" s="80">
        <v>0</v>
      </c>
    </row>
    <row r="4" spans="1:23" ht="15.6" hidden="1" x14ac:dyDescent="0.3">
      <c r="A4" s="67" t="s">
        <v>542</v>
      </c>
      <c r="B4" s="69">
        <v>27071358</v>
      </c>
      <c r="C4" s="69" t="s">
        <v>543</v>
      </c>
      <c r="D4" s="69">
        <v>0</v>
      </c>
      <c r="E4" s="70" t="s">
        <v>19</v>
      </c>
      <c r="F4" s="67" t="s">
        <v>1645</v>
      </c>
      <c r="G4" s="71">
        <v>34700</v>
      </c>
      <c r="H4" s="72"/>
      <c r="I4" s="135">
        <v>0</v>
      </c>
      <c r="J4" s="134">
        <v>0</v>
      </c>
      <c r="K4" s="123" t="s">
        <v>1470</v>
      </c>
      <c r="L4" s="74">
        <v>0.15479999999999999</v>
      </c>
      <c r="M4" s="75">
        <v>61025</v>
      </c>
      <c r="N4" s="76">
        <v>14</v>
      </c>
      <c r="O4" s="76">
        <v>0</v>
      </c>
      <c r="P4" s="83">
        <v>163021</v>
      </c>
      <c r="Q4" s="83">
        <v>899195</v>
      </c>
      <c r="R4" s="67" t="s">
        <v>1510</v>
      </c>
      <c r="S4" s="68">
        <v>800103923</v>
      </c>
      <c r="T4" s="77">
        <v>27051940</v>
      </c>
      <c r="U4" s="78" t="s">
        <v>1665</v>
      </c>
      <c r="V4" s="81"/>
      <c r="W4" s="80">
        <v>0</v>
      </c>
    </row>
    <row r="5" spans="1:23" ht="15.6" hidden="1" x14ac:dyDescent="0.3">
      <c r="A5" s="67" t="s">
        <v>708</v>
      </c>
      <c r="B5" s="69">
        <v>20243864</v>
      </c>
      <c r="C5" s="69" t="s">
        <v>709</v>
      </c>
      <c r="D5" s="69">
        <v>0</v>
      </c>
      <c r="E5" s="70" t="s">
        <v>592</v>
      </c>
      <c r="F5" s="67" t="s">
        <v>1645</v>
      </c>
      <c r="G5" s="71">
        <v>35431</v>
      </c>
      <c r="H5" s="72"/>
      <c r="I5" s="133">
        <v>0</v>
      </c>
      <c r="J5" s="134">
        <v>0</v>
      </c>
      <c r="K5" s="125"/>
      <c r="L5" s="74">
        <v>3.6499999999999998E-2</v>
      </c>
      <c r="M5" s="75">
        <v>45006</v>
      </c>
      <c r="N5" s="76">
        <v>14</v>
      </c>
      <c r="O5" s="76"/>
      <c r="P5" s="76"/>
      <c r="Q5" s="76"/>
      <c r="R5" s="67" t="s">
        <v>1528</v>
      </c>
      <c r="S5" s="68">
        <v>860041163</v>
      </c>
      <c r="T5" s="77"/>
      <c r="U5" s="78"/>
      <c r="V5" s="81"/>
      <c r="W5" s="80">
        <v>0</v>
      </c>
    </row>
    <row r="6" spans="1:23" ht="15.6" hidden="1" x14ac:dyDescent="0.3">
      <c r="A6" s="67" t="s">
        <v>1202</v>
      </c>
      <c r="B6" s="69">
        <v>512201</v>
      </c>
      <c r="C6" s="69" t="s">
        <v>1203</v>
      </c>
      <c r="D6" s="69">
        <v>0</v>
      </c>
      <c r="E6" s="70" t="s">
        <v>472</v>
      </c>
      <c r="F6" s="67" t="s">
        <v>1645</v>
      </c>
      <c r="G6" s="71">
        <v>22553</v>
      </c>
      <c r="H6" s="72">
        <v>44196</v>
      </c>
      <c r="I6" s="133">
        <v>0</v>
      </c>
      <c r="J6" s="134">
        <v>0</v>
      </c>
      <c r="K6" s="125"/>
      <c r="L6" s="74">
        <v>0.17580000000000001</v>
      </c>
      <c r="M6" s="75">
        <v>3709</v>
      </c>
      <c r="N6" s="76">
        <v>14</v>
      </c>
      <c r="O6" s="76"/>
      <c r="P6" s="76"/>
      <c r="Q6" s="76"/>
      <c r="R6" s="67" t="s">
        <v>1580</v>
      </c>
      <c r="S6" s="68">
        <v>890905211</v>
      </c>
      <c r="T6" s="77">
        <v>32429096</v>
      </c>
      <c r="U6" s="78" t="s">
        <v>1743</v>
      </c>
      <c r="V6" s="81"/>
      <c r="W6" s="80">
        <v>0</v>
      </c>
    </row>
    <row r="7" spans="1:23" ht="15.6" hidden="1" x14ac:dyDescent="0.3">
      <c r="A7" s="67" t="s">
        <v>548</v>
      </c>
      <c r="B7" s="69">
        <v>126975</v>
      </c>
      <c r="C7" s="69" t="s">
        <v>549</v>
      </c>
      <c r="D7" s="69">
        <v>0</v>
      </c>
      <c r="E7" s="70" t="s">
        <v>19</v>
      </c>
      <c r="F7" s="67" t="s">
        <v>1645</v>
      </c>
      <c r="G7" s="71">
        <v>31667</v>
      </c>
      <c r="H7" s="72"/>
      <c r="I7" s="133">
        <v>556608.37</v>
      </c>
      <c r="J7" s="134">
        <v>85787.55</v>
      </c>
      <c r="K7" s="123" t="s">
        <v>1486</v>
      </c>
      <c r="L7" s="74">
        <v>0.11890000000000001</v>
      </c>
      <c r="M7" s="75">
        <v>16213</v>
      </c>
      <c r="N7" s="76">
        <v>14</v>
      </c>
      <c r="O7" s="76"/>
      <c r="P7" s="76"/>
      <c r="Q7" s="76"/>
      <c r="R7" s="67" t="s">
        <v>1511</v>
      </c>
      <c r="S7" s="68">
        <v>800103927</v>
      </c>
      <c r="T7" s="77">
        <v>27583387</v>
      </c>
      <c r="U7" s="78" t="s">
        <v>1666</v>
      </c>
      <c r="V7" s="81"/>
      <c r="W7" s="80">
        <v>128383</v>
      </c>
    </row>
    <row r="8" spans="1:23" ht="15.6" hidden="1" x14ac:dyDescent="0.3">
      <c r="A8" s="67" t="s">
        <v>1249</v>
      </c>
      <c r="B8" s="69">
        <v>14979212</v>
      </c>
      <c r="C8" s="69" t="s">
        <v>1250</v>
      </c>
      <c r="D8" s="69">
        <v>0</v>
      </c>
      <c r="E8" s="70" t="s">
        <v>19</v>
      </c>
      <c r="F8" s="67" t="s">
        <v>1645</v>
      </c>
      <c r="G8" s="71">
        <v>39753</v>
      </c>
      <c r="H8" s="72"/>
      <c r="I8" s="135">
        <v>0</v>
      </c>
      <c r="J8" s="134">
        <v>0</v>
      </c>
      <c r="K8" s="125"/>
      <c r="L8" s="74">
        <v>4.2999999999999997E-2</v>
      </c>
      <c r="M8" s="75">
        <v>79655</v>
      </c>
      <c r="N8" s="76">
        <v>13</v>
      </c>
      <c r="O8" s="76"/>
      <c r="P8" s="76"/>
      <c r="Q8" s="76"/>
      <c r="R8" s="67" t="s">
        <v>1588</v>
      </c>
      <c r="S8" s="68">
        <v>891380007</v>
      </c>
      <c r="T8" s="77"/>
      <c r="U8" s="78"/>
      <c r="V8" s="81"/>
      <c r="W8" s="80">
        <v>0</v>
      </c>
    </row>
    <row r="9" spans="1:23" ht="15.6" hidden="1" x14ac:dyDescent="0.3">
      <c r="A9" s="67" t="s">
        <v>1117</v>
      </c>
      <c r="B9" s="69">
        <v>21637203</v>
      </c>
      <c r="C9" s="69" t="s">
        <v>1118</v>
      </c>
      <c r="D9" s="69">
        <v>0</v>
      </c>
      <c r="E9" s="70" t="s">
        <v>1119</v>
      </c>
      <c r="F9" s="67" t="s">
        <v>1645</v>
      </c>
      <c r="G9" s="71">
        <v>34090</v>
      </c>
      <c r="H9" s="72">
        <v>39447</v>
      </c>
      <c r="I9" s="133">
        <v>0</v>
      </c>
      <c r="J9" s="134">
        <v>0</v>
      </c>
      <c r="K9" s="125"/>
      <c r="L9" s="74">
        <v>9.8100000000000007E-2</v>
      </c>
      <c r="M9" s="75">
        <v>42022</v>
      </c>
      <c r="N9" s="76">
        <v>14</v>
      </c>
      <c r="O9" s="105">
        <v>0.08</v>
      </c>
      <c r="P9" s="83">
        <v>428317</v>
      </c>
      <c r="Q9" s="76"/>
      <c r="R9" s="67" t="s">
        <v>1574</v>
      </c>
      <c r="S9" s="68">
        <v>890900286</v>
      </c>
      <c r="T9" s="77">
        <v>3336864</v>
      </c>
      <c r="U9" s="78" t="s">
        <v>1740</v>
      </c>
      <c r="V9" s="81"/>
      <c r="W9" s="80">
        <v>0</v>
      </c>
    </row>
    <row r="10" spans="1:23" ht="15.6" hidden="1" x14ac:dyDescent="0.3">
      <c r="A10" s="67" t="s">
        <v>1280</v>
      </c>
      <c r="B10" s="69">
        <v>17160721</v>
      </c>
      <c r="C10" s="69" t="s">
        <v>1281</v>
      </c>
      <c r="D10" s="69">
        <v>0</v>
      </c>
      <c r="E10" s="70" t="s">
        <v>19</v>
      </c>
      <c r="F10" s="67" t="s">
        <v>1645</v>
      </c>
      <c r="G10" s="71">
        <v>37841</v>
      </c>
      <c r="H10" s="119"/>
      <c r="I10" s="133">
        <v>0</v>
      </c>
      <c r="J10" s="134">
        <v>0</v>
      </c>
      <c r="K10" s="125"/>
      <c r="L10" s="74">
        <v>0.20530000000000001</v>
      </c>
      <c r="M10" s="75">
        <v>192775</v>
      </c>
      <c r="N10" s="76">
        <v>14</v>
      </c>
      <c r="O10" s="76"/>
      <c r="P10" s="76"/>
      <c r="Q10" s="76"/>
      <c r="R10" s="67" t="s">
        <v>1599</v>
      </c>
      <c r="S10" s="68">
        <v>891580016</v>
      </c>
      <c r="T10" s="77">
        <v>24627735</v>
      </c>
      <c r="U10" s="78" t="s">
        <v>1756</v>
      </c>
      <c r="V10" s="82"/>
      <c r="W10" s="80">
        <v>0</v>
      </c>
    </row>
    <row r="11" spans="1:23" ht="15.6" hidden="1" x14ac:dyDescent="0.3">
      <c r="A11" s="67" t="s">
        <v>476</v>
      </c>
      <c r="B11" s="69">
        <v>6568972</v>
      </c>
      <c r="C11" s="69" t="s">
        <v>477</v>
      </c>
      <c r="D11" s="69">
        <v>0</v>
      </c>
      <c r="E11" s="70" t="s">
        <v>472</v>
      </c>
      <c r="F11" s="67" t="s">
        <v>1645</v>
      </c>
      <c r="G11" s="71">
        <v>30072</v>
      </c>
      <c r="H11" s="72"/>
      <c r="I11" s="133">
        <v>0</v>
      </c>
      <c r="J11" s="134">
        <v>0</v>
      </c>
      <c r="K11" s="123" t="s">
        <v>1474</v>
      </c>
      <c r="L11" s="74">
        <v>0.21609999999999999</v>
      </c>
      <c r="M11" s="75">
        <v>7069</v>
      </c>
      <c r="N11" s="76">
        <v>14</v>
      </c>
      <c r="O11" s="76"/>
      <c r="P11" s="76"/>
      <c r="Q11" s="76"/>
      <c r="R11" s="67" t="s">
        <v>1497</v>
      </c>
      <c r="S11" s="68">
        <v>800096734</v>
      </c>
      <c r="T11" s="77">
        <v>25763495</v>
      </c>
      <c r="U11" s="78" t="s">
        <v>1649</v>
      </c>
      <c r="V11" s="81"/>
      <c r="W11" s="80">
        <v>0</v>
      </c>
    </row>
    <row r="12" spans="1:23" ht="15.6" hidden="1" x14ac:dyDescent="0.3">
      <c r="A12" s="67" t="s">
        <v>1288</v>
      </c>
      <c r="B12" s="69">
        <v>116065</v>
      </c>
      <c r="C12" s="69" t="s">
        <v>1289</v>
      </c>
      <c r="D12" s="69">
        <v>0</v>
      </c>
      <c r="E12" s="70" t="s">
        <v>19</v>
      </c>
      <c r="F12" s="67" t="s">
        <v>1645</v>
      </c>
      <c r="G12" s="71">
        <v>32192</v>
      </c>
      <c r="H12" s="119"/>
      <c r="I12" s="133">
        <v>0</v>
      </c>
      <c r="J12" s="134">
        <v>0</v>
      </c>
      <c r="K12" s="125"/>
      <c r="L12" s="74">
        <v>0.441</v>
      </c>
      <c r="M12" s="75">
        <v>11306</v>
      </c>
      <c r="N12" s="76">
        <v>14</v>
      </c>
      <c r="O12" s="76"/>
      <c r="P12" s="76"/>
      <c r="Q12" s="76"/>
      <c r="R12" s="67" t="s">
        <v>1600</v>
      </c>
      <c r="S12" s="68">
        <v>891680010</v>
      </c>
      <c r="T12" s="77"/>
      <c r="U12" s="78"/>
      <c r="V12" s="81"/>
      <c r="W12" s="80">
        <v>0</v>
      </c>
    </row>
    <row r="13" spans="1:23" ht="15.6" x14ac:dyDescent="0.3">
      <c r="A13" s="67" t="s">
        <v>1051</v>
      </c>
      <c r="B13" s="69">
        <v>13229043</v>
      </c>
      <c r="C13" s="69" t="s">
        <v>1052</v>
      </c>
      <c r="D13" s="69">
        <v>0</v>
      </c>
      <c r="E13" s="70" t="s">
        <v>472</v>
      </c>
      <c r="F13" s="67" t="s">
        <v>1643</v>
      </c>
      <c r="G13" s="71">
        <v>39416</v>
      </c>
      <c r="H13" s="72"/>
      <c r="I13" s="133">
        <v>0</v>
      </c>
      <c r="J13" s="134">
        <v>0</v>
      </c>
      <c r="K13" s="129"/>
      <c r="L13" s="74">
        <v>2.4500000000000001E-2</v>
      </c>
      <c r="M13" s="75">
        <v>45596</v>
      </c>
      <c r="N13" s="76">
        <v>1</v>
      </c>
      <c r="O13" s="76"/>
      <c r="P13" s="76"/>
      <c r="Q13" s="76"/>
      <c r="R13" s="67" t="s">
        <v>1565</v>
      </c>
      <c r="S13" s="68">
        <v>890501434</v>
      </c>
      <c r="T13" s="77"/>
      <c r="U13" s="78"/>
      <c r="V13" s="81"/>
      <c r="W13" s="80">
        <v>0</v>
      </c>
    </row>
    <row r="14" spans="1:23" ht="15.6" x14ac:dyDescent="0.3">
      <c r="A14" s="67" t="s">
        <v>1188</v>
      </c>
      <c r="B14" s="69">
        <v>8343098</v>
      </c>
      <c r="C14" s="69" t="s">
        <v>1189</v>
      </c>
      <c r="D14" s="69">
        <v>0</v>
      </c>
      <c r="E14" s="70" t="s">
        <v>472</v>
      </c>
      <c r="F14" s="67" t="s">
        <v>1643</v>
      </c>
      <c r="G14" s="71">
        <v>38899</v>
      </c>
      <c r="H14" s="72">
        <v>44196</v>
      </c>
      <c r="I14" s="133">
        <v>0</v>
      </c>
      <c r="J14" s="134">
        <v>0</v>
      </c>
      <c r="K14" s="125"/>
      <c r="L14" s="74">
        <v>0.1033</v>
      </c>
      <c r="M14" s="75">
        <v>824356</v>
      </c>
      <c r="N14" s="76">
        <v>1</v>
      </c>
      <c r="O14" s="76"/>
      <c r="P14" s="76"/>
      <c r="Q14" s="76"/>
      <c r="R14" s="67" t="s">
        <v>1576</v>
      </c>
      <c r="S14" s="68">
        <v>890904996</v>
      </c>
      <c r="T14" s="77"/>
      <c r="U14" s="78"/>
      <c r="V14" s="81"/>
      <c r="W14" s="80">
        <v>0</v>
      </c>
    </row>
    <row r="15" spans="1:23" ht="15.6" x14ac:dyDescent="0.3">
      <c r="A15" s="67" t="s">
        <v>1231</v>
      </c>
      <c r="B15" s="69">
        <v>8343098</v>
      </c>
      <c r="C15" s="69" t="s">
        <v>1232</v>
      </c>
      <c r="D15" s="69">
        <v>0</v>
      </c>
      <c r="E15" s="70" t="s">
        <v>472</v>
      </c>
      <c r="F15" s="67" t="s">
        <v>1643</v>
      </c>
      <c r="G15" s="71">
        <v>38899</v>
      </c>
      <c r="H15" s="72">
        <v>44196</v>
      </c>
      <c r="I15" s="133">
        <v>0</v>
      </c>
      <c r="J15" s="134">
        <v>0</v>
      </c>
      <c r="K15" s="125"/>
      <c r="L15" s="74">
        <v>0.1033</v>
      </c>
      <c r="M15" s="75">
        <v>179156</v>
      </c>
      <c r="N15" s="76">
        <v>1</v>
      </c>
      <c r="O15" s="76"/>
      <c r="P15" s="76"/>
      <c r="Q15" s="76"/>
      <c r="R15" s="67" t="s">
        <v>1580</v>
      </c>
      <c r="S15" s="68">
        <v>890905211</v>
      </c>
      <c r="T15" s="77"/>
      <c r="U15" s="78"/>
      <c r="V15" s="81"/>
      <c r="W15" s="80">
        <v>0</v>
      </c>
    </row>
    <row r="16" spans="1:23" ht="15.6" hidden="1" x14ac:dyDescent="0.3">
      <c r="A16" s="67" t="s">
        <v>886</v>
      </c>
      <c r="B16" s="69">
        <v>5644931</v>
      </c>
      <c r="C16" s="69" t="s">
        <v>887</v>
      </c>
      <c r="D16" s="69">
        <v>0</v>
      </c>
      <c r="E16" s="70" t="s">
        <v>472</v>
      </c>
      <c r="F16" s="67" t="s">
        <v>1643</v>
      </c>
      <c r="G16" s="71">
        <v>39783</v>
      </c>
      <c r="H16" s="72">
        <v>40178</v>
      </c>
      <c r="I16" s="133">
        <v>22213357.68</v>
      </c>
      <c r="J16" s="134">
        <v>3344527.4</v>
      </c>
      <c r="K16" s="125"/>
      <c r="L16" s="74">
        <v>0.32290000000000002</v>
      </c>
      <c r="M16" s="75">
        <v>182250</v>
      </c>
      <c r="N16" s="76">
        <v>13</v>
      </c>
      <c r="O16" s="76"/>
      <c r="P16" s="76"/>
      <c r="Q16" s="76"/>
      <c r="R16" s="67" t="s">
        <v>1545</v>
      </c>
      <c r="S16" s="68">
        <v>890204802</v>
      </c>
      <c r="T16" s="77"/>
      <c r="U16" s="78"/>
      <c r="V16" s="81"/>
      <c r="W16" s="80">
        <v>1664260</v>
      </c>
    </row>
    <row r="17" spans="1:23" ht="15.6" hidden="1" x14ac:dyDescent="0.3">
      <c r="A17" s="67" t="s">
        <v>560</v>
      </c>
      <c r="B17" s="69">
        <v>37215990</v>
      </c>
      <c r="C17" s="69" t="s">
        <v>561</v>
      </c>
      <c r="D17" s="69">
        <v>0</v>
      </c>
      <c r="E17" s="70" t="s">
        <v>472</v>
      </c>
      <c r="F17" s="67" t="s">
        <v>1645</v>
      </c>
      <c r="G17" s="71">
        <v>36054</v>
      </c>
      <c r="H17" s="72"/>
      <c r="I17" s="135">
        <v>0</v>
      </c>
      <c r="J17" s="134">
        <v>0</v>
      </c>
      <c r="K17" s="123" t="s">
        <v>1483</v>
      </c>
      <c r="L17" s="74">
        <v>0.1116</v>
      </c>
      <c r="M17" s="75">
        <v>83974</v>
      </c>
      <c r="N17" s="76">
        <v>14</v>
      </c>
      <c r="O17" s="76"/>
      <c r="P17" s="76"/>
      <c r="Q17" s="76"/>
      <c r="R17" s="67" t="s">
        <v>1511</v>
      </c>
      <c r="S17" s="68">
        <v>800103927</v>
      </c>
      <c r="T17" s="77"/>
      <c r="U17" s="78"/>
      <c r="V17" s="81"/>
      <c r="W17" s="80">
        <v>0</v>
      </c>
    </row>
    <row r="18" spans="1:23" ht="15.6" hidden="1" x14ac:dyDescent="0.3">
      <c r="A18" s="67" t="s">
        <v>526</v>
      </c>
      <c r="B18" s="69">
        <v>934240</v>
      </c>
      <c r="C18" s="69" t="s">
        <v>527</v>
      </c>
      <c r="D18" s="69">
        <v>0</v>
      </c>
      <c r="E18" s="70" t="s">
        <v>19</v>
      </c>
      <c r="F18" s="67" t="s">
        <v>1645</v>
      </c>
      <c r="G18" s="71">
        <v>30317</v>
      </c>
      <c r="H18" s="72">
        <v>42004</v>
      </c>
      <c r="I18" s="135">
        <v>0</v>
      </c>
      <c r="J18" s="134">
        <v>0</v>
      </c>
      <c r="K18" s="123" t="s">
        <v>1475</v>
      </c>
      <c r="L18" s="74">
        <v>0.74029999999999996</v>
      </c>
      <c r="M18" s="85"/>
      <c r="N18" s="76">
        <v>14</v>
      </c>
      <c r="O18" s="76"/>
      <c r="P18" s="76"/>
      <c r="Q18" s="76"/>
      <c r="R18" s="67" t="s">
        <v>1509</v>
      </c>
      <c r="S18" s="68">
        <v>800103920</v>
      </c>
      <c r="T18" s="77">
        <v>22988236</v>
      </c>
      <c r="U18" s="78" t="s">
        <v>1660</v>
      </c>
      <c r="V18" s="81"/>
      <c r="W18" s="80">
        <v>0</v>
      </c>
    </row>
    <row r="19" spans="1:23" ht="15.6" hidden="1" x14ac:dyDescent="0.3">
      <c r="A19" s="67" t="s">
        <v>619</v>
      </c>
      <c r="B19" s="69">
        <v>28524488</v>
      </c>
      <c r="C19" s="69" t="s">
        <v>620</v>
      </c>
      <c r="D19" s="69">
        <v>0</v>
      </c>
      <c r="E19" s="70" t="s">
        <v>472</v>
      </c>
      <c r="F19" s="67" t="s">
        <v>1645</v>
      </c>
      <c r="G19" s="71">
        <v>33572</v>
      </c>
      <c r="H19" s="72">
        <v>45222</v>
      </c>
      <c r="I19" s="133">
        <v>0</v>
      </c>
      <c r="J19" s="134">
        <v>0</v>
      </c>
      <c r="K19" s="123" t="s">
        <v>1471</v>
      </c>
      <c r="L19" s="74">
        <v>0.2165</v>
      </c>
      <c r="M19" s="75">
        <v>25906</v>
      </c>
      <c r="N19" s="76">
        <v>14</v>
      </c>
      <c r="O19" s="76"/>
      <c r="P19" s="76"/>
      <c r="Q19" s="76"/>
      <c r="R19" s="67" t="s">
        <v>1514</v>
      </c>
      <c r="S19" s="68">
        <v>800113672</v>
      </c>
      <c r="T19" s="77"/>
      <c r="U19" s="78"/>
      <c r="V19" s="81"/>
      <c r="W19" s="80">
        <v>0</v>
      </c>
    </row>
    <row r="20" spans="1:23" ht="15.6" x14ac:dyDescent="0.3">
      <c r="A20" s="67" t="s">
        <v>812</v>
      </c>
      <c r="B20" s="69">
        <v>7453274</v>
      </c>
      <c r="C20" s="69" t="s">
        <v>813</v>
      </c>
      <c r="D20" s="69">
        <v>0</v>
      </c>
      <c r="E20" s="70" t="s">
        <v>472</v>
      </c>
      <c r="F20" s="67" t="s">
        <v>1643</v>
      </c>
      <c r="G20" s="71">
        <v>39448</v>
      </c>
      <c r="H20" s="72"/>
      <c r="I20" s="133">
        <v>0</v>
      </c>
      <c r="J20" s="134">
        <v>0</v>
      </c>
      <c r="K20" s="125"/>
      <c r="L20" s="74">
        <v>4.6699999999999998E-2</v>
      </c>
      <c r="M20" s="75">
        <v>191128</v>
      </c>
      <c r="N20" s="76">
        <v>1</v>
      </c>
      <c r="O20" s="76"/>
      <c r="P20" s="76"/>
      <c r="Q20" s="76"/>
      <c r="R20" s="67" t="s">
        <v>46</v>
      </c>
      <c r="S20" s="68">
        <v>890102006</v>
      </c>
      <c r="T20" s="77"/>
      <c r="U20" s="78"/>
      <c r="V20" s="81"/>
      <c r="W20" s="80">
        <v>0</v>
      </c>
    </row>
    <row r="21" spans="1:23" ht="15.6" hidden="1" x14ac:dyDescent="0.3">
      <c r="A21" s="67" t="s">
        <v>1401</v>
      </c>
      <c r="B21" s="69">
        <v>72023</v>
      </c>
      <c r="C21" s="69" t="s">
        <v>1402</v>
      </c>
      <c r="D21" s="69">
        <v>0</v>
      </c>
      <c r="E21" s="70" t="s">
        <v>21</v>
      </c>
      <c r="F21" s="67" t="s">
        <v>1645</v>
      </c>
      <c r="G21" s="71">
        <v>30133</v>
      </c>
      <c r="H21" s="119">
        <v>44196</v>
      </c>
      <c r="I21" s="133">
        <v>0</v>
      </c>
      <c r="J21" s="134">
        <v>0</v>
      </c>
      <c r="K21" s="125"/>
      <c r="L21" s="74">
        <v>0.2064</v>
      </c>
      <c r="M21" s="75">
        <v>11135</v>
      </c>
      <c r="N21" s="76">
        <v>14</v>
      </c>
      <c r="O21" s="76">
        <v>0</v>
      </c>
      <c r="P21" s="83">
        <v>53948</v>
      </c>
      <c r="Q21" s="83">
        <v>20490</v>
      </c>
      <c r="R21" s="67" t="s">
        <v>1628</v>
      </c>
      <c r="S21" s="68">
        <v>899999114</v>
      </c>
      <c r="T21" s="77">
        <v>20178278</v>
      </c>
      <c r="U21" s="78" t="s">
        <v>1770</v>
      </c>
      <c r="V21" s="82"/>
      <c r="W21" s="80">
        <v>0</v>
      </c>
    </row>
    <row r="22" spans="1:23" ht="15.6" hidden="1" x14ac:dyDescent="0.3">
      <c r="A22" s="67" t="s">
        <v>595</v>
      </c>
      <c r="B22" s="69">
        <v>41464957</v>
      </c>
      <c r="C22" s="69" t="s">
        <v>596</v>
      </c>
      <c r="D22" s="69">
        <v>0</v>
      </c>
      <c r="E22" s="70" t="s">
        <v>472</v>
      </c>
      <c r="F22" s="67" t="s">
        <v>1645</v>
      </c>
      <c r="G22" s="71">
        <v>38777</v>
      </c>
      <c r="H22" s="72">
        <v>45212</v>
      </c>
      <c r="I22" s="133">
        <v>0</v>
      </c>
      <c r="J22" s="134">
        <v>0</v>
      </c>
      <c r="K22" s="123" t="s">
        <v>1474</v>
      </c>
      <c r="L22" s="74">
        <v>0.114</v>
      </c>
      <c r="M22" s="75">
        <v>176990</v>
      </c>
      <c r="N22" s="76">
        <v>13</v>
      </c>
      <c r="O22" s="76">
        <v>0</v>
      </c>
      <c r="P22" s="83">
        <v>273093</v>
      </c>
      <c r="Q22" s="83">
        <v>1674274</v>
      </c>
      <c r="R22" s="67" t="s">
        <v>1512</v>
      </c>
      <c r="S22" s="68">
        <v>800103935</v>
      </c>
      <c r="T22" s="77"/>
      <c r="U22" s="78"/>
      <c r="V22" s="82"/>
      <c r="W22" s="80">
        <v>0</v>
      </c>
    </row>
    <row r="23" spans="1:23" ht="15.6" x14ac:dyDescent="0.3">
      <c r="A23" s="67" t="s">
        <v>1323</v>
      </c>
      <c r="B23" s="69">
        <v>4111891</v>
      </c>
      <c r="C23" s="69" t="s">
        <v>1324</v>
      </c>
      <c r="D23" s="69">
        <v>0</v>
      </c>
      <c r="E23" s="70" t="s">
        <v>1128</v>
      </c>
      <c r="F23" s="67" t="s">
        <v>1643</v>
      </c>
      <c r="G23" s="71">
        <v>39125</v>
      </c>
      <c r="H23" s="119"/>
      <c r="I23" s="133">
        <v>0</v>
      </c>
      <c r="J23" s="134">
        <v>0</v>
      </c>
      <c r="K23" s="125"/>
      <c r="L23" s="74">
        <v>0.1532</v>
      </c>
      <c r="M23" s="75">
        <v>264645</v>
      </c>
      <c r="N23" s="76">
        <v>1</v>
      </c>
      <c r="O23" s="76">
        <v>0</v>
      </c>
      <c r="P23" s="83">
        <v>1727447</v>
      </c>
      <c r="Q23" s="76">
        <v>0</v>
      </c>
      <c r="R23" s="67" t="s">
        <v>1605</v>
      </c>
      <c r="S23" s="68">
        <v>891800498</v>
      </c>
      <c r="T23" s="77"/>
      <c r="U23" s="78"/>
      <c r="V23" s="81"/>
      <c r="W23" s="80">
        <v>0</v>
      </c>
    </row>
    <row r="24" spans="1:23" ht="15.6" hidden="1" x14ac:dyDescent="0.3">
      <c r="A24" s="67" t="s">
        <v>469</v>
      </c>
      <c r="B24" s="69">
        <v>3783100</v>
      </c>
      <c r="C24" s="69" t="s">
        <v>473</v>
      </c>
      <c r="D24" s="69">
        <v>0</v>
      </c>
      <c r="E24" s="70" t="s">
        <v>19</v>
      </c>
      <c r="F24" s="67" t="s">
        <v>1645</v>
      </c>
      <c r="G24" s="71">
        <v>34912</v>
      </c>
      <c r="H24" s="72"/>
      <c r="I24" s="133">
        <v>0</v>
      </c>
      <c r="J24" s="134">
        <v>0</v>
      </c>
      <c r="K24" s="123" t="s">
        <v>1472</v>
      </c>
      <c r="L24" s="74">
        <v>0.1072</v>
      </c>
      <c r="M24" s="75">
        <v>54750</v>
      </c>
      <c r="N24" s="76">
        <v>14</v>
      </c>
      <c r="O24" s="76"/>
      <c r="P24" s="76"/>
      <c r="Q24" s="76"/>
      <c r="R24" s="67" t="s">
        <v>1495</v>
      </c>
      <c r="S24" s="68">
        <v>800095514</v>
      </c>
      <c r="T24" s="77">
        <v>21761126</v>
      </c>
      <c r="U24" s="78" t="s">
        <v>1644</v>
      </c>
      <c r="V24" s="156">
        <v>0</v>
      </c>
      <c r="W24" s="80">
        <v>0</v>
      </c>
    </row>
    <row r="25" spans="1:23" ht="15.6" hidden="1" x14ac:dyDescent="0.3">
      <c r="A25" s="67" t="s">
        <v>680</v>
      </c>
      <c r="B25" s="69">
        <v>20003759</v>
      </c>
      <c r="C25" s="69" t="s">
        <v>681</v>
      </c>
      <c r="D25" s="69">
        <v>0</v>
      </c>
      <c r="E25" s="70" t="s">
        <v>472</v>
      </c>
      <c r="F25" s="67" t="s">
        <v>1645</v>
      </c>
      <c r="G25" s="71">
        <v>29830</v>
      </c>
      <c r="H25" s="72">
        <v>45222</v>
      </c>
      <c r="I25" s="133">
        <v>20630004.710000001</v>
      </c>
      <c r="J25" s="134">
        <v>3179610</v>
      </c>
      <c r="K25" s="123" t="s">
        <v>1471</v>
      </c>
      <c r="L25" s="74">
        <v>0.27879999999999999</v>
      </c>
      <c r="M25" s="75">
        <v>6361</v>
      </c>
      <c r="N25" s="76">
        <v>14</v>
      </c>
      <c r="O25" s="76"/>
      <c r="P25" s="76"/>
      <c r="Q25" s="76"/>
      <c r="R25" s="67" t="s">
        <v>1528</v>
      </c>
      <c r="S25" s="68">
        <v>860041163</v>
      </c>
      <c r="T25" s="77">
        <v>117425</v>
      </c>
      <c r="U25" s="78" t="s">
        <v>1679</v>
      </c>
      <c r="V25" s="81"/>
      <c r="W25" s="80">
        <v>0</v>
      </c>
    </row>
    <row r="26" spans="1:23" ht="15.6" hidden="1" x14ac:dyDescent="0.3">
      <c r="A26" s="67" t="s">
        <v>680</v>
      </c>
      <c r="B26" s="69">
        <v>20003759</v>
      </c>
      <c r="C26" s="69" t="s">
        <v>681</v>
      </c>
      <c r="D26" s="69">
        <v>0</v>
      </c>
      <c r="E26" s="70" t="s">
        <v>472</v>
      </c>
      <c r="F26" s="67" t="s">
        <v>1645</v>
      </c>
      <c r="G26" s="71">
        <v>29830</v>
      </c>
      <c r="H26" s="119">
        <v>44196</v>
      </c>
      <c r="I26" s="133">
        <v>20630004.710000001</v>
      </c>
      <c r="J26" s="134">
        <v>3179610</v>
      </c>
      <c r="K26" s="125"/>
      <c r="L26" s="74">
        <v>0.27879999999999999</v>
      </c>
      <c r="M26" s="75">
        <v>7687</v>
      </c>
      <c r="N26" s="76">
        <v>14</v>
      </c>
      <c r="O26" s="76">
        <v>0</v>
      </c>
      <c r="P26" s="83">
        <v>32856</v>
      </c>
      <c r="Q26" s="83">
        <v>16812</v>
      </c>
      <c r="R26" s="67" t="s">
        <v>1628</v>
      </c>
      <c r="S26" s="68">
        <v>899999114</v>
      </c>
      <c r="T26" s="77">
        <v>117425</v>
      </c>
      <c r="U26" s="78" t="s">
        <v>1679</v>
      </c>
      <c r="V26" s="81"/>
      <c r="W26" s="80">
        <v>0</v>
      </c>
    </row>
    <row r="27" spans="1:23" ht="15.6" x14ac:dyDescent="0.3">
      <c r="A27" s="67" t="s">
        <v>1221</v>
      </c>
      <c r="B27" s="69">
        <v>8276454</v>
      </c>
      <c r="C27" s="69" t="s">
        <v>1222</v>
      </c>
      <c r="D27" s="69">
        <v>0</v>
      </c>
      <c r="E27" s="70" t="s">
        <v>472</v>
      </c>
      <c r="F27" s="67" t="s">
        <v>1643</v>
      </c>
      <c r="G27" s="71">
        <v>38777</v>
      </c>
      <c r="H27" s="72">
        <v>44196</v>
      </c>
      <c r="I27" s="133">
        <v>0</v>
      </c>
      <c r="J27" s="134">
        <v>0</v>
      </c>
      <c r="K27" s="125"/>
      <c r="L27" s="74">
        <v>0.22939999999999999</v>
      </c>
      <c r="M27" s="75">
        <v>429951</v>
      </c>
      <c r="N27" s="76">
        <v>1</v>
      </c>
      <c r="O27" s="76"/>
      <c r="P27" s="76"/>
      <c r="Q27" s="76"/>
      <c r="R27" s="67" t="s">
        <v>1580</v>
      </c>
      <c r="S27" s="68">
        <v>890905211</v>
      </c>
      <c r="T27" s="77"/>
      <c r="U27" s="78"/>
      <c r="V27" s="81"/>
      <c r="W27" s="80">
        <v>0</v>
      </c>
    </row>
    <row r="28" spans="1:23" ht="15.6" hidden="1" x14ac:dyDescent="0.3">
      <c r="A28" s="67" t="s">
        <v>484</v>
      </c>
      <c r="B28" s="69">
        <v>1694530</v>
      </c>
      <c r="C28" s="69" t="s">
        <v>485</v>
      </c>
      <c r="D28" s="69">
        <v>0</v>
      </c>
      <c r="E28" s="70" t="s">
        <v>19</v>
      </c>
      <c r="F28" s="67" t="s">
        <v>1645</v>
      </c>
      <c r="G28" s="71">
        <v>33269</v>
      </c>
      <c r="H28" s="72">
        <v>42369</v>
      </c>
      <c r="I28" s="133">
        <v>0</v>
      </c>
      <c r="J28" s="134">
        <v>0</v>
      </c>
      <c r="K28" s="123" t="s">
        <v>1476</v>
      </c>
      <c r="L28" s="74">
        <v>0.20699999999999999</v>
      </c>
      <c r="M28" s="75">
        <v>132928</v>
      </c>
      <c r="N28" s="76">
        <v>14</v>
      </c>
      <c r="O28" s="76"/>
      <c r="P28" s="76"/>
      <c r="Q28" s="76"/>
      <c r="R28" s="67" t="s">
        <v>1500</v>
      </c>
      <c r="S28" s="68">
        <v>800099223</v>
      </c>
      <c r="T28" s="77">
        <v>1118838069</v>
      </c>
      <c r="U28" s="78" t="s">
        <v>1653</v>
      </c>
      <c r="V28" s="81"/>
      <c r="W28" s="80">
        <v>0</v>
      </c>
    </row>
    <row r="29" spans="1:23" ht="15.6" hidden="1" x14ac:dyDescent="0.3">
      <c r="A29" s="67" t="s">
        <v>1270</v>
      </c>
      <c r="B29" s="69">
        <v>1429088</v>
      </c>
      <c r="C29" s="69" t="s">
        <v>1271</v>
      </c>
      <c r="D29" s="69">
        <v>0</v>
      </c>
      <c r="E29" s="70" t="s">
        <v>472</v>
      </c>
      <c r="F29" s="67" t="s">
        <v>1645</v>
      </c>
      <c r="G29" s="71">
        <v>33420</v>
      </c>
      <c r="H29" s="119"/>
      <c r="I29" s="133">
        <v>0</v>
      </c>
      <c r="J29" s="134">
        <v>0</v>
      </c>
      <c r="K29" s="125"/>
      <c r="L29" s="74">
        <v>8.3799999999999999E-2</v>
      </c>
      <c r="M29" s="75">
        <v>16728</v>
      </c>
      <c r="N29" s="76">
        <v>14</v>
      </c>
      <c r="O29" s="76"/>
      <c r="P29" s="76"/>
      <c r="Q29" s="76"/>
      <c r="R29" s="67" t="s">
        <v>1598</v>
      </c>
      <c r="S29" s="68">
        <v>891580006</v>
      </c>
      <c r="T29" s="77">
        <v>25265217</v>
      </c>
      <c r="U29" s="78" t="s">
        <v>1754</v>
      </c>
      <c r="V29" s="81"/>
      <c r="W29" s="80">
        <v>0</v>
      </c>
    </row>
    <row r="30" spans="1:23" ht="15.6" x14ac:dyDescent="0.3">
      <c r="A30" s="67" t="s">
        <v>1298</v>
      </c>
      <c r="B30" s="69">
        <v>8288317</v>
      </c>
      <c r="C30" s="69" t="s">
        <v>1299</v>
      </c>
      <c r="D30" s="69">
        <v>0</v>
      </c>
      <c r="E30" s="70" t="s">
        <v>19</v>
      </c>
      <c r="F30" s="67" t="s">
        <v>1643</v>
      </c>
      <c r="G30" s="71">
        <v>37873</v>
      </c>
      <c r="H30" s="119"/>
      <c r="I30" s="133">
        <v>0</v>
      </c>
      <c r="J30" s="134">
        <v>0</v>
      </c>
      <c r="K30" s="125"/>
      <c r="L30" s="74">
        <v>8.8800000000000004E-2</v>
      </c>
      <c r="M30" s="75">
        <v>84770</v>
      </c>
      <c r="N30" s="76">
        <v>1</v>
      </c>
      <c r="O30" s="76"/>
      <c r="P30" s="76"/>
      <c r="Q30" s="76"/>
      <c r="R30" s="67" t="s">
        <v>1602</v>
      </c>
      <c r="S30" s="68">
        <v>891680067</v>
      </c>
      <c r="T30" s="77"/>
      <c r="U30" s="78"/>
      <c r="V30" s="81"/>
      <c r="W30" s="80">
        <v>0</v>
      </c>
    </row>
    <row r="31" spans="1:23" ht="15.6" hidden="1" x14ac:dyDescent="0.3">
      <c r="A31" s="67" t="s">
        <v>1241</v>
      </c>
      <c r="B31" s="69">
        <v>12101028</v>
      </c>
      <c r="C31" s="69" t="s">
        <v>1242</v>
      </c>
      <c r="D31" s="69">
        <v>0</v>
      </c>
      <c r="E31" s="70" t="s">
        <v>472</v>
      </c>
      <c r="F31" s="67" t="s">
        <v>1645</v>
      </c>
      <c r="G31" s="71">
        <v>39508</v>
      </c>
      <c r="H31" s="72"/>
      <c r="I31" s="133">
        <v>0</v>
      </c>
      <c r="J31" s="134">
        <v>0</v>
      </c>
      <c r="K31" s="125"/>
      <c r="L31" s="74">
        <v>1.6500000000000001E-2</v>
      </c>
      <c r="M31" s="75">
        <v>31314</v>
      </c>
      <c r="N31" s="76">
        <v>13</v>
      </c>
      <c r="O31" s="76"/>
      <c r="P31" s="76"/>
      <c r="Q31" s="76"/>
      <c r="R31" s="67" t="s">
        <v>1585</v>
      </c>
      <c r="S31" s="68">
        <v>891180001</v>
      </c>
      <c r="T31" s="77"/>
      <c r="U31" s="78"/>
      <c r="V31" s="81"/>
      <c r="W31" s="80">
        <v>0</v>
      </c>
    </row>
    <row r="32" spans="1:23" ht="15.6" hidden="1" x14ac:dyDescent="0.3">
      <c r="A32" s="67" t="s">
        <v>1427</v>
      </c>
      <c r="B32" s="69">
        <v>142743</v>
      </c>
      <c r="C32" s="69" t="s">
        <v>1428</v>
      </c>
      <c r="D32" s="69">
        <v>0</v>
      </c>
      <c r="E32" s="70" t="s">
        <v>21</v>
      </c>
      <c r="F32" s="67" t="s">
        <v>1645</v>
      </c>
      <c r="G32" s="71">
        <v>35990</v>
      </c>
      <c r="H32" s="119">
        <v>44196</v>
      </c>
      <c r="I32" s="133">
        <v>0</v>
      </c>
      <c r="J32" s="134">
        <v>0</v>
      </c>
      <c r="K32" s="125"/>
      <c r="L32" s="74">
        <v>0.25519999999999998</v>
      </c>
      <c r="M32" s="75">
        <v>181823</v>
      </c>
      <c r="N32" s="76">
        <v>14</v>
      </c>
      <c r="O32" s="76">
        <v>0</v>
      </c>
      <c r="P32" s="83">
        <v>449894</v>
      </c>
      <c r="Q32" s="83">
        <v>761638</v>
      </c>
      <c r="R32" s="67" t="s">
        <v>1628</v>
      </c>
      <c r="S32" s="68">
        <v>899999114</v>
      </c>
      <c r="T32" s="77">
        <v>20118903</v>
      </c>
      <c r="U32" s="78" t="s">
        <v>1773</v>
      </c>
      <c r="V32" s="81"/>
      <c r="W32" s="80">
        <v>0</v>
      </c>
    </row>
    <row r="33" spans="1:23" ht="15.6" x14ac:dyDescent="0.3">
      <c r="A33" s="67" t="s">
        <v>793</v>
      </c>
      <c r="B33" s="69">
        <v>24481403</v>
      </c>
      <c r="C33" s="69" t="s">
        <v>794</v>
      </c>
      <c r="D33" s="69">
        <v>0</v>
      </c>
      <c r="E33" s="70" t="s">
        <v>592</v>
      </c>
      <c r="F33" s="67" t="s">
        <v>1643</v>
      </c>
      <c r="G33" s="71">
        <v>38796</v>
      </c>
      <c r="H33" s="72">
        <v>40908</v>
      </c>
      <c r="I33" s="133">
        <v>0</v>
      </c>
      <c r="J33" s="134">
        <v>0</v>
      </c>
      <c r="K33" s="125"/>
      <c r="L33" s="74">
        <v>9.1499999999999998E-2</v>
      </c>
      <c r="M33" s="75">
        <v>89420</v>
      </c>
      <c r="N33" s="76">
        <v>1</v>
      </c>
      <c r="O33" s="76"/>
      <c r="P33" s="76"/>
      <c r="Q33" s="76"/>
      <c r="R33" s="67" t="s">
        <v>1532</v>
      </c>
      <c r="S33" s="68">
        <v>890000464</v>
      </c>
      <c r="T33" s="77"/>
      <c r="U33" s="78"/>
      <c r="V33" s="81"/>
      <c r="W33" s="80">
        <v>0</v>
      </c>
    </row>
    <row r="34" spans="1:23" ht="15.6" hidden="1" x14ac:dyDescent="0.3">
      <c r="A34" s="67" t="s">
        <v>1107</v>
      </c>
      <c r="B34" s="69">
        <v>21275368</v>
      </c>
      <c r="C34" s="69" t="s">
        <v>1108</v>
      </c>
      <c r="D34" s="69">
        <v>0</v>
      </c>
      <c r="E34" s="70" t="s">
        <v>1061</v>
      </c>
      <c r="F34" s="67" t="s">
        <v>1645</v>
      </c>
      <c r="G34" s="71">
        <v>32509</v>
      </c>
      <c r="H34" s="72"/>
      <c r="I34" s="135">
        <v>0</v>
      </c>
      <c r="J34" s="134">
        <v>0</v>
      </c>
      <c r="K34" s="125"/>
      <c r="L34" s="74">
        <v>1.46E-2</v>
      </c>
      <c r="M34" s="75">
        <v>1396</v>
      </c>
      <c r="N34" s="76">
        <v>14</v>
      </c>
      <c r="O34" s="105">
        <v>0.08</v>
      </c>
      <c r="P34" s="83">
        <v>121379</v>
      </c>
      <c r="Q34" s="76">
        <v>0</v>
      </c>
      <c r="R34" s="67" t="s">
        <v>1574</v>
      </c>
      <c r="S34" s="68">
        <v>890900286</v>
      </c>
      <c r="T34" s="77"/>
      <c r="U34" s="78"/>
      <c r="V34" s="81"/>
      <c r="W34" s="80">
        <v>0</v>
      </c>
    </row>
    <row r="35" spans="1:23" ht="15.6" hidden="1" x14ac:dyDescent="0.3">
      <c r="A35" s="67" t="s">
        <v>1107</v>
      </c>
      <c r="B35" s="69">
        <v>21275368</v>
      </c>
      <c r="C35" s="69" t="s">
        <v>1108</v>
      </c>
      <c r="D35" s="69">
        <v>0</v>
      </c>
      <c r="E35" s="70" t="s">
        <v>472</v>
      </c>
      <c r="F35" s="67" t="s">
        <v>1645</v>
      </c>
      <c r="G35" s="71">
        <v>32509</v>
      </c>
      <c r="H35" s="72"/>
      <c r="I35" s="135">
        <v>0</v>
      </c>
      <c r="J35" s="134">
        <v>0</v>
      </c>
      <c r="K35" s="125"/>
      <c r="L35" s="74">
        <v>1.46E-2</v>
      </c>
      <c r="M35" s="75">
        <v>18984</v>
      </c>
      <c r="N35" s="76">
        <v>14</v>
      </c>
      <c r="O35" s="76"/>
      <c r="P35" s="76"/>
      <c r="Q35" s="76"/>
      <c r="R35" s="67" t="s">
        <v>1577</v>
      </c>
      <c r="S35" s="68">
        <v>890905055</v>
      </c>
      <c r="T35" s="77"/>
      <c r="U35" s="78"/>
      <c r="V35" s="81"/>
      <c r="W35" s="80">
        <v>0</v>
      </c>
    </row>
    <row r="36" spans="1:23" ht="15.6" x14ac:dyDescent="0.3">
      <c r="A36" s="67" t="s">
        <v>1157</v>
      </c>
      <c r="B36" s="69">
        <v>8456078</v>
      </c>
      <c r="C36" s="69" t="s">
        <v>1158</v>
      </c>
      <c r="D36" s="69">
        <v>0</v>
      </c>
      <c r="E36" s="70" t="s">
        <v>1128</v>
      </c>
      <c r="F36" s="67" t="s">
        <v>1643</v>
      </c>
      <c r="G36" s="71">
        <v>38866</v>
      </c>
      <c r="H36" s="72"/>
      <c r="I36" s="133">
        <v>0</v>
      </c>
      <c r="J36" s="134">
        <v>0</v>
      </c>
      <c r="K36" s="125"/>
      <c r="L36" s="74">
        <v>0.19769999999999999</v>
      </c>
      <c r="M36" s="75">
        <v>273343</v>
      </c>
      <c r="N36" s="76">
        <v>1</v>
      </c>
      <c r="O36" s="76">
        <v>0</v>
      </c>
      <c r="P36" s="83">
        <v>1414714</v>
      </c>
      <c r="Q36" s="76">
        <v>0</v>
      </c>
      <c r="R36" s="67" t="s">
        <v>1574</v>
      </c>
      <c r="S36" s="68">
        <v>890900286</v>
      </c>
      <c r="T36" s="77"/>
      <c r="U36" s="78"/>
      <c r="V36" s="82"/>
      <c r="W36" s="80">
        <v>0</v>
      </c>
    </row>
    <row r="37" spans="1:23" ht="15.6" hidden="1" x14ac:dyDescent="0.3">
      <c r="A37" s="67" t="s">
        <v>688</v>
      </c>
      <c r="B37" s="69">
        <v>7031</v>
      </c>
      <c r="C37" s="69" t="s">
        <v>689</v>
      </c>
      <c r="D37" s="69">
        <v>0</v>
      </c>
      <c r="E37" s="70" t="s">
        <v>21</v>
      </c>
      <c r="F37" s="67" t="s">
        <v>1645</v>
      </c>
      <c r="G37" s="71">
        <v>30590</v>
      </c>
      <c r="H37" s="72">
        <v>45222</v>
      </c>
      <c r="I37" s="133">
        <v>0</v>
      </c>
      <c r="J37" s="134">
        <v>0</v>
      </c>
      <c r="K37" s="123" t="s">
        <v>1489</v>
      </c>
      <c r="L37" s="74">
        <v>3.7199999999999997E-2</v>
      </c>
      <c r="M37" s="75">
        <v>1316</v>
      </c>
      <c r="N37" s="76">
        <v>14</v>
      </c>
      <c r="O37" s="76"/>
      <c r="P37" s="76"/>
      <c r="Q37" s="76"/>
      <c r="R37" s="67" t="s">
        <v>1528</v>
      </c>
      <c r="S37" s="68">
        <v>860041163</v>
      </c>
      <c r="T37" s="77">
        <v>25092770</v>
      </c>
      <c r="U37" s="78" t="s">
        <v>1681</v>
      </c>
      <c r="V37" s="81"/>
      <c r="W37" s="80">
        <v>0</v>
      </c>
    </row>
    <row r="38" spans="1:23" ht="15.6" hidden="1" x14ac:dyDescent="0.3">
      <c r="A38" s="67" t="s">
        <v>743</v>
      </c>
      <c r="B38" s="69">
        <v>11785960</v>
      </c>
      <c r="C38" s="69" t="s">
        <v>744</v>
      </c>
      <c r="D38" s="69">
        <v>0</v>
      </c>
      <c r="E38" s="70" t="s">
        <v>19</v>
      </c>
      <c r="F38" s="67" t="s">
        <v>1645</v>
      </c>
      <c r="G38" s="71">
        <v>39051</v>
      </c>
      <c r="H38" s="72"/>
      <c r="I38" s="133">
        <v>0</v>
      </c>
      <c r="J38" s="134">
        <v>0</v>
      </c>
      <c r="K38" s="125"/>
      <c r="L38" s="74">
        <v>2.0899999999999998E-2</v>
      </c>
      <c r="M38" s="75">
        <v>531905</v>
      </c>
      <c r="N38" s="76">
        <v>13</v>
      </c>
      <c r="O38" s="76"/>
      <c r="P38" s="76"/>
      <c r="Q38" s="76"/>
      <c r="R38" s="67" t="s">
        <v>1528</v>
      </c>
      <c r="S38" s="68">
        <v>860041163</v>
      </c>
      <c r="T38" s="77"/>
      <c r="U38" s="78"/>
      <c r="V38" s="81"/>
      <c r="W38" s="80">
        <v>0</v>
      </c>
    </row>
    <row r="39" spans="1:23" ht="15.6" hidden="1" x14ac:dyDescent="0.3">
      <c r="A39" s="67" t="s">
        <v>743</v>
      </c>
      <c r="B39" s="69">
        <v>11785960</v>
      </c>
      <c r="C39" s="69" t="s">
        <v>744</v>
      </c>
      <c r="D39" s="69">
        <v>0</v>
      </c>
      <c r="E39" s="70" t="s">
        <v>19</v>
      </c>
      <c r="F39" s="67" t="s">
        <v>1645</v>
      </c>
      <c r="G39" s="71">
        <v>39051</v>
      </c>
      <c r="H39" s="119"/>
      <c r="I39" s="133">
        <v>0</v>
      </c>
      <c r="J39" s="134">
        <v>0</v>
      </c>
      <c r="K39" s="125"/>
      <c r="L39" s="74">
        <v>2.0899999999999998E-2</v>
      </c>
      <c r="M39" s="75">
        <v>42125</v>
      </c>
      <c r="N39" s="76">
        <v>13</v>
      </c>
      <c r="O39" s="76"/>
      <c r="P39" s="76"/>
      <c r="Q39" s="76"/>
      <c r="R39" s="67" t="s">
        <v>1600</v>
      </c>
      <c r="S39" s="68">
        <v>891680010</v>
      </c>
      <c r="T39" s="77"/>
      <c r="U39" s="78"/>
      <c r="V39" s="81"/>
      <c r="W39" s="80">
        <v>0</v>
      </c>
    </row>
    <row r="40" spans="1:23" ht="16.2" thickBot="1" x14ac:dyDescent="0.35">
      <c r="A40" s="89" t="s">
        <v>1237</v>
      </c>
      <c r="B40" s="147">
        <v>8310285</v>
      </c>
      <c r="C40" s="69" t="s">
        <v>1238</v>
      </c>
      <c r="D40" s="69">
        <v>0</v>
      </c>
      <c r="E40" s="91" t="s">
        <v>592</v>
      </c>
      <c r="F40" s="67" t="s">
        <v>1643</v>
      </c>
      <c r="G40" s="71">
        <v>39051</v>
      </c>
      <c r="H40" s="72"/>
      <c r="I40" s="133">
        <v>0</v>
      </c>
      <c r="J40" s="134">
        <v>0</v>
      </c>
      <c r="K40" s="128"/>
      <c r="L40" s="74">
        <v>0.2697</v>
      </c>
      <c r="M40" s="92">
        <v>475762</v>
      </c>
      <c r="N40" s="76">
        <v>1</v>
      </c>
      <c r="O40" s="76"/>
      <c r="P40" s="76"/>
      <c r="Q40" s="76"/>
      <c r="R40" s="67" t="s">
        <v>1582</v>
      </c>
      <c r="S40" s="68">
        <v>890980136</v>
      </c>
      <c r="T40" s="77"/>
      <c r="U40" s="78"/>
      <c r="V40" s="81"/>
      <c r="W40" s="80">
        <v>0</v>
      </c>
    </row>
    <row r="41" spans="1:23" ht="16.2" thickBot="1" x14ac:dyDescent="0.35">
      <c r="A41" s="67" t="s">
        <v>739</v>
      </c>
      <c r="B41" s="69">
        <v>17139407</v>
      </c>
      <c r="C41" s="69" t="s">
        <v>740</v>
      </c>
      <c r="D41" s="69">
        <v>0</v>
      </c>
      <c r="E41" s="70" t="s">
        <v>592</v>
      </c>
      <c r="F41" s="67" t="s">
        <v>1643</v>
      </c>
      <c r="G41" s="71">
        <v>38991</v>
      </c>
      <c r="H41" s="72">
        <v>44421</v>
      </c>
      <c r="I41" s="133">
        <v>0</v>
      </c>
      <c r="J41" s="134">
        <v>0</v>
      </c>
      <c r="K41" s="128"/>
      <c r="L41" s="74">
        <v>0.33689999999999998</v>
      </c>
      <c r="M41" s="75">
        <v>588918</v>
      </c>
      <c r="N41" s="76">
        <v>1</v>
      </c>
      <c r="O41" s="76"/>
      <c r="P41" s="76"/>
      <c r="Q41" s="76"/>
      <c r="R41" s="67" t="s">
        <v>1528</v>
      </c>
      <c r="S41" s="68">
        <v>860041163</v>
      </c>
      <c r="T41" s="77">
        <v>41500824</v>
      </c>
      <c r="U41" s="78" t="s">
        <v>1684</v>
      </c>
      <c r="V41" s="81"/>
      <c r="W41" s="80">
        <v>0</v>
      </c>
    </row>
    <row r="42" spans="1:23" ht="15.6" hidden="1" x14ac:dyDescent="0.3">
      <c r="A42" s="67" t="s">
        <v>1303</v>
      </c>
      <c r="B42" s="69">
        <v>17802167</v>
      </c>
      <c r="C42" s="69" t="s">
        <v>1304</v>
      </c>
      <c r="D42" s="69">
        <v>0</v>
      </c>
      <c r="E42" s="70" t="s">
        <v>19</v>
      </c>
      <c r="F42" s="67" t="s">
        <v>1645</v>
      </c>
      <c r="G42" s="71">
        <v>39052</v>
      </c>
      <c r="H42" s="119"/>
      <c r="I42" s="135">
        <v>0</v>
      </c>
      <c r="J42" s="134">
        <v>0</v>
      </c>
      <c r="K42" s="125"/>
      <c r="L42" s="74">
        <v>9.5100000000000004E-2</v>
      </c>
      <c r="M42" s="75">
        <v>166265</v>
      </c>
      <c r="N42" s="76">
        <v>13</v>
      </c>
      <c r="O42" s="76">
        <v>0</v>
      </c>
      <c r="P42" s="83">
        <v>1742865</v>
      </c>
      <c r="Q42" s="76">
        <v>0</v>
      </c>
      <c r="R42" s="67" t="s">
        <v>1603</v>
      </c>
      <c r="S42" s="68">
        <v>891780009</v>
      </c>
      <c r="T42" s="77"/>
      <c r="U42" s="78"/>
      <c r="V42" s="81"/>
      <c r="W42" s="80">
        <v>0</v>
      </c>
    </row>
    <row r="43" spans="1:23" ht="15.6" hidden="1" x14ac:dyDescent="0.3">
      <c r="A43" s="67" t="s">
        <v>910</v>
      </c>
      <c r="B43" s="69">
        <v>29101884</v>
      </c>
      <c r="C43" s="69" t="s">
        <v>911</v>
      </c>
      <c r="D43" s="69">
        <v>0</v>
      </c>
      <c r="E43" s="70" t="s">
        <v>472</v>
      </c>
      <c r="F43" s="67" t="s">
        <v>1645</v>
      </c>
      <c r="G43" s="71">
        <v>32964</v>
      </c>
      <c r="H43" s="72"/>
      <c r="I43" s="133">
        <v>8527855.7400000002</v>
      </c>
      <c r="J43" s="134">
        <v>1314360.1200000001</v>
      </c>
      <c r="K43" s="125"/>
      <c r="L43" s="74">
        <v>0.16650000000000001</v>
      </c>
      <c r="M43" s="75">
        <v>24377</v>
      </c>
      <c r="N43" s="76">
        <v>14</v>
      </c>
      <c r="O43" s="76"/>
      <c r="P43" s="76"/>
      <c r="Q43" s="76"/>
      <c r="R43" s="67" t="s">
        <v>1550</v>
      </c>
      <c r="S43" s="68">
        <v>890304155</v>
      </c>
      <c r="T43" s="77"/>
      <c r="U43" s="78"/>
      <c r="V43" s="81"/>
      <c r="W43" s="80">
        <v>1404640</v>
      </c>
    </row>
    <row r="44" spans="1:23" ht="15.6" hidden="1" x14ac:dyDescent="0.3">
      <c r="A44" s="67" t="s">
        <v>554</v>
      </c>
      <c r="B44" s="69">
        <v>13210043</v>
      </c>
      <c r="C44" s="69" t="s">
        <v>555</v>
      </c>
      <c r="D44" s="69">
        <v>0</v>
      </c>
      <c r="E44" s="70" t="s">
        <v>472</v>
      </c>
      <c r="F44" s="67" t="s">
        <v>1645</v>
      </c>
      <c r="G44" s="71">
        <v>34351</v>
      </c>
      <c r="H44" s="72"/>
      <c r="I44" s="133">
        <v>56072550.619999997</v>
      </c>
      <c r="J44" s="134">
        <v>8642210.4800000004</v>
      </c>
      <c r="K44" s="123" t="s">
        <v>1486</v>
      </c>
      <c r="L44" s="74">
        <v>0.51770000000000005</v>
      </c>
      <c r="M44" s="75">
        <v>158041</v>
      </c>
      <c r="N44" s="76">
        <v>14</v>
      </c>
      <c r="O44" s="76"/>
      <c r="P44" s="76"/>
      <c r="Q44" s="76"/>
      <c r="R44" s="67" t="s">
        <v>1511</v>
      </c>
      <c r="S44" s="68">
        <v>800103927</v>
      </c>
      <c r="T44" s="77"/>
      <c r="U44" s="78"/>
      <c r="V44" s="81"/>
      <c r="W44" s="80">
        <v>0</v>
      </c>
    </row>
    <row r="45" spans="1:23" ht="15.6" hidden="1" x14ac:dyDescent="0.3">
      <c r="A45" s="67" t="s">
        <v>1300</v>
      </c>
      <c r="B45" s="69">
        <v>12585672</v>
      </c>
      <c r="C45" s="69" t="s">
        <v>1301</v>
      </c>
      <c r="D45" s="69">
        <v>0</v>
      </c>
      <c r="E45" s="70" t="s">
        <v>1302</v>
      </c>
      <c r="F45" s="67" t="s">
        <v>1645</v>
      </c>
      <c r="G45" s="71">
        <v>36042</v>
      </c>
      <c r="H45" s="119"/>
      <c r="I45" s="135">
        <v>40417805.340000004</v>
      </c>
      <c r="J45" s="134">
        <v>6229414.8700000001</v>
      </c>
      <c r="K45" s="127"/>
      <c r="L45" s="74">
        <v>0.8105</v>
      </c>
      <c r="M45" s="75">
        <v>165201</v>
      </c>
      <c r="N45" s="76">
        <v>14</v>
      </c>
      <c r="O45" s="76">
        <v>0</v>
      </c>
      <c r="P45" s="83">
        <v>203826</v>
      </c>
      <c r="Q45" s="76">
        <v>0</v>
      </c>
      <c r="R45" s="67" t="s">
        <v>1603</v>
      </c>
      <c r="S45" s="68">
        <v>891780009</v>
      </c>
      <c r="T45" s="77">
        <v>36523311</v>
      </c>
      <c r="U45" s="78" t="s">
        <v>1758</v>
      </c>
      <c r="V45" s="82"/>
      <c r="W45" s="80">
        <v>1423500</v>
      </c>
    </row>
    <row r="46" spans="1:23" ht="15.6" hidden="1" x14ac:dyDescent="0.3">
      <c r="A46" s="67" t="s">
        <v>580</v>
      </c>
      <c r="B46" s="69">
        <v>13349418</v>
      </c>
      <c r="C46" s="69" t="s">
        <v>581</v>
      </c>
      <c r="D46" s="69">
        <v>0</v>
      </c>
      <c r="E46" s="70" t="s">
        <v>19</v>
      </c>
      <c r="F46" s="67" t="s">
        <v>1645</v>
      </c>
      <c r="G46" s="71">
        <v>40148</v>
      </c>
      <c r="H46" s="72"/>
      <c r="I46" s="133">
        <v>0</v>
      </c>
      <c r="J46" s="134">
        <v>0</v>
      </c>
      <c r="K46" s="123" t="s">
        <v>1481</v>
      </c>
      <c r="L46" s="74">
        <v>9.5299999999999996E-2</v>
      </c>
      <c r="M46" s="75">
        <v>202802</v>
      </c>
      <c r="N46" s="76">
        <v>13</v>
      </c>
      <c r="O46" s="76"/>
      <c r="P46" s="76"/>
      <c r="Q46" s="76"/>
      <c r="R46" s="67" t="s">
        <v>1511</v>
      </c>
      <c r="S46" s="68">
        <v>800103927</v>
      </c>
      <c r="T46" s="77"/>
      <c r="U46" s="78"/>
      <c r="V46" s="81"/>
      <c r="W46" s="80">
        <v>0</v>
      </c>
    </row>
    <row r="47" spans="1:23" ht="15.6" hidden="1" x14ac:dyDescent="0.3">
      <c r="A47" s="93" t="s">
        <v>895</v>
      </c>
      <c r="B47" s="148">
        <v>13818680</v>
      </c>
      <c r="C47" s="69" t="s">
        <v>881</v>
      </c>
      <c r="D47" s="69">
        <v>0</v>
      </c>
      <c r="E47" s="95" t="s">
        <v>472</v>
      </c>
      <c r="F47" s="67" t="s">
        <v>1643</v>
      </c>
      <c r="G47" s="71">
        <v>39416</v>
      </c>
      <c r="H47" s="72"/>
      <c r="I47" s="133">
        <v>1324460.57</v>
      </c>
      <c r="J47" s="134">
        <v>199415.81</v>
      </c>
      <c r="K47" s="125"/>
      <c r="L47" s="74">
        <v>6.7599999999999993E-2</v>
      </c>
      <c r="M47" s="96">
        <v>260280</v>
      </c>
      <c r="N47" s="76">
        <v>13</v>
      </c>
      <c r="O47" s="76"/>
      <c r="P47" s="76"/>
      <c r="Q47" s="76"/>
      <c r="R47" s="67" t="s">
        <v>1545</v>
      </c>
      <c r="S47" s="68">
        <v>890204802</v>
      </c>
      <c r="T47" s="77"/>
      <c r="U47" s="78"/>
      <c r="V47" s="99"/>
      <c r="W47" s="80">
        <v>473988</v>
      </c>
    </row>
    <row r="48" spans="1:23" ht="15.6" hidden="1" x14ac:dyDescent="0.3">
      <c r="A48" s="67" t="s">
        <v>1035</v>
      </c>
      <c r="B48" s="69">
        <v>9077411</v>
      </c>
      <c r="C48" s="69" t="s">
        <v>1036</v>
      </c>
      <c r="D48" s="69">
        <v>0</v>
      </c>
      <c r="E48" s="70" t="s">
        <v>472</v>
      </c>
      <c r="F48" s="67" t="s">
        <v>1645</v>
      </c>
      <c r="G48" s="71">
        <v>39417</v>
      </c>
      <c r="H48" s="72"/>
      <c r="I48" s="133">
        <v>0</v>
      </c>
      <c r="J48" s="134">
        <v>0</v>
      </c>
      <c r="K48" s="125"/>
      <c r="L48" s="74">
        <v>0.02</v>
      </c>
      <c r="M48" s="75">
        <v>34335</v>
      </c>
      <c r="N48" s="76">
        <v>13</v>
      </c>
      <c r="O48" s="76">
        <v>0</v>
      </c>
      <c r="P48" s="76">
        <v>0</v>
      </c>
      <c r="Q48" s="76">
        <v>0</v>
      </c>
      <c r="R48" s="67" t="s">
        <v>1559</v>
      </c>
      <c r="S48" s="68">
        <v>890480059</v>
      </c>
      <c r="T48" s="77"/>
      <c r="U48" s="78"/>
      <c r="V48" s="81"/>
      <c r="W48" s="80">
        <v>0</v>
      </c>
    </row>
    <row r="49" spans="1:23" ht="15.6" x14ac:dyDescent="0.3">
      <c r="A49" s="67" t="s">
        <v>1049</v>
      </c>
      <c r="B49" s="69">
        <v>13235789</v>
      </c>
      <c r="C49" s="69" t="s">
        <v>1050</v>
      </c>
      <c r="D49" s="69">
        <v>0</v>
      </c>
      <c r="E49" s="70" t="s">
        <v>472</v>
      </c>
      <c r="F49" s="67" t="s">
        <v>1643</v>
      </c>
      <c r="G49" s="71">
        <v>38952</v>
      </c>
      <c r="H49" s="72"/>
      <c r="I49" s="133">
        <v>0</v>
      </c>
      <c r="J49" s="134">
        <v>0</v>
      </c>
      <c r="K49" s="129"/>
      <c r="L49" s="74">
        <v>0.16800000000000001</v>
      </c>
      <c r="M49" s="75">
        <v>281948</v>
      </c>
      <c r="N49" s="76">
        <v>1</v>
      </c>
      <c r="O49" s="76"/>
      <c r="P49" s="76"/>
      <c r="Q49" s="76"/>
      <c r="R49" s="67" t="s">
        <v>1565</v>
      </c>
      <c r="S49" s="68">
        <v>890501434</v>
      </c>
      <c r="T49" s="77"/>
      <c r="U49" s="78"/>
      <c r="V49" s="110"/>
      <c r="W49" s="80">
        <v>0</v>
      </c>
    </row>
    <row r="50" spans="1:23" ht="15.6" x14ac:dyDescent="0.3">
      <c r="A50" s="67" t="s">
        <v>1161</v>
      </c>
      <c r="B50" s="69">
        <v>8265683</v>
      </c>
      <c r="C50" s="69" t="s">
        <v>1162</v>
      </c>
      <c r="D50" s="69">
        <v>0</v>
      </c>
      <c r="E50" s="70" t="s">
        <v>1061</v>
      </c>
      <c r="F50" s="67" t="s">
        <v>1643</v>
      </c>
      <c r="G50" s="71">
        <v>38899</v>
      </c>
      <c r="H50" s="72"/>
      <c r="I50" s="133">
        <v>0</v>
      </c>
      <c r="J50" s="134">
        <v>0</v>
      </c>
      <c r="K50" s="125"/>
      <c r="L50" s="74">
        <v>0.30359999999999998</v>
      </c>
      <c r="M50" s="75">
        <v>504971</v>
      </c>
      <c r="N50" s="76">
        <v>1</v>
      </c>
      <c r="O50" s="76">
        <v>0</v>
      </c>
      <c r="P50" s="83">
        <v>1767376</v>
      </c>
      <c r="Q50" s="76"/>
      <c r="R50" s="67" t="s">
        <v>1574</v>
      </c>
      <c r="S50" s="94">
        <v>890900286</v>
      </c>
      <c r="T50" s="77"/>
      <c r="U50" s="78"/>
      <c r="V50" s="81"/>
      <c r="W50" s="80">
        <v>0</v>
      </c>
    </row>
    <row r="51" spans="1:23" ht="15.6" hidden="1" x14ac:dyDescent="0.3">
      <c r="A51" s="67" t="s">
        <v>1204</v>
      </c>
      <c r="B51" s="69">
        <v>512861</v>
      </c>
      <c r="C51" s="69" t="s">
        <v>1205</v>
      </c>
      <c r="D51" s="69">
        <v>0</v>
      </c>
      <c r="E51" s="70" t="s">
        <v>21</v>
      </c>
      <c r="F51" s="67" t="s">
        <v>1645</v>
      </c>
      <c r="G51" s="71">
        <v>27813</v>
      </c>
      <c r="H51" s="72">
        <v>44196</v>
      </c>
      <c r="I51" s="135">
        <v>0</v>
      </c>
      <c r="J51" s="134">
        <v>0</v>
      </c>
      <c r="K51" s="125"/>
      <c r="L51" s="74">
        <v>0.66210000000000002</v>
      </c>
      <c r="M51" s="75">
        <v>1950</v>
      </c>
      <c r="N51" s="76">
        <v>14</v>
      </c>
      <c r="O51" s="76"/>
      <c r="P51" s="76"/>
      <c r="Q51" s="76"/>
      <c r="R51" s="67" t="s">
        <v>1580</v>
      </c>
      <c r="S51" s="68">
        <v>890905211</v>
      </c>
      <c r="T51" s="77"/>
      <c r="U51" s="78"/>
      <c r="V51" s="81"/>
      <c r="W51" s="80">
        <v>0</v>
      </c>
    </row>
    <row r="52" spans="1:23" ht="15.6" hidden="1" x14ac:dyDescent="0.3">
      <c r="A52" s="67" t="s">
        <v>603</v>
      </c>
      <c r="B52" s="69">
        <v>6869147</v>
      </c>
      <c r="C52" s="69" t="s">
        <v>604</v>
      </c>
      <c r="D52" s="69">
        <v>0</v>
      </c>
      <c r="E52" s="70" t="s">
        <v>472</v>
      </c>
      <c r="F52" s="67" t="s">
        <v>1645</v>
      </c>
      <c r="G52" s="71">
        <v>39600</v>
      </c>
      <c r="H52" s="72"/>
      <c r="I52" s="135">
        <v>0</v>
      </c>
      <c r="J52" s="134">
        <v>0</v>
      </c>
      <c r="K52" s="123" t="s">
        <v>1474</v>
      </c>
      <c r="L52" s="74">
        <v>0.22370000000000001</v>
      </c>
      <c r="M52" s="75">
        <v>445500</v>
      </c>
      <c r="N52" s="76">
        <v>13</v>
      </c>
      <c r="O52" s="76">
        <v>0</v>
      </c>
      <c r="P52" s="83">
        <v>1991505</v>
      </c>
      <c r="Q52" s="76">
        <v>0</v>
      </c>
      <c r="R52" s="67" t="s">
        <v>1512</v>
      </c>
      <c r="S52" s="68">
        <v>800103935</v>
      </c>
      <c r="T52" s="77"/>
      <c r="U52" s="78"/>
      <c r="V52" s="81"/>
      <c r="W52" s="80">
        <v>0</v>
      </c>
    </row>
    <row r="53" spans="1:23" ht="15.6" x14ac:dyDescent="0.3">
      <c r="A53" s="67" t="s">
        <v>1360</v>
      </c>
      <c r="B53" s="69">
        <v>19117020</v>
      </c>
      <c r="C53" s="69" t="s">
        <v>1361</v>
      </c>
      <c r="D53" s="69">
        <v>0</v>
      </c>
      <c r="E53" s="70" t="s">
        <v>472</v>
      </c>
      <c r="F53" s="67" t="s">
        <v>1643</v>
      </c>
      <c r="G53" s="71">
        <v>38869</v>
      </c>
      <c r="H53" s="119"/>
      <c r="I53" s="133">
        <v>0</v>
      </c>
      <c r="J53" s="134">
        <v>0</v>
      </c>
      <c r="K53" s="125"/>
      <c r="L53" s="74">
        <v>0.2039</v>
      </c>
      <c r="M53" s="75">
        <v>304319</v>
      </c>
      <c r="N53" s="76">
        <v>1</v>
      </c>
      <c r="O53" s="76"/>
      <c r="P53" s="76"/>
      <c r="Q53" s="76"/>
      <c r="R53" s="67" t="s">
        <v>1614</v>
      </c>
      <c r="S53" s="68">
        <v>892000148</v>
      </c>
      <c r="T53" s="77">
        <v>21229580</v>
      </c>
      <c r="U53" s="78" t="s">
        <v>1763</v>
      </c>
      <c r="V53" s="81"/>
      <c r="W53" s="80">
        <v>0</v>
      </c>
    </row>
    <row r="54" spans="1:23" ht="15.6" x14ac:dyDescent="0.3">
      <c r="A54" s="67" t="s">
        <v>1159</v>
      </c>
      <c r="B54" s="69">
        <v>15421594</v>
      </c>
      <c r="C54" s="69" t="s">
        <v>1160</v>
      </c>
      <c r="D54" s="69">
        <v>0</v>
      </c>
      <c r="E54" s="70" t="s">
        <v>1061</v>
      </c>
      <c r="F54" s="67" t="s">
        <v>1643</v>
      </c>
      <c r="G54" s="71">
        <v>38867</v>
      </c>
      <c r="H54" s="72"/>
      <c r="I54" s="133">
        <v>0</v>
      </c>
      <c r="J54" s="134">
        <v>0</v>
      </c>
      <c r="K54" s="125"/>
      <c r="L54" s="74">
        <v>0.03</v>
      </c>
      <c r="M54" s="75">
        <v>51437</v>
      </c>
      <c r="N54" s="76">
        <v>1</v>
      </c>
      <c r="O54" s="76">
        <v>0</v>
      </c>
      <c r="P54" s="83">
        <v>1713113</v>
      </c>
      <c r="Q54" s="76">
        <v>0</v>
      </c>
      <c r="R54" s="67" t="s">
        <v>1574</v>
      </c>
      <c r="S54" s="68">
        <v>890900286</v>
      </c>
      <c r="T54" s="77"/>
      <c r="U54" s="78"/>
      <c r="V54" s="81"/>
      <c r="W54" s="80">
        <v>0</v>
      </c>
    </row>
    <row r="55" spans="1:23" ht="15.6" x14ac:dyDescent="0.3">
      <c r="A55" s="67" t="s">
        <v>747</v>
      </c>
      <c r="B55" s="69">
        <v>19100573</v>
      </c>
      <c r="C55" s="69" t="s">
        <v>748</v>
      </c>
      <c r="D55" s="69">
        <v>0</v>
      </c>
      <c r="E55" s="70" t="s">
        <v>592</v>
      </c>
      <c r="F55" s="67" t="s">
        <v>1643</v>
      </c>
      <c r="G55" s="71">
        <v>39051</v>
      </c>
      <c r="H55" s="72">
        <v>40908</v>
      </c>
      <c r="I55" s="133">
        <v>0</v>
      </c>
      <c r="J55" s="134">
        <v>0</v>
      </c>
      <c r="K55" s="125"/>
      <c r="L55" s="74">
        <v>4.4600000000000001E-2</v>
      </c>
      <c r="M55" s="104">
        <v>282944</v>
      </c>
      <c r="N55" s="76">
        <v>1</v>
      </c>
      <c r="O55" s="76"/>
      <c r="P55" s="76"/>
      <c r="Q55" s="76"/>
      <c r="R55" s="67" t="s">
        <v>1528</v>
      </c>
      <c r="S55" s="68">
        <v>860041163</v>
      </c>
      <c r="T55" s="77"/>
      <c r="U55" s="78"/>
      <c r="V55" s="81"/>
      <c r="W55" s="80">
        <v>0</v>
      </c>
    </row>
    <row r="56" spans="1:23" ht="15.6" x14ac:dyDescent="0.3">
      <c r="A56" s="67" t="s">
        <v>747</v>
      </c>
      <c r="B56" s="69">
        <v>19100573</v>
      </c>
      <c r="C56" s="69" t="s">
        <v>748</v>
      </c>
      <c r="D56" s="69">
        <v>0</v>
      </c>
      <c r="E56" s="70" t="s">
        <v>472</v>
      </c>
      <c r="F56" s="67" t="s">
        <v>1643</v>
      </c>
      <c r="G56" s="71">
        <v>39051</v>
      </c>
      <c r="H56" s="119">
        <v>44012</v>
      </c>
      <c r="I56" s="135">
        <v>0</v>
      </c>
      <c r="J56" s="134">
        <v>0</v>
      </c>
      <c r="K56" s="125"/>
      <c r="L56" s="74">
        <v>4.4600000000000001E-2</v>
      </c>
      <c r="M56" s="75">
        <v>88202</v>
      </c>
      <c r="N56" s="76">
        <v>1</v>
      </c>
      <c r="O56" s="76">
        <v>0</v>
      </c>
      <c r="P56" s="83">
        <v>605784</v>
      </c>
      <c r="Q56" s="83">
        <v>2604301</v>
      </c>
      <c r="R56" s="67" t="s">
        <v>1628</v>
      </c>
      <c r="S56" s="68">
        <v>899999114</v>
      </c>
      <c r="T56" s="77"/>
      <c r="U56" s="78"/>
      <c r="V56" s="81"/>
      <c r="W56" s="80">
        <v>0</v>
      </c>
    </row>
    <row r="57" spans="1:23" ht="15.6" x14ac:dyDescent="0.3">
      <c r="A57" s="67" t="s">
        <v>747</v>
      </c>
      <c r="B57" s="69">
        <v>19100573</v>
      </c>
      <c r="C57" s="69" t="s">
        <v>748</v>
      </c>
      <c r="D57" s="69">
        <v>0</v>
      </c>
      <c r="E57" s="70" t="s">
        <v>472</v>
      </c>
      <c r="F57" s="67" t="s">
        <v>1643</v>
      </c>
      <c r="G57" s="71">
        <v>39051</v>
      </c>
      <c r="H57" s="119">
        <v>44012</v>
      </c>
      <c r="I57" s="135">
        <v>0</v>
      </c>
      <c r="J57" s="134">
        <v>0</v>
      </c>
      <c r="K57" s="125"/>
      <c r="L57" s="74">
        <v>4.4600000000000001E-2</v>
      </c>
      <c r="M57" s="75">
        <v>88202</v>
      </c>
      <c r="N57" s="76">
        <v>1</v>
      </c>
      <c r="O57" s="76">
        <v>0</v>
      </c>
      <c r="P57" s="83">
        <v>605784</v>
      </c>
      <c r="Q57" s="83">
        <v>2604301</v>
      </c>
      <c r="R57" s="67" t="s">
        <v>1628</v>
      </c>
      <c r="S57" s="68">
        <v>899999114</v>
      </c>
      <c r="T57" s="77"/>
      <c r="U57" s="78"/>
      <c r="V57" s="81"/>
      <c r="W57" s="80">
        <v>0</v>
      </c>
    </row>
    <row r="58" spans="1:23" ht="15.6" hidden="1" x14ac:dyDescent="0.3">
      <c r="A58" s="67" t="s">
        <v>995</v>
      </c>
      <c r="B58" s="69">
        <v>29991651</v>
      </c>
      <c r="C58" s="69" t="s">
        <v>996</v>
      </c>
      <c r="D58" s="69">
        <v>0</v>
      </c>
      <c r="E58" s="70" t="s">
        <v>19</v>
      </c>
      <c r="F58" s="67" t="s">
        <v>1645</v>
      </c>
      <c r="G58" s="71">
        <v>39782</v>
      </c>
      <c r="H58" s="72">
        <v>44889</v>
      </c>
      <c r="I58" s="135">
        <v>0</v>
      </c>
      <c r="J58" s="134">
        <v>0</v>
      </c>
      <c r="K58" s="125"/>
      <c r="L58" s="74">
        <v>3.9E-2</v>
      </c>
      <c r="M58" s="75">
        <v>76915</v>
      </c>
      <c r="N58" s="76">
        <v>13</v>
      </c>
      <c r="O58" s="76"/>
      <c r="P58" s="76"/>
      <c r="Q58" s="76"/>
      <c r="R58" s="67" t="s">
        <v>1556</v>
      </c>
      <c r="S58" s="68">
        <v>890399029</v>
      </c>
      <c r="T58" s="77"/>
      <c r="U58" s="78"/>
      <c r="V58" s="81"/>
      <c r="W58" s="80">
        <v>0</v>
      </c>
    </row>
    <row r="59" spans="1:23" ht="15.6" hidden="1" x14ac:dyDescent="0.3">
      <c r="A59" s="67" t="s">
        <v>995</v>
      </c>
      <c r="B59" s="69">
        <v>29991651</v>
      </c>
      <c r="C59" s="69" t="s">
        <v>996</v>
      </c>
      <c r="D59" s="69">
        <v>0</v>
      </c>
      <c r="E59" s="70" t="s">
        <v>19</v>
      </c>
      <c r="F59" s="67" t="s">
        <v>1645</v>
      </c>
      <c r="G59" s="71">
        <v>39782</v>
      </c>
      <c r="H59" s="119"/>
      <c r="I59" s="133">
        <v>0</v>
      </c>
      <c r="J59" s="134">
        <v>0</v>
      </c>
      <c r="K59" s="125"/>
      <c r="L59" s="74">
        <v>3.9E-2</v>
      </c>
      <c r="M59" s="75">
        <v>116797</v>
      </c>
      <c r="N59" s="76">
        <v>13</v>
      </c>
      <c r="O59" s="76"/>
      <c r="P59" s="76"/>
      <c r="Q59" s="76"/>
      <c r="R59" s="67" t="s">
        <v>1613</v>
      </c>
      <c r="S59" s="68">
        <v>891901158</v>
      </c>
      <c r="T59" s="77"/>
      <c r="U59" s="78"/>
      <c r="V59" s="81"/>
      <c r="W59" s="80">
        <v>0</v>
      </c>
    </row>
    <row r="60" spans="1:23" ht="15.6" hidden="1" x14ac:dyDescent="0.3">
      <c r="A60" s="67" t="s">
        <v>1366</v>
      </c>
      <c r="B60" s="69">
        <v>7489192</v>
      </c>
      <c r="C60" s="69" t="s">
        <v>1367</v>
      </c>
      <c r="D60" s="69">
        <v>0</v>
      </c>
      <c r="E60" s="70" t="s">
        <v>472</v>
      </c>
      <c r="F60" s="67" t="s">
        <v>1645</v>
      </c>
      <c r="G60" s="71">
        <v>39676</v>
      </c>
      <c r="H60" s="119"/>
      <c r="I60" s="133">
        <v>0</v>
      </c>
      <c r="J60" s="134">
        <v>0</v>
      </c>
      <c r="K60" s="125"/>
      <c r="L60" s="74">
        <v>2.8500000000000001E-2</v>
      </c>
      <c r="M60" s="75">
        <v>56329</v>
      </c>
      <c r="N60" s="76">
        <v>13</v>
      </c>
      <c r="O60" s="76"/>
      <c r="P60" s="76"/>
      <c r="Q60" s="76"/>
      <c r="R60" s="67" t="s">
        <v>1614</v>
      </c>
      <c r="S60" s="68">
        <v>892000148</v>
      </c>
      <c r="T60" s="77"/>
      <c r="U60" s="78"/>
      <c r="V60" s="81"/>
      <c r="W60" s="80">
        <v>0</v>
      </c>
    </row>
    <row r="61" spans="1:23" ht="15.6" hidden="1" x14ac:dyDescent="0.3">
      <c r="A61" s="67" t="s">
        <v>1206</v>
      </c>
      <c r="B61" s="69">
        <v>3342784</v>
      </c>
      <c r="C61" s="69" t="s">
        <v>1207</v>
      </c>
      <c r="D61" s="69">
        <v>0</v>
      </c>
      <c r="E61" s="70" t="s">
        <v>818</v>
      </c>
      <c r="F61" s="67" t="s">
        <v>1645</v>
      </c>
      <c r="G61" s="71">
        <v>28581</v>
      </c>
      <c r="H61" s="72">
        <v>44196</v>
      </c>
      <c r="I61" s="133">
        <v>0</v>
      </c>
      <c r="J61" s="134">
        <v>0</v>
      </c>
      <c r="K61" s="125"/>
      <c r="L61" s="74">
        <v>1.8100000000000002E-2</v>
      </c>
      <c r="M61" s="75">
        <v>7059</v>
      </c>
      <c r="N61" s="76">
        <v>14</v>
      </c>
      <c r="O61" s="76"/>
      <c r="P61" s="76"/>
      <c r="Q61" s="76"/>
      <c r="R61" s="67" t="s">
        <v>1580</v>
      </c>
      <c r="S61" s="68">
        <v>890905211</v>
      </c>
      <c r="T61" s="77">
        <v>21306909</v>
      </c>
      <c r="U61" s="78" t="s">
        <v>1744</v>
      </c>
      <c r="V61" s="63"/>
      <c r="W61" s="80">
        <v>0</v>
      </c>
    </row>
    <row r="62" spans="1:23" ht="15.6" hidden="1" x14ac:dyDescent="0.3">
      <c r="A62" s="67" t="s">
        <v>1307</v>
      </c>
      <c r="B62" s="69">
        <v>4973656</v>
      </c>
      <c r="C62" s="69" t="s">
        <v>1308</v>
      </c>
      <c r="D62" s="69">
        <v>0</v>
      </c>
      <c r="E62" s="70" t="s">
        <v>472</v>
      </c>
      <c r="F62" s="67" t="s">
        <v>1645</v>
      </c>
      <c r="G62" s="71">
        <v>30317</v>
      </c>
      <c r="H62" s="119"/>
      <c r="I62" s="135">
        <v>0</v>
      </c>
      <c r="J62" s="134">
        <v>0</v>
      </c>
      <c r="K62" s="125"/>
      <c r="L62" s="74">
        <v>0.30420000000000003</v>
      </c>
      <c r="M62" s="75">
        <v>12883</v>
      </c>
      <c r="N62" s="76">
        <v>14</v>
      </c>
      <c r="O62" s="76"/>
      <c r="P62" s="76"/>
      <c r="Q62" s="76"/>
      <c r="R62" s="67" t="s">
        <v>1604</v>
      </c>
      <c r="S62" s="68">
        <v>891780058</v>
      </c>
      <c r="T62" s="77"/>
      <c r="U62" s="78"/>
      <c r="V62" s="81"/>
      <c r="W62" s="80">
        <v>0</v>
      </c>
    </row>
    <row r="63" spans="1:23" ht="15.6" x14ac:dyDescent="0.3">
      <c r="A63" s="67" t="s">
        <v>1235</v>
      </c>
      <c r="B63" s="69">
        <v>6785902</v>
      </c>
      <c r="C63" s="69" t="s">
        <v>1236</v>
      </c>
      <c r="D63" s="69">
        <v>0</v>
      </c>
      <c r="E63" s="70" t="s">
        <v>592</v>
      </c>
      <c r="F63" s="67" t="s">
        <v>1643</v>
      </c>
      <c r="G63" s="71">
        <v>38777</v>
      </c>
      <c r="H63" s="72">
        <v>44196</v>
      </c>
      <c r="I63" s="133">
        <v>0</v>
      </c>
      <c r="J63" s="134">
        <v>0</v>
      </c>
      <c r="K63" s="125"/>
      <c r="L63" s="74">
        <v>0.1221</v>
      </c>
      <c r="M63" s="75">
        <v>232379</v>
      </c>
      <c r="N63" s="76">
        <v>1</v>
      </c>
      <c r="O63" s="76"/>
      <c r="P63" s="76"/>
      <c r="Q63" s="76"/>
      <c r="R63" s="67" t="s">
        <v>1581</v>
      </c>
      <c r="S63" s="68">
        <v>890980093</v>
      </c>
      <c r="T63" s="77"/>
      <c r="U63" s="78"/>
      <c r="V63" s="81"/>
      <c r="W63" s="80">
        <v>0</v>
      </c>
    </row>
    <row r="64" spans="1:23" ht="15.6" hidden="1" x14ac:dyDescent="0.3">
      <c r="A64" s="67" t="s">
        <v>582</v>
      </c>
      <c r="B64" s="69">
        <v>25753169</v>
      </c>
      <c r="C64" s="69" t="s">
        <v>583</v>
      </c>
      <c r="D64" s="69">
        <v>0</v>
      </c>
      <c r="E64" s="70" t="s">
        <v>472</v>
      </c>
      <c r="F64" s="67" t="s">
        <v>1645</v>
      </c>
      <c r="G64" s="71">
        <v>29952</v>
      </c>
      <c r="H64" s="72"/>
      <c r="I64" s="133">
        <v>0</v>
      </c>
      <c r="J64" s="134">
        <v>0</v>
      </c>
      <c r="K64" s="123" t="s">
        <v>1474</v>
      </c>
      <c r="L64" s="74">
        <v>0.1013</v>
      </c>
      <c r="M64" s="85">
        <v>839</v>
      </c>
      <c r="N64" s="76">
        <v>14</v>
      </c>
      <c r="O64" s="76">
        <v>8</v>
      </c>
      <c r="P64" s="83">
        <v>8280</v>
      </c>
      <c r="Q64" s="76">
        <v>0</v>
      </c>
      <c r="R64" s="67" t="s">
        <v>1512</v>
      </c>
      <c r="S64" s="68">
        <v>800103935</v>
      </c>
      <c r="T64" s="77"/>
      <c r="U64" s="78"/>
      <c r="V64" s="81"/>
      <c r="W64" s="80">
        <v>0</v>
      </c>
    </row>
    <row r="65" spans="1:23" ht="15.6" hidden="1" x14ac:dyDescent="0.3">
      <c r="A65" s="67" t="s">
        <v>957</v>
      </c>
      <c r="B65" s="69">
        <v>2874670</v>
      </c>
      <c r="C65" s="69" t="s">
        <v>958</v>
      </c>
      <c r="D65" s="69">
        <v>0</v>
      </c>
      <c r="E65" s="70" t="s">
        <v>472</v>
      </c>
      <c r="F65" s="67" t="s">
        <v>1645</v>
      </c>
      <c r="G65" s="71">
        <v>26391</v>
      </c>
      <c r="H65" s="72">
        <v>44889</v>
      </c>
      <c r="I65" s="133">
        <v>0</v>
      </c>
      <c r="J65" s="134">
        <v>0</v>
      </c>
      <c r="K65" s="125"/>
      <c r="L65" s="74">
        <v>0.33889999999999998</v>
      </c>
      <c r="M65" s="75">
        <v>3675</v>
      </c>
      <c r="N65" s="76">
        <v>14</v>
      </c>
      <c r="O65" s="76"/>
      <c r="P65" s="76"/>
      <c r="Q65" s="76"/>
      <c r="R65" s="67" t="s">
        <v>1556</v>
      </c>
      <c r="S65" s="68">
        <v>890399029</v>
      </c>
      <c r="T65" s="77">
        <v>41500078</v>
      </c>
      <c r="U65" s="78" t="s">
        <v>1710</v>
      </c>
      <c r="V65" s="81"/>
      <c r="W65" s="80">
        <v>0</v>
      </c>
    </row>
    <row r="66" spans="1:23" ht="15.6" hidden="1" x14ac:dyDescent="0.3">
      <c r="A66" s="84" t="s">
        <v>839</v>
      </c>
      <c r="B66" s="69">
        <v>27906324</v>
      </c>
      <c r="C66" s="69" t="s">
        <v>840</v>
      </c>
      <c r="D66" s="69">
        <v>0</v>
      </c>
      <c r="E66" s="70" t="s">
        <v>472</v>
      </c>
      <c r="F66" s="67" t="s">
        <v>1645</v>
      </c>
      <c r="G66" s="71">
        <v>28865</v>
      </c>
      <c r="H66" s="72">
        <v>45568</v>
      </c>
      <c r="I66" s="133">
        <v>0</v>
      </c>
      <c r="J66" s="134">
        <v>0</v>
      </c>
      <c r="K66" s="125"/>
      <c r="L66" s="74">
        <v>0.1333</v>
      </c>
      <c r="M66" s="75">
        <v>2525</v>
      </c>
      <c r="N66" s="76">
        <v>14</v>
      </c>
      <c r="O66" s="76">
        <v>0</v>
      </c>
      <c r="P66" s="83">
        <v>21596</v>
      </c>
      <c r="Q66" s="83">
        <v>9076</v>
      </c>
      <c r="R66" s="67" t="s">
        <v>1542</v>
      </c>
      <c r="S66" s="68">
        <v>890201235</v>
      </c>
      <c r="T66" s="77"/>
      <c r="U66" s="78"/>
      <c r="V66" s="81"/>
      <c r="W66" s="80">
        <v>0</v>
      </c>
    </row>
    <row r="67" spans="1:23" ht="15.6" hidden="1" x14ac:dyDescent="0.3">
      <c r="A67" s="67" t="s">
        <v>839</v>
      </c>
      <c r="B67" s="69">
        <v>27906324</v>
      </c>
      <c r="C67" s="69" t="s">
        <v>840</v>
      </c>
      <c r="D67" s="69">
        <v>0</v>
      </c>
      <c r="E67" s="70" t="s">
        <v>472</v>
      </c>
      <c r="F67" s="67" t="s">
        <v>1645</v>
      </c>
      <c r="G67" s="71">
        <v>28865</v>
      </c>
      <c r="H67" s="72">
        <v>45568</v>
      </c>
      <c r="I67" s="133">
        <v>0</v>
      </c>
      <c r="J67" s="134">
        <v>0</v>
      </c>
      <c r="K67" s="125"/>
      <c r="L67" s="74">
        <v>0.1333</v>
      </c>
      <c r="M67" s="75">
        <v>2526</v>
      </c>
      <c r="N67" s="76">
        <v>14</v>
      </c>
      <c r="O67" s="76"/>
      <c r="P67" s="76"/>
      <c r="Q67" s="76"/>
      <c r="R67" s="67" t="s">
        <v>1542</v>
      </c>
      <c r="S67" s="68">
        <v>890201235</v>
      </c>
      <c r="T67" s="77"/>
      <c r="U67" s="78"/>
      <c r="V67" s="81"/>
      <c r="W67" s="80">
        <v>0</v>
      </c>
    </row>
    <row r="68" spans="1:23" ht="15.6" hidden="1" x14ac:dyDescent="0.3">
      <c r="A68" s="84" t="s">
        <v>839</v>
      </c>
      <c r="B68" s="69">
        <v>27906324</v>
      </c>
      <c r="C68" s="69" t="s">
        <v>840</v>
      </c>
      <c r="D68" s="69">
        <v>0</v>
      </c>
      <c r="E68" s="70" t="s">
        <v>19</v>
      </c>
      <c r="F68" s="67" t="s">
        <v>1645</v>
      </c>
      <c r="G68" s="71">
        <v>28865</v>
      </c>
      <c r="H68" s="72">
        <v>40178</v>
      </c>
      <c r="I68" s="133">
        <v>0</v>
      </c>
      <c r="J68" s="134">
        <v>0</v>
      </c>
      <c r="K68" s="125"/>
      <c r="L68" s="74">
        <v>0.1333</v>
      </c>
      <c r="M68" s="106">
        <v>9076</v>
      </c>
      <c r="N68" s="76">
        <v>14</v>
      </c>
      <c r="O68" s="107"/>
      <c r="P68" s="107"/>
      <c r="Q68" s="107"/>
      <c r="R68" s="67" t="s">
        <v>1543</v>
      </c>
      <c r="S68" s="88">
        <v>890201538</v>
      </c>
      <c r="T68" s="77"/>
      <c r="U68" s="78"/>
      <c r="V68" s="81"/>
      <c r="W68" s="80">
        <v>0</v>
      </c>
    </row>
    <row r="69" spans="1:23" ht="15.6" hidden="1" x14ac:dyDescent="0.3">
      <c r="A69" s="67" t="s">
        <v>1003</v>
      </c>
      <c r="B69" s="69">
        <v>17027132</v>
      </c>
      <c r="C69" s="69" t="s">
        <v>1004</v>
      </c>
      <c r="D69" s="69">
        <v>0</v>
      </c>
      <c r="E69" s="70" t="s">
        <v>21</v>
      </c>
      <c r="F69" s="67" t="s">
        <v>1645</v>
      </c>
      <c r="G69" s="71">
        <v>28154</v>
      </c>
      <c r="H69" s="72">
        <v>44889</v>
      </c>
      <c r="I69" s="135">
        <v>0</v>
      </c>
      <c r="J69" s="134">
        <v>0</v>
      </c>
      <c r="K69" s="125"/>
      <c r="L69" s="74">
        <v>6.2799999999999995E-2</v>
      </c>
      <c r="M69" s="75">
        <v>5002</v>
      </c>
      <c r="N69" s="76">
        <v>14</v>
      </c>
      <c r="O69" s="76">
        <v>0</v>
      </c>
      <c r="P69" s="76">
        <v>0</v>
      </c>
      <c r="Q69" s="76">
        <v>0</v>
      </c>
      <c r="R69" s="67" t="s">
        <v>1559</v>
      </c>
      <c r="S69" s="68">
        <v>890480059</v>
      </c>
      <c r="T69" s="77"/>
      <c r="U69" s="78"/>
      <c r="V69" s="63"/>
      <c r="W69" s="80">
        <v>0</v>
      </c>
    </row>
    <row r="70" spans="1:23" ht="15.6" hidden="1" x14ac:dyDescent="0.3">
      <c r="A70" s="67" t="s">
        <v>904</v>
      </c>
      <c r="B70" s="69">
        <v>14990074</v>
      </c>
      <c r="C70" s="69" t="s">
        <v>905</v>
      </c>
      <c r="D70" s="69">
        <v>0</v>
      </c>
      <c r="E70" s="70" t="s">
        <v>472</v>
      </c>
      <c r="F70" s="67" t="s">
        <v>1645</v>
      </c>
      <c r="G70" s="71">
        <v>39174</v>
      </c>
      <c r="H70" s="72"/>
      <c r="I70" s="133">
        <v>0</v>
      </c>
      <c r="J70" s="134">
        <v>0</v>
      </c>
      <c r="K70" s="125"/>
      <c r="L70" s="74">
        <v>5.1999999999999998E-3</v>
      </c>
      <c r="M70" s="75">
        <v>10466</v>
      </c>
      <c r="N70" s="76">
        <v>14</v>
      </c>
      <c r="O70" s="76"/>
      <c r="P70" s="76"/>
      <c r="Q70" s="76"/>
      <c r="R70" s="67" t="s">
        <v>1549</v>
      </c>
      <c r="S70" s="68">
        <v>890303461</v>
      </c>
      <c r="T70" s="77">
        <v>31290075</v>
      </c>
      <c r="U70" s="78" t="s">
        <v>1702</v>
      </c>
      <c r="V70" s="81"/>
      <c r="W70" s="80">
        <v>1285528</v>
      </c>
    </row>
    <row r="71" spans="1:23" ht="15.6" x14ac:dyDescent="0.3">
      <c r="A71" s="67" t="s">
        <v>597</v>
      </c>
      <c r="B71" s="69">
        <v>15016119</v>
      </c>
      <c r="C71" s="69" t="s">
        <v>598</v>
      </c>
      <c r="D71" s="69">
        <v>0</v>
      </c>
      <c r="E71" s="70" t="s">
        <v>19</v>
      </c>
      <c r="F71" s="67" t="s">
        <v>1643</v>
      </c>
      <c r="G71" s="71">
        <v>39052</v>
      </c>
      <c r="H71" s="72"/>
      <c r="I71" s="133">
        <v>0</v>
      </c>
      <c r="J71" s="134">
        <v>0</v>
      </c>
      <c r="K71" s="123" t="s">
        <v>1474</v>
      </c>
      <c r="L71" s="74">
        <v>0.1782</v>
      </c>
      <c r="M71" s="75">
        <v>273235</v>
      </c>
      <c r="N71" s="76">
        <v>1</v>
      </c>
      <c r="O71" s="76">
        <v>0</v>
      </c>
      <c r="P71" s="83">
        <v>1533305</v>
      </c>
      <c r="Q71" s="76">
        <v>0</v>
      </c>
      <c r="R71" s="67" t="s">
        <v>1512</v>
      </c>
      <c r="S71" s="68">
        <v>800103935</v>
      </c>
      <c r="T71" s="77"/>
      <c r="U71" s="78"/>
      <c r="V71" s="81"/>
      <c r="W71" s="80">
        <v>0</v>
      </c>
    </row>
    <row r="72" spans="1:23" ht="15.6" hidden="1" x14ac:dyDescent="0.3">
      <c r="A72" s="67" t="s">
        <v>532</v>
      </c>
      <c r="B72" s="69">
        <v>1701081</v>
      </c>
      <c r="C72" s="69" t="s">
        <v>533</v>
      </c>
      <c r="D72" s="69">
        <v>0</v>
      </c>
      <c r="E72" s="70" t="s">
        <v>19</v>
      </c>
      <c r="F72" s="67" t="s">
        <v>1645</v>
      </c>
      <c r="G72" s="71">
        <v>33207</v>
      </c>
      <c r="H72" s="72"/>
      <c r="I72" s="133">
        <v>0</v>
      </c>
      <c r="J72" s="134">
        <v>0</v>
      </c>
      <c r="K72" s="123" t="s">
        <v>1475</v>
      </c>
      <c r="L72" s="74">
        <v>3.56E-2</v>
      </c>
      <c r="M72" s="75">
        <v>9576</v>
      </c>
      <c r="N72" s="76">
        <v>14</v>
      </c>
      <c r="O72" s="76"/>
      <c r="P72" s="76"/>
      <c r="Q72" s="76"/>
      <c r="R72" s="67" t="s">
        <v>1509</v>
      </c>
      <c r="S72" s="68">
        <v>800103920</v>
      </c>
      <c r="T72" s="77">
        <v>26658039</v>
      </c>
      <c r="U72" s="78" t="s">
        <v>1663</v>
      </c>
      <c r="V72" s="81"/>
      <c r="W72" s="80">
        <v>0</v>
      </c>
    </row>
    <row r="73" spans="1:23" ht="15.6" hidden="1" x14ac:dyDescent="0.3">
      <c r="A73" s="67" t="s">
        <v>1453</v>
      </c>
      <c r="B73" s="69">
        <v>11372802</v>
      </c>
      <c r="C73" s="69" t="s">
        <v>1454</v>
      </c>
      <c r="D73" s="69">
        <v>0</v>
      </c>
      <c r="E73" s="70" t="s">
        <v>21</v>
      </c>
      <c r="F73" s="67" t="s">
        <v>1645</v>
      </c>
      <c r="G73" s="71">
        <v>39661</v>
      </c>
      <c r="H73" s="119">
        <v>44196</v>
      </c>
      <c r="I73" s="133">
        <v>3894918.98</v>
      </c>
      <c r="J73" s="134">
        <v>600306.38</v>
      </c>
      <c r="K73" s="125"/>
      <c r="L73" s="74">
        <v>0.1555</v>
      </c>
      <c r="M73" s="75">
        <v>307337</v>
      </c>
      <c r="N73" s="76">
        <v>13</v>
      </c>
      <c r="O73" s="76">
        <v>0</v>
      </c>
      <c r="P73" s="83">
        <v>348227</v>
      </c>
      <c r="Q73" s="83">
        <v>2587747</v>
      </c>
      <c r="R73" s="67" t="s">
        <v>1628</v>
      </c>
      <c r="S73" s="68">
        <v>899999114</v>
      </c>
      <c r="T73" s="77"/>
      <c r="U73" s="78"/>
      <c r="V73" s="81"/>
      <c r="W73" s="80">
        <v>0</v>
      </c>
    </row>
    <row r="74" spans="1:23" ht="15.6" hidden="1" x14ac:dyDescent="0.3">
      <c r="A74" s="67" t="s">
        <v>837</v>
      </c>
      <c r="B74" s="69">
        <v>5644814</v>
      </c>
      <c r="C74" s="69" t="s">
        <v>838</v>
      </c>
      <c r="D74" s="69">
        <v>0</v>
      </c>
      <c r="E74" s="70" t="s">
        <v>472</v>
      </c>
      <c r="F74" s="67" t="s">
        <v>1645</v>
      </c>
      <c r="G74" s="71">
        <v>39782</v>
      </c>
      <c r="H74" s="72">
        <v>45568</v>
      </c>
      <c r="I74" s="135">
        <v>0</v>
      </c>
      <c r="J74" s="134">
        <v>0</v>
      </c>
      <c r="K74" s="125"/>
      <c r="L74" s="74">
        <v>0.1114</v>
      </c>
      <c r="M74" s="75">
        <v>136086</v>
      </c>
      <c r="N74" s="76">
        <v>14</v>
      </c>
      <c r="O74" s="76"/>
      <c r="P74" s="76"/>
      <c r="Q74" s="76"/>
      <c r="R74" s="67" t="s">
        <v>1541</v>
      </c>
      <c r="S74" s="68">
        <v>890201230</v>
      </c>
      <c r="T74" s="77">
        <v>63321854</v>
      </c>
      <c r="U74" s="78" t="s">
        <v>1697</v>
      </c>
      <c r="V74" s="81"/>
      <c r="W74" s="80">
        <v>2170290</v>
      </c>
    </row>
    <row r="75" spans="1:23" ht="15.6" hidden="1" x14ac:dyDescent="0.3">
      <c r="A75" s="67" t="s">
        <v>837</v>
      </c>
      <c r="B75" s="69">
        <v>5644814</v>
      </c>
      <c r="C75" s="69" t="s">
        <v>838</v>
      </c>
      <c r="D75" s="69">
        <v>0</v>
      </c>
      <c r="E75" s="70" t="s">
        <v>19</v>
      </c>
      <c r="F75" s="67" t="s">
        <v>1645</v>
      </c>
      <c r="G75" s="71">
        <v>39782</v>
      </c>
      <c r="H75" s="72">
        <v>40178</v>
      </c>
      <c r="I75" s="135">
        <v>0</v>
      </c>
      <c r="J75" s="134">
        <v>0</v>
      </c>
      <c r="K75" s="125"/>
      <c r="L75" s="74">
        <v>0.1114</v>
      </c>
      <c r="M75" s="75">
        <v>168071</v>
      </c>
      <c r="N75" s="76">
        <v>14</v>
      </c>
      <c r="O75" s="76">
        <v>0</v>
      </c>
      <c r="P75" s="83">
        <v>1942041</v>
      </c>
      <c r="Q75" s="76">
        <v>0</v>
      </c>
      <c r="R75" s="67" t="s">
        <v>1542</v>
      </c>
      <c r="S75" s="68">
        <v>890201235</v>
      </c>
      <c r="T75" s="77">
        <v>63321854</v>
      </c>
      <c r="U75" s="78" t="s">
        <v>1697</v>
      </c>
      <c r="V75" s="64"/>
      <c r="W75" s="80">
        <v>2170290</v>
      </c>
    </row>
    <row r="76" spans="1:23" ht="15.6" hidden="1" x14ac:dyDescent="0.3">
      <c r="A76" s="67" t="s">
        <v>837</v>
      </c>
      <c r="B76" s="69">
        <v>5644814</v>
      </c>
      <c r="C76" s="69" t="s">
        <v>838</v>
      </c>
      <c r="D76" s="69">
        <v>0</v>
      </c>
      <c r="E76" s="70" t="s">
        <v>19</v>
      </c>
      <c r="F76" s="67" t="s">
        <v>1645</v>
      </c>
      <c r="G76" s="71">
        <v>39782</v>
      </c>
      <c r="H76" s="72">
        <v>40178</v>
      </c>
      <c r="I76" s="133">
        <v>0</v>
      </c>
      <c r="J76" s="134">
        <v>0</v>
      </c>
      <c r="K76" s="125"/>
      <c r="L76" s="74">
        <v>0.1114</v>
      </c>
      <c r="M76" s="75">
        <v>203827</v>
      </c>
      <c r="N76" s="76">
        <v>14</v>
      </c>
      <c r="O76" s="76"/>
      <c r="P76" s="76"/>
      <c r="Q76" s="76"/>
      <c r="R76" s="67" t="s">
        <v>1545</v>
      </c>
      <c r="S76" s="68">
        <v>890204802</v>
      </c>
      <c r="T76" s="77">
        <v>63321854</v>
      </c>
      <c r="U76" s="78" t="s">
        <v>1697</v>
      </c>
      <c r="V76" s="81"/>
      <c r="W76" s="80">
        <v>2170290</v>
      </c>
    </row>
    <row r="77" spans="1:23" ht="15.6" x14ac:dyDescent="0.3">
      <c r="A77" s="67" t="s">
        <v>1344</v>
      </c>
      <c r="B77" s="69">
        <v>16202662</v>
      </c>
      <c r="C77" s="69" t="s">
        <v>1345</v>
      </c>
      <c r="D77" s="69">
        <v>0</v>
      </c>
      <c r="E77" s="70" t="s">
        <v>19</v>
      </c>
      <c r="F77" s="67" t="s">
        <v>1643</v>
      </c>
      <c r="G77" s="71">
        <v>41699</v>
      </c>
      <c r="H77" s="119"/>
      <c r="I77" s="133">
        <v>0</v>
      </c>
      <c r="J77" s="134">
        <v>0</v>
      </c>
      <c r="K77" s="125"/>
      <c r="L77" s="74">
        <v>5.9400000000000001E-2</v>
      </c>
      <c r="M77" s="75">
        <v>92615</v>
      </c>
      <c r="N77" s="76">
        <v>1</v>
      </c>
      <c r="O77" s="76"/>
      <c r="P77" s="76"/>
      <c r="Q77" s="76"/>
      <c r="R77" s="67" t="s">
        <v>1611</v>
      </c>
      <c r="S77" s="68">
        <v>891900493</v>
      </c>
      <c r="T77" s="77"/>
      <c r="U77" s="78"/>
      <c r="V77" s="81"/>
      <c r="W77" s="80">
        <v>0</v>
      </c>
    </row>
    <row r="78" spans="1:23" ht="15.6" hidden="1" x14ac:dyDescent="0.3">
      <c r="A78" s="67" t="s">
        <v>1381</v>
      </c>
      <c r="B78" s="69">
        <v>1781915</v>
      </c>
      <c r="C78" s="69" t="s">
        <v>1382</v>
      </c>
      <c r="D78" s="69">
        <v>0</v>
      </c>
      <c r="E78" s="70" t="s">
        <v>472</v>
      </c>
      <c r="F78" s="67" t="s">
        <v>1645</v>
      </c>
      <c r="G78" s="71">
        <v>35431</v>
      </c>
      <c r="H78" s="119">
        <v>40543</v>
      </c>
      <c r="I78" s="135">
        <v>0</v>
      </c>
      <c r="J78" s="134">
        <v>0</v>
      </c>
      <c r="K78" s="125"/>
      <c r="L78" s="74">
        <v>7.2400000000000006E-2</v>
      </c>
      <c r="M78" s="75">
        <v>44505</v>
      </c>
      <c r="N78" s="76">
        <v>14</v>
      </c>
      <c r="O78" s="76">
        <v>0</v>
      </c>
      <c r="P78" s="83">
        <v>614561</v>
      </c>
      <c r="Q78" s="76">
        <v>0</v>
      </c>
      <c r="R78" s="67" t="s">
        <v>1622</v>
      </c>
      <c r="S78" s="68">
        <v>892399999</v>
      </c>
      <c r="T78" s="77">
        <v>1065663536</v>
      </c>
      <c r="U78" s="78" t="s">
        <v>1765</v>
      </c>
      <c r="V78" s="81"/>
      <c r="W78" s="80">
        <v>0</v>
      </c>
    </row>
    <row r="79" spans="1:23" ht="15.6" hidden="1" x14ac:dyDescent="0.3">
      <c r="A79" s="67" t="s">
        <v>534</v>
      </c>
      <c r="B79" s="69">
        <v>4977412</v>
      </c>
      <c r="C79" s="69" t="s">
        <v>535</v>
      </c>
      <c r="D79" s="69">
        <v>0</v>
      </c>
      <c r="E79" s="70" t="s">
        <v>19</v>
      </c>
      <c r="F79" s="67" t="s">
        <v>1645</v>
      </c>
      <c r="G79" s="71">
        <v>35704</v>
      </c>
      <c r="H79" s="72"/>
      <c r="I79" s="135">
        <v>0</v>
      </c>
      <c r="J79" s="134">
        <v>0</v>
      </c>
      <c r="K79" s="123" t="s">
        <v>1475</v>
      </c>
      <c r="L79" s="74">
        <v>0.22289999999999999</v>
      </c>
      <c r="M79" s="75">
        <v>184507</v>
      </c>
      <c r="N79" s="76">
        <v>14</v>
      </c>
      <c r="O79" s="76"/>
      <c r="P79" s="76"/>
      <c r="Q79" s="76"/>
      <c r="R79" s="67" t="s">
        <v>1509</v>
      </c>
      <c r="S79" s="68">
        <v>800103920</v>
      </c>
      <c r="T79" s="77"/>
      <c r="U79" s="78"/>
      <c r="V79" s="81"/>
      <c r="W79" s="80">
        <v>0</v>
      </c>
    </row>
    <row r="80" spans="1:23" ht="15.6" hidden="1" x14ac:dyDescent="0.3">
      <c r="A80" s="67" t="s">
        <v>599</v>
      </c>
      <c r="B80" s="69">
        <v>6864169</v>
      </c>
      <c r="C80" s="69" t="s">
        <v>600</v>
      </c>
      <c r="D80" s="69">
        <v>0</v>
      </c>
      <c r="E80" s="70" t="s">
        <v>592</v>
      </c>
      <c r="F80" s="67" t="s">
        <v>1645</v>
      </c>
      <c r="G80" s="71">
        <v>39263</v>
      </c>
      <c r="H80" s="72"/>
      <c r="I80" s="133">
        <v>0</v>
      </c>
      <c r="J80" s="134">
        <v>0</v>
      </c>
      <c r="K80" s="123" t="s">
        <v>1474</v>
      </c>
      <c r="L80" s="74">
        <v>0.20349999999999999</v>
      </c>
      <c r="M80" s="75">
        <v>445995</v>
      </c>
      <c r="N80" s="76">
        <v>13</v>
      </c>
      <c r="O80" s="76">
        <v>0</v>
      </c>
      <c r="P80" s="83">
        <v>1888154</v>
      </c>
      <c r="Q80" s="76">
        <v>0</v>
      </c>
      <c r="R80" s="67" t="s">
        <v>1512</v>
      </c>
      <c r="S80" s="68">
        <v>800103935</v>
      </c>
      <c r="T80" s="77"/>
      <c r="U80" s="78"/>
      <c r="V80" s="81"/>
      <c r="W80" s="80">
        <v>0</v>
      </c>
    </row>
    <row r="81" spans="1:23" ht="15.6" hidden="1" x14ac:dyDescent="0.3">
      <c r="A81" s="67" t="s">
        <v>874</v>
      </c>
      <c r="B81" s="69">
        <v>13879057</v>
      </c>
      <c r="C81" s="69" t="s">
        <v>875</v>
      </c>
      <c r="D81" s="69">
        <v>0</v>
      </c>
      <c r="E81" s="70" t="s">
        <v>21</v>
      </c>
      <c r="F81" s="67" t="s">
        <v>1645</v>
      </c>
      <c r="G81" s="71">
        <v>39051</v>
      </c>
      <c r="H81" s="72"/>
      <c r="I81" s="133">
        <v>0</v>
      </c>
      <c r="J81" s="134">
        <v>0</v>
      </c>
      <c r="K81" s="125"/>
      <c r="L81" s="74">
        <v>0.17330000000000001</v>
      </c>
      <c r="M81" s="75">
        <v>314086</v>
      </c>
      <c r="N81" s="76">
        <v>13</v>
      </c>
      <c r="O81" s="76">
        <v>0</v>
      </c>
      <c r="P81" s="83">
        <v>1805023</v>
      </c>
      <c r="Q81" s="76">
        <v>0</v>
      </c>
      <c r="R81" s="67" t="s">
        <v>1542</v>
      </c>
      <c r="S81" s="68">
        <v>890201235</v>
      </c>
      <c r="T81" s="77"/>
      <c r="U81" s="78"/>
      <c r="V81" s="81"/>
      <c r="W81" s="80">
        <v>0</v>
      </c>
    </row>
    <row r="82" spans="1:23" ht="15.6" hidden="1" x14ac:dyDescent="0.3">
      <c r="A82" s="67" t="s">
        <v>572</v>
      </c>
      <c r="B82" s="69">
        <v>37228776</v>
      </c>
      <c r="C82" s="69" t="s">
        <v>573</v>
      </c>
      <c r="D82" s="69">
        <v>0</v>
      </c>
      <c r="E82" s="70" t="s">
        <v>472</v>
      </c>
      <c r="F82" s="67" t="s">
        <v>1645</v>
      </c>
      <c r="G82" s="71">
        <v>38808</v>
      </c>
      <c r="H82" s="72"/>
      <c r="I82" s="135">
        <v>0</v>
      </c>
      <c r="J82" s="134">
        <v>0</v>
      </c>
      <c r="K82" s="123" t="s">
        <v>1486</v>
      </c>
      <c r="L82" s="74">
        <v>3.4200000000000001E-2</v>
      </c>
      <c r="M82" s="75">
        <v>60017</v>
      </c>
      <c r="N82" s="76">
        <v>14</v>
      </c>
      <c r="O82" s="76"/>
      <c r="P82" s="76"/>
      <c r="Q82" s="76"/>
      <c r="R82" s="67" t="s">
        <v>1511</v>
      </c>
      <c r="S82" s="68">
        <v>800103927</v>
      </c>
      <c r="T82" s="77"/>
      <c r="U82" s="78"/>
      <c r="V82" s="81"/>
      <c r="W82" s="80">
        <v>0</v>
      </c>
    </row>
    <row r="83" spans="1:23" ht="15.6" hidden="1" x14ac:dyDescent="0.3">
      <c r="A83" s="67" t="s">
        <v>474</v>
      </c>
      <c r="B83" s="69">
        <v>36485423</v>
      </c>
      <c r="C83" s="69" t="s">
        <v>475</v>
      </c>
      <c r="D83" s="69">
        <v>0</v>
      </c>
      <c r="E83" s="70" t="s">
        <v>472</v>
      </c>
      <c r="F83" s="67" t="s">
        <v>1645</v>
      </c>
      <c r="G83" s="71">
        <v>34335</v>
      </c>
      <c r="H83" s="72"/>
      <c r="I83" s="133">
        <v>0</v>
      </c>
      <c r="J83" s="134">
        <v>0</v>
      </c>
      <c r="K83" s="123" t="s">
        <v>1473</v>
      </c>
      <c r="L83" s="74">
        <v>3.7699999999999997E-2</v>
      </c>
      <c r="M83" s="75">
        <v>12540</v>
      </c>
      <c r="N83" s="76">
        <v>14</v>
      </c>
      <c r="O83" s="76"/>
      <c r="P83" s="76"/>
      <c r="Q83" s="76"/>
      <c r="R83" s="67" t="s">
        <v>1496</v>
      </c>
      <c r="S83" s="68">
        <v>800096558</v>
      </c>
      <c r="T83" s="77"/>
      <c r="U83" s="78"/>
      <c r="V83" s="81"/>
      <c r="W83" s="80">
        <v>0</v>
      </c>
    </row>
    <row r="84" spans="1:23" ht="15.6" hidden="1" x14ac:dyDescent="0.3">
      <c r="A84" s="67" t="s">
        <v>1331</v>
      </c>
      <c r="B84" s="69">
        <v>19225188</v>
      </c>
      <c r="C84" s="69" t="s">
        <v>1332</v>
      </c>
      <c r="D84" s="69">
        <v>0</v>
      </c>
      <c r="E84" s="70" t="s">
        <v>1128</v>
      </c>
      <c r="F84" s="67" t="s">
        <v>1645</v>
      </c>
      <c r="G84" s="71">
        <v>39995</v>
      </c>
      <c r="H84" s="119"/>
      <c r="I84" s="133">
        <v>0</v>
      </c>
      <c r="J84" s="134">
        <v>0</v>
      </c>
      <c r="K84" s="125"/>
      <c r="L84" s="74">
        <v>9.7999999999999997E-3</v>
      </c>
      <c r="M84" s="75">
        <v>18829</v>
      </c>
      <c r="N84" s="76">
        <v>13</v>
      </c>
      <c r="O84" s="76">
        <v>0</v>
      </c>
      <c r="P84" s="83">
        <v>1901941</v>
      </c>
      <c r="Q84" s="76">
        <v>0</v>
      </c>
      <c r="R84" s="67" t="s">
        <v>1605</v>
      </c>
      <c r="S84" s="68">
        <v>891800498</v>
      </c>
      <c r="T84" s="77"/>
      <c r="U84" s="78"/>
      <c r="V84" s="81"/>
      <c r="W84" s="80">
        <v>0</v>
      </c>
    </row>
    <row r="85" spans="1:23" ht="15.6" hidden="1" x14ac:dyDescent="0.3">
      <c r="A85" s="67" t="s">
        <v>1296</v>
      </c>
      <c r="B85" s="69">
        <v>13819621</v>
      </c>
      <c r="C85" s="69" t="s">
        <v>1297</v>
      </c>
      <c r="D85" s="69">
        <v>0</v>
      </c>
      <c r="E85" s="70" t="s">
        <v>19</v>
      </c>
      <c r="F85" s="67" t="s">
        <v>1645</v>
      </c>
      <c r="G85" s="71">
        <v>39873</v>
      </c>
      <c r="H85" s="119"/>
      <c r="I85" s="133">
        <v>0</v>
      </c>
      <c r="J85" s="134">
        <v>0</v>
      </c>
      <c r="K85" s="125"/>
      <c r="L85" s="74">
        <v>0.253</v>
      </c>
      <c r="M85" s="75">
        <v>517037</v>
      </c>
      <c r="N85" s="76">
        <v>14</v>
      </c>
      <c r="O85" s="76"/>
      <c r="P85" s="76"/>
      <c r="Q85" s="76"/>
      <c r="R85" s="67" t="s">
        <v>1600</v>
      </c>
      <c r="S85" s="68">
        <v>891680010</v>
      </c>
      <c r="T85" s="77">
        <v>26259085</v>
      </c>
      <c r="U85" s="78" t="s">
        <v>1757</v>
      </c>
      <c r="V85" s="81"/>
      <c r="W85" s="80">
        <v>6141518</v>
      </c>
    </row>
    <row r="86" spans="1:23" ht="15.6" hidden="1" x14ac:dyDescent="0.3">
      <c r="A86" s="67" t="s">
        <v>676</v>
      </c>
      <c r="B86" s="69">
        <v>2876519</v>
      </c>
      <c r="C86" s="69" t="s">
        <v>677</v>
      </c>
      <c r="D86" s="69">
        <v>0</v>
      </c>
      <c r="E86" s="70" t="s">
        <v>21</v>
      </c>
      <c r="F86" s="67" t="s">
        <v>1645</v>
      </c>
      <c r="G86" s="71">
        <v>29221</v>
      </c>
      <c r="H86" s="72">
        <v>45222</v>
      </c>
      <c r="I86" s="133">
        <v>0</v>
      </c>
      <c r="J86" s="134">
        <v>0</v>
      </c>
      <c r="K86" s="123" t="s">
        <v>1483</v>
      </c>
      <c r="L86" s="74">
        <v>0.4375</v>
      </c>
      <c r="M86" s="75">
        <v>5145</v>
      </c>
      <c r="N86" s="76">
        <v>14</v>
      </c>
      <c r="O86" s="76"/>
      <c r="P86" s="76"/>
      <c r="Q86" s="76"/>
      <c r="R86" s="67" t="s">
        <v>1528</v>
      </c>
      <c r="S86" s="68">
        <v>860041163</v>
      </c>
      <c r="T86" s="77">
        <v>20186467</v>
      </c>
      <c r="U86" s="78" t="s">
        <v>1677</v>
      </c>
      <c r="V86" s="81"/>
      <c r="W86" s="80">
        <v>0</v>
      </c>
    </row>
    <row r="87" spans="1:23" ht="15.6" hidden="1" x14ac:dyDescent="0.3">
      <c r="A87" s="67" t="s">
        <v>634</v>
      </c>
      <c r="B87" s="69">
        <v>28536456</v>
      </c>
      <c r="C87" s="69" t="s">
        <v>635</v>
      </c>
      <c r="D87" s="69">
        <v>0</v>
      </c>
      <c r="E87" s="70" t="s">
        <v>19</v>
      </c>
      <c r="F87" s="67" t="s">
        <v>1645</v>
      </c>
      <c r="G87" s="71">
        <v>38216</v>
      </c>
      <c r="H87" s="72">
        <v>45222</v>
      </c>
      <c r="I87" s="133">
        <v>0</v>
      </c>
      <c r="J87" s="134">
        <v>0</v>
      </c>
      <c r="K87" s="123" t="s">
        <v>1477</v>
      </c>
      <c r="L87" s="74">
        <v>0.29870000000000002</v>
      </c>
      <c r="M87" s="75">
        <v>435495</v>
      </c>
      <c r="N87" s="76">
        <v>14</v>
      </c>
      <c r="O87" s="76"/>
      <c r="P87" s="76"/>
      <c r="Q87" s="76"/>
      <c r="R87" s="67" t="s">
        <v>1514</v>
      </c>
      <c r="S87" s="68">
        <v>800113672</v>
      </c>
      <c r="T87" s="77"/>
      <c r="U87" s="78"/>
      <c r="V87" s="81"/>
      <c r="W87" s="80">
        <v>0</v>
      </c>
    </row>
    <row r="88" spans="1:23" ht="15.6" hidden="1" x14ac:dyDescent="0.3">
      <c r="A88" s="84" t="s">
        <v>1086</v>
      </c>
      <c r="B88" s="69">
        <v>3509033</v>
      </c>
      <c r="C88" s="69" t="s">
        <v>1087</v>
      </c>
      <c r="D88" s="69">
        <v>0</v>
      </c>
      <c r="E88" s="70" t="s">
        <v>21</v>
      </c>
      <c r="F88" s="67" t="s">
        <v>1645</v>
      </c>
      <c r="G88" s="71">
        <v>25843</v>
      </c>
      <c r="H88" s="72"/>
      <c r="I88" s="133">
        <v>0</v>
      </c>
      <c r="J88" s="134">
        <v>0</v>
      </c>
      <c r="K88" s="125"/>
      <c r="L88" s="74">
        <v>0.24529999999999999</v>
      </c>
      <c r="M88" s="75">
        <v>1696</v>
      </c>
      <c r="N88" s="76">
        <v>14</v>
      </c>
      <c r="O88" s="105">
        <v>0.08</v>
      </c>
      <c r="P88" s="83">
        <v>1451</v>
      </c>
      <c r="Q88" s="76">
        <v>0</v>
      </c>
      <c r="R88" s="67" t="s">
        <v>1574</v>
      </c>
      <c r="S88" s="68">
        <v>890900286</v>
      </c>
      <c r="T88" s="77">
        <v>538322</v>
      </c>
      <c r="U88" s="78" t="s">
        <v>1736</v>
      </c>
      <c r="V88" s="81"/>
      <c r="W88" s="80">
        <v>0</v>
      </c>
    </row>
    <row r="89" spans="1:23" ht="15.6" x14ac:dyDescent="0.3">
      <c r="A89" s="67" t="s">
        <v>1260</v>
      </c>
      <c r="B89" s="69">
        <v>10068884</v>
      </c>
      <c r="C89" s="69" t="s">
        <v>1261</v>
      </c>
      <c r="D89" s="69">
        <v>0</v>
      </c>
      <c r="E89" s="70" t="s">
        <v>19</v>
      </c>
      <c r="F89" s="67" t="s">
        <v>1643</v>
      </c>
      <c r="G89" s="71">
        <v>38718</v>
      </c>
      <c r="H89" s="119" t="s">
        <v>1056</v>
      </c>
      <c r="I89" s="133">
        <v>0</v>
      </c>
      <c r="J89" s="134">
        <v>0</v>
      </c>
      <c r="K89" s="125"/>
      <c r="L89" s="74">
        <v>3.27E-2</v>
      </c>
      <c r="M89" s="75">
        <v>55730</v>
      </c>
      <c r="N89" s="76">
        <v>1</v>
      </c>
      <c r="O89" s="76">
        <v>0</v>
      </c>
      <c r="P89" s="83">
        <v>1704295</v>
      </c>
      <c r="Q89" s="76">
        <v>0</v>
      </c>
      <c r="R89" s="67" t="s">
        <v>1593</v>
      </c>
      <c r="S89" s="68">
        <v>891480085</v>
      </c>
      <c r="T89" s="77">
        <v>1087550359</v>
      </c>
      <c r="U89" s="78" t="s">
        <v>1753</v>
      </c>
      <c r="V89" s="81"/>
      <c r="W89" s="80">
        <v>0</v>
      </c>
    </row>
    <row r="90" spans="1:23" ht="15.6" x14ac:dyDescent="0.3">
      <c r="A90" s="67" t="s">
        <v>1200</v>
      </c>
      <c r="B90" s="69">
        <v>9072993</v>
      </c>
      <c r="C90" s="69" t="s">
        <v>1201</v>
      </c>
      <c r="D90" s="69">
        <v>0</v>
      </c>
      <c r="E90" s="70" t="s">
        <v>19</v>
      </c>
      <c r="F90" s="67" t="s">
        <v>1643</v>
      </c>
      <c r="G90" s="71">
        <v>38839</v>
      </c>
      <c r="H90" s="72">
        <v>44196</v>
      </c>
      <c r="I90" s="133">
        <v>0</v>
      </c>
      <c r="J90" s="134">
        <v>0</v>
      </c>
      <c r="K90" s="125"/>
      <c r="L90" s="74">
        <v>9.98E-2</v>
      </c>
      <c r="M90" s="75">
        <v>178004</v>
      </c>
      <c r="N90" s="76">
        <v>1</v>
      </c>
      <c r="O90" s="76"/>
      <c r="P90" s="76"/>
      <c r="Q90" s="76"/>
      <c r="R90" s="67" t="s">
        <v>1579</v>
      </c>
      <c r="S90" s="68">
        <v>890905166</v>
      </c>
      <c r="T90" s="77"/>
      <c r="U90" s="78"/>
      <c r="V90" s="81"/>
      <c r="W90" s="80">
        <v>0</v>
      </c>
    </row>
    <row r="91" spans="1:23" ht="15.6" hidden="1" x14ac:dyDescent="0.3">
      <c r="A91" s="67" t="s">
        <v>1268</v>
      </c>
      <c r="B91" s="69">
        <v>30704618</v>
      </c>
      <c r="C91" s="69" t="s">
        <v>1269</v>
      </c>
      <c r="D91" s="69">
        <v>0</v>
      </c>
      <c r="E91" s="70" t="s">
        <v>19</v>
      </c>
      <c r="F91" s="67" t="s">
        <v>1645</v>
      </c>
      <c r="G91" s="71">
        <v>39600</v>
      </c>
      <c r="H91" s="119"/>
      <c r="I91" s="133">
        <v>0</v>
      </c>
      <c r="J91" s="134">
        <v>0</v>
      </c>
      <c r="K91" s="125"/>
      <c r="L91" s="74">
        <v>2.41E-2</v>
      </c>
      <c r="M91" s="75">
        <v>23776</v>
      </c>
      <c r="N91" s="76">
        <v>13</v>
      </c>
      <c r="O91" s="76"/>
      <c r="P91" s="76"/>
      <c r="Q91" s="76"/>
      <c r="R91" s="67" t="s">
        <v>1596</v>
      </c>
      <c r="S91" s="68">
        <v>891502188</v>
      </c>
      <c r="T91" s="77"/>
      <c r="U91" s="78"/>
      <c r="V91" s="81"/>
      <c r="W91" s="80">
        <v>0</v>
      </c>
    </row>
    <row r="92" spans="1:23" ht="15.6" hidden="1" x14ac:dyDescent="0.3">
      <c r="A92" s="67" t="s">
        <v>1268</v>
      </c>
      <c r="B92" s="69">
        <v>30704618</v>
      </c>
      <c r="C92" s="69" t="s">
        <v>1269</v>
      </c>
      <c r="D92" s="69">
        <v>0</v>
      </c>
      <c r="E92" s="70" t="s">
        <v>592</v>
      </c>
      <c r="F92" s="67" t="s">
        <v>1645</v>
      </c>
      <c r="G92" s="71">
        <v>39600</v>
      </c>
      <c r="H92" s="119"/>
      <c r="I92" s="133">
        <v>0</v>
      </c>
      <c r="J92" s="134">
        <v>0</v>
      </c>
      <c r="K92" s="125"/>
      <c r="L92" s="74">
        <v>2.41E-2</v>
      </c>
      <c r="M92" s="85"/>
      <c r="N92" s="76">
        <v>13</v>
      </c>
      <c r="O92" s="76"/>
      <c r="P92" s="76"/>
      <c r="Q92" s="76"/>
      <c r="R92" s="67" t="s">
        <v>1597</v>
      </c>
      <c r="S92" s="68">
        <v>891580002</v>
      </c>
      <c r="T92" s="77"/>
      <c r="U92" s="78"/>
      <c r="V92" s="81"/>
      <c r="W92" s="80">
        <v>0</v>
      </c>
    </row>
    <row r="93" spans="1:23" ht="15.6" hidden="1" x14ac:dyDescent="0.3">
      <c r="A93" s="67" t="s">
        <v>1084</v>
      </c>
      <c r="B93" s="69">
        <v>24300472</v>
      </c>
      <c r="C93" s="69" t="s">
        <v>1085</v>
      </c>
      <c r="D93" s="69">
        <v>0</v>
      </c>
      <c r="E93" s="70" t="s">
        <v>592</v>
      </c>
      <c r="F93" s="67" t="s">
        <v>1645</v>
      </c>
      <c r="G93" s="71">
        <v>38032</v>
      </c>
      <c r="H93" s="72"/>
      <c r="I93" s="133">
        <v>3757472.19</v>
      </c>
      <c r="J93" s="134">
        <v>565739.27</v>
      </c>
      <c r="K93" s="125"/>
      <c r="L93" s="74">
        <v>9.4799999999999995E-2</v>
      </c>
      <c r="M93" s="75">
        <v>229836</v>
      </c>
      <c r="N93" s="76">
        <v>14</v>
      </c>
      <c r="O93" s="76"/>
      <c r="P93" s="76"/>
      <c r="Q93" s="76"/>
      <c r="R93" s="67" t="s">
        <v>1573</v>
      </c>
      <c r="S93" s="68">
        <v>890801053</v>
      </c>
      <c r="T93" s="77"/>
      <c r="U93" s="78"/>
      <c r="V93" s="81"/>
      <c r="W93" s="80">
        <v>958876</v>
      </c>
    </row>
    <row r="94" spans="1:23" ht="15.6" hidden="1" x14ac:dyDescent="0.3">
      <c r="A94" s="67" t="s">
        <v>621</v>
      </c>
      <c r="B94" s="69">
        <v>28601692</v>
      </c>
      <c r="C94" s="69" t="s">
        <v>622</v>
      </c>
      <c r="D94" s="69">
        <v>0</v>
      </c>
      <c r="E94" s="70" t="s">
        <v>472</v>
      </c>
      <c r="F94" s="67" t="s">
        <v>1645</v>
      </c>
      <c r="G94" s="71">
        <v>33638</v>
      </c>
      <c r="H94" s="87">
        <v>45222</v>
      </c>
      <c r="I94" s="133">
        <v>0</v>
      </c>
      <c r="J94" s="134">
        <v>0</v>
      </c>
      <c r="K94" s="123" t="s">
        <v>1487</v>
      </c>
      <c r="L94" s="74">
        <v>4.3999999999999997E-2</v>
      </c>
      <c r="M94" s="75">
        <v>76787</v>
      </c>
      <c r="N94" s="76">
        <v>14</v>
      </c>
      <c r="O94" s="76"/>
      <c r="P94" s="76"/>
      <c r="Q94" s="76"/>
      <c r="R94" s="67" t="s">
        <v>1514</v>
      </c>
      <c r="S94" s="68">
        <v>800113672</v>
      </c>
      <c r="T94" s="77"/>
      <c r="U94" s="78"/>
      <c r="V94" s="81"/>
      <c r="W94" s="80">
        <v>0</v>
      </c>
    </row>
    <row r="95" spans="1:23" ht="16.2" hidden="1" thickBot="1" x14ac:dyDescent="0.35">
      <c r="A95" s="67" t="s">
        <v>816</v>
      </c>
      <c r="B95" s="69">
        <v>3699755</v>
      </c>
      <c r="C95" s="69" t="s">
        <v>817</v>
      </c>
      <c r="D95" s="69">
        <v>0</v>
      </c>
      <c r="E95" s="70" t="s">
        <v>592</v>
      </c>
      <c r="F95" s="67" t="s">
        <v>1645</v>
      </c>
      <c r="G95" s="71">
        <v>25799</v>
      </c>
      <c r="H95" s="86"/>
      <c r="I95" s="133">
        <v>0</v>
      </c>
      <c r="J95" s="134">
        <v>0</v>
      </c>
      <c r="K95" s="125"/>
      <c r="L95" s="74">
        <v>0.16220000000000001</v>
      </c>
      <c r="M95" s="75">
        <v>27710</v>
      </c>
      <c r="N95" s="76">
        <v>14</v>
      </c>
      <c r="O95" s="76"/>
      <c r="P95" s="76"/>
      <c r="Q95" s="76"/>
      <c r="R95" s="67" t="s">
        <v>47</v>
      </c>
      <c r="S95" s="68">
        <v>890102018</v>
      </c>
      <c r="T95" s="77">
        <v>22294035</v>
      </c>
      <c r="U95" s="78" t="s">
        <v>1694</v>
      </c>
      <c r="V95" s="81"/>
      <c r="W95" s="80">
        <v>0</v>
      </c>
    </row>
    <row r="96" spans="1:23" ht="15.6" hidden="1" x14ac:dyDescent="0.3">
      <c r="A96" s="67" t="s">
        <v>1064</v>
      </c>
      <c r="B96" s="146">
        <v>1211847</v>
      </c>
      <c r="C96" s="69" t="s">
        <v>1065</v>
      </c>
      <c r="D96" s="69">
        <v>0</v>
      </c>
      <c r="E96" s="70" t="s">
        <v>472</v>
      </c>
      <c r="F96" s="67" t="s">
        <v>1645</v>
      </c>
      <c r="G96" s="71">
        <v>27638</v>
      </c>
      <c r="H96" s="87"/>
      <c r="I96" s="135">
        <v>0</v>
      </c>
      <c r="J96" s="134">
        <v>0</v>
      </c>
      <c r="K96" s="125"/>
      <c r="L96" s="74">
        <v>0.4556</v>
      </c>
      <c r="M96" s="75">
        <v>2351</v>
      </c>
      <c r="N96" s="76">
        <v>14</v>
      </c>
      <c r="O96" s="105">
        <v>0.08</v>
      </c>
      <c r="P96" s="83">
        <v>1454</v>
      </c>
      <c r="Q96" s="76">
        <v>897</v>
      </c>
      <c r="R96" s="67" t="s">
        <v>1571</v>
      </c>
      <c r="S96" s="68">
        <v>890801052</v>
      </c>
      <c r="T96" s="77">
        <v>24250286</v>
      </c>
      <c r="U96" s="78" t="s">
        <v>1729</v>
      </c>
      <c r="V96" s="81"/>
      <c r="W96" s="80">
        <v>0</v>
      </c>
    </row>
    <row r="97" spans="1:23" ht="15.6" hidden="1" x14ac:dyDescent="0.3">
      <c r="A97" s="67" t="s">
        <v>686</v>
      </c>
      <c r="B97" s="69">
        <v>20080452</v>
      </c>
      <c r="C97" s="69" t="s">
        <v>687</v>
      </c>
      <c r="D97" s="69">
        <v>0</v>
      </c>
      <c r="E97" s="70" t="s">
        <v>21</v>
      </c>
      <c r="F97" s="67" t="s">
        <v>1645</v>
      </c>
      <c r="G97" s="71">
        <v>30317</v>
      </c>
      <c r="H97" s="72">
        <v>45222</v>
      </c>
      <c r="I97" s="133">
        <v>0</v>
      </c>
      <c r="J97" s="134">
        <v>0</v>
      </c>
      <c r="K97" s="123" t="s">
        <v>1492</v>
      </c>
      <c r="L97" s="74">
        <v>0.39810000000000001</v>
      </c>
      <c r="M97" s="75">
        <v>10850</v>
      </c>
      <c r="N97" s="76">
        <v>14</v>
      </c>
      <c r="O97" s="76"/>
      <c r="P97" s="76"/>
      <c r="Q97" s="76"/>
      <c r="R97" s="67" t="s">
        <v>1528</v>
      </c>
      <c r="S97" s="68">
        <v>860041163</v>
      </c>
      <c r="T97" s="77"/>
      <c r="U97" s="78"/>
      <c r="V97" s="81"/>
      <c r="W97" s="80">
        <v>0</v>
      </c>
    </row>
    <row r="98" spans="1:23" ht="15.6" hidden="1" x14ac:dyDescent="0.3">
      <c r="A98" s="67" t="s">
        <v>1009</v>
      </c>
      <c r="B98" s="69">
        <v>23081011</v>
      </c>
      <c r="C98" s="69" t="s">
        <v>1010</v>
      </c>
      <c r="D98" s="69">
        <v>0</v>
      </c>
      <c r="E98" s="70" t="s">
        <v>21</v>
      </c>
      <c r="F98" s="67" t="s">
        <v>1645</v>
      </c>
      <c r="G98" s="71">
        <v>29710</v>
      </c>
      <c r="H98" s="72">
        <v>44889</v>
      </c>
      <c r="I98" s="133">
        <v>54230328.560000002</v>
      </c>
      <c r="J98" s="134">
        <v>8358277.0599999996</v>
      </c>
      <c r="K98" s="125"/>
      <c r="L98" s="74">
        <v>0.65639999999999998</v>
      </c>
      <c r="M98" s="75">
        <v>12923</v>
      </c>
      <c r="N98" s="76">
        <v>14</v>
      </c>
      <c r="O98" s="76">
        <v>0</v>
      </c>
      <c r="P98" s="76">
        <v>0</v>
      </c>
      <c r="Q98" s="76">
        <v>0</v>
      </c>
      <c r="R98" s="67" t="s">
        <v>1559</v>
      </c>
      <c r="S98" s="68">
        <v>890480059</v>
      </c>
      <c r="T98" s="77"/>
      <c r="U98" s="78"/>
      <c r="V98" s="81"/>
      <c r="W98" s="80">
        <v>0</v>
      </c>
    </row>
    <row r="99" spans="1:23" ht="15.6" hidden="1" x14ac:dyDescent="0.3">
      <c r="A99" s="67" t="s">
        <v>785</v>
      </c>
      <c r="B99" s="69">
        <v>1238837</v>
      </c>
      <c r="C99" s="69" t="s">
        <v>786</v>
      </c>
      <c r="D99" s="69">
        <v>0</v>
      </c>
      <c r="E99" s="70" t="s">
        <v>472</v>
      </c>
      <c r="F99" s="67" t="s">
        <v>1645</v>
      </c>
      <c r="G99" s="71">
        <v>34700</v>
      </c>
      <c r="H99" s="72">
        <v>40908</v>
      </c>
      <c r="I99" s="133">
        <v>0</v>
      </c>
      <c r="J99" s="134">
        <v>0</v>
      </c>
      <c r="K99" s="125"/>
      <c r="L99" s="74">
        <v>5.0799999999999998E-2</v>
      </c>
      <c r="M99" s="75">
        <v>49653</v>
      </c>
      <c r="N99" s="76">
        <v>14</v>
      </c>
      <c r="O99" s="76"/>
      <c r="P99" s="76"/>
      <c r="Q99" s="76"/>
      <c r="R99" s="67" t="s">
        <v>1530</v>
      </c>
      <c r="S99" s="68">
        <v>890000439</v>
      </c>
      <c r="T99" s="77">
        <v>20199829</v>
      </c>
      <c r="U99" s="78" t="s">
        <v>1688</v>
      </c>
      <c r="V99" s="81"/>
      <c r="W99" s="80">
        <v>0</v>
      </c>
    </row>
    <row r="100" spans="1:23" ht="15.6" hidden="1" x14ac:dyDescent="0.3">
      <c r="A100" s="67" t="s">
        <v>785</v>
      </c>
      <c r="B100" s="146">
        <v>1238837</v>
      </c>
      <c r="C100" s="69" t="s">
        <v>786</v>
      </c>
      <c r="D100" s="69">
        <v>0</v>
      </c>
      <c r="E100" s="70" t="s">
        <v>472</v>
      </c>
      <c r="F100" s="67" t="s">
        <v>1645</v>
      </c>
      <c r="G100" s="71">
        <v>34700</v>
      </c>
      <c r="H100" s="72">
        <v>41639</v>
      </c>
      <c r="I100" s="135">
        <v>0</v>
      </c>
      <c r="J100" s="134">
        <v>0</v>
      </c>
      <c r="K100" s="125"/>
      <c r="L100" s="74">
        <v>5.0799999999999998E-2</v>
      </c>
      <c r="M100" s="75">
        <v>27351</v>
      </c>
      <c r="N100" s="76">
        <v>14</v>
      </c>
      <c r="O100" s="76">
        <v>0</v>
      </c>
      <c r="P100" s="83">
        <v>538093</v>
      </c>
      <c r="Q100" s="76">
        <v>0</v>
      </c>
      <c r="R100" s="67" t="s">
        <v>1571</v>
      </c>
      <c r="S100" s="68">
        <v>890801052</v>
      </c>
      <c r="T100" s="77">
        <v>20199829</v>
      </c>
      <c r="U100" s="78" t="s">
        <v>1688</v>
      </c>
      <c r="V100" s="81"/>
      <c r="W100" s="80">
        <v>0</v>
      </c>
    </row>
    <row r="101" spans="1:23" ht="15.6" hidden="1" x14ac:dyDescent="0.3">
      <c r="A101" s="67" t="s">
        <v>1266</v>
      </c>
      <c r="B101" s="69">
        <v>10479111</v>
      </c>
      <c r="C101" s="69" t="s">
        <v>1267</v>
      </c>
      <c r="D101" s="69">
        <v>0</v>
      </c>
      <c r="E101" s="70" t="s">
        <v>472</v>
      </c>
      <c r="F101" s="67" t="s">
        <v>1645</v>
      </c>
      <c r="G101" s="71">
        <v>40026</v>
      </c>
      <c r="H101" s="119"/>
      <c r="I101" s="133">
        <v>0</v>
      </c>
      <c r="J101" s="134">
        <v>0</v>
      </c>
      <c r="K101" s="127"/>
      <c r="L101" s="74">
        <v>2.1499999999999998E-2</v>
      </c>
      <c r="M101" s="75">
        <v>36905</v>
      </c>
      <c r="N101" s="76">
        <v>13</v>
      </c>
      <c r="O101" s="76"/>
      <c r="P101" s="76"/>
      <c r="Q101" s="76"/>
      <c r="R101" s="67" t="s">
        <v>1594</v>
      </c>
      <c r="S101" s="68">
        <v>891500269</v>
      </c>
      <c r="T101" s="77"/>
      <c r="U101" s="78"/>
      <c r="V101" s="81"/>
      <c r="W101" s="80">
        <v>0</v>
      </c>
    </row>
    <row r="102" spans="1:23" ht="15.6" hidden="1" x14ac:dyDescent="0.3">
      <c r="A102" s="67" t="s">
        <v>1409</v>
      </c>
      <c r="B102" s="69">
        <v>38987</v>
      </c>
      <c r="C102" s="69" t="s">
        <v>1410</v>
      </c>
      <c r="D102" s="69">
        <v>0</v>
      </c>
      <c r="E102" s="70" t="s">
        <v>472</v>
      </c>
      <c r="F102" s="67" t="s">
        <v>1645</v>
      </c>
      <c r="G102" s="71">
        <v>32143</v>
      </c>
      <c r="H102" s="119">
        <v>44196</v>
      </c>
      <c r="I102" s="133">
        <v>0</v>
      </c>
      <c r="J102" s="134">
        <v>0</v>
      </c>
      <c r="K102" s="125"/>
      <c r="L102" s="74">
        <v>0.37280000000000002</v>
      </c>
      <c r="M102" s="75">
        <v>10198</v>
      </c>
      <c r="N102" s="76">
        <v>14</v>
      </c>
      <c r="O102" s="76">
        <v>0</v>
      </c>
      <c r="P102" s="83">
        <v>27355</v>
      </c>
      <c r="Q102" s="83">
        <v>57679</v>
      </c>
      <c r="R102" s="67" t="s">
        <v>1628</v>
      </c>
      <c r="S102" s="68">
        <v>899999114</v>
      </c>
      <c r="T102" s="77">
        <v>21165305</v>
      </c>
      <c r="U102" s="78" t="s">
        <v>1772</v>
      </c>
      <c r="V102" s="118"/>
      <c r="W102" s="80">
        <v>0</v>
      </c>
    </row>
    <row r="103" spans="1:23" ht="15.6" hidden="1" x14ac:dyDescent="0.3">
      <c r="A103" s="67" t="s">
        <v>1092</v>
      </c>
      <c r="B103" s="69">
        <v>25651081</v>
      </c>
      <c r="C103" s="69" t="s">
        <v>1093</v>
      </c>
      <c r="D103" s="69">
        <v>0</v>
      </c>
      <c r="E103" s="70" t="s">
        <v>472</v>
      </c>
      <c r="F103" s="67" t="s">
        <v>1645</v>
      </c>
      <c r="G103" s="71">
        <v>29649</v>
      </c>
      <c r="H103" s="72"/>
      <c r="I103" s="135">
        <v>0</v>
      </c>
      <c r="J103" s="134">
        <v>0</v>
      </c>
      <c r="K103" s="125"/>
      <c r="L103" s="74">
        <v>0.3861</v>
      </c>
      <c r="M103" s="75">
        <v>9879</v>
      </c>
      <c r="N103" s="76">
        <v>14</v>
      </c>
      <c r="O103" s="105">
        <v>0.08</v>
      </c>
      <c r="P103" s="83">
        <v>25587</v>
      </c>
      <c r="Q103" s="76">
        <v>0</v>
      </c>
      <c r="R103" s="67" t="s">
        <v>1574</v>
      </c>
      <c r="S103" s="68">
        <v>890900286</v>
      </c>
      <c r="T103" s="77"/>
      <c r="U103" s="78"/>
      <c r="V103" s="81"/>
      <c r="W103" s="80">
        <v>0</v>
      </c>
    </row>
    <row r="104" spans="1:23" ht="15.6" hidden="1" x14ac:dyDescent="0.3">
      <c r="A104" s="67" t="s">
        <v>1092</v>
      </c>
      <c r="B104" s="69">
        <v>25651081</v>
      </c>
      <c r="C104" s="69" t="s">
        <v>1093</v>
      </c>
      <c r="D104" s="69">
        <v>0</v>
      </c>
      <c r="E104" s="70" t="s">
        <v>472</v>
      </c>
      <c r="F104" s="67" t="s">
        <v>1645</v>
      </c>
      <c r="G104" s="71">
        <v>29649</v>
      </c>
      <c r="H104" s="72"/>
      <c r="I104" s="133">
        <v>0</v>
      </c>
      <c r="J104" s="134">
        <v>0</v>
      </c>
      <c r="K104" s="125"/>
      <c r="L104" s="74">
        <v>0.3861</v>
      </c>
      <c r="M104" s="75">
        <v>6389</v>
      </c>
      <c r="N104" s="76">
        <v>14</v>
      </c>
      <c r="O104" s="76"/>
      <c r="P104" s="76"/>
      <c r="Q104" s="76"/>
      <c r="R104" s="67" t="s">
        <v>1580</v>
      </c>
      <c r="S104" s="68">
        <v>890905211</v>
      </c>
      <c r="T104" s="77"/>
      <c r="U104" s="78"/>
      <c r="V104" s="81"/>
      <c r="W104" s="80">
        <v>0</v>
      </c>
    </row>
    <row r="105" spans="1:23" ht="15.6" hidden="1" x14ac:dyDescent="0.3">
      <c r="A105" s="67" t="s">
        <v>1092</v>
      </c>
      <c r="B105" s="69">
        <v>25651081</v>
      </c>
      <c r="C105" s="69" t="s">
        <v>1093</v>
      </c>
      <c r="D105" s="69">
        <v>0</v>
      </c>
      <c r="E105" s="70" t="s">
        <v>19</v>
      </c>
      <c r="F105" s="67" t="s">
        <v>1645</v>
      </c>
      <c r="G105" s="71">
        <v>29649</v>
      </c>
      <c r="H105" s="119"/>
      <c r="I105" s="133">
        <v>0</v>
      </c>
      <c r="J105" s="134">
        <v>0</v>
      </c>
      <c r="K105" s="125"/>
      <c r="L105" s="74">
        <v>0.3861</v>
      </c>
      <c r="M105" s="75">
        <v>3753</v>
      </c>
      <c r="N105" s="76">
        <v>14</v>
      </c>
      <c r="O105" s="76">
        <v>0</v>
      </c>
      <c r="P105" s="83">
        <v>25587</v>
      </c>
      <c r="Q105" s="76">
        <v>0</v>
      </c>
      <c r="R105" s="67" t="s">
        <v>1593</v>
      </c>
      <c r="S105" s="68">
        <v>891480085</v>
      </c>
      <c r="T105" s="77"/>
      <c r="U105" s="78"/>
      <c r="V105" s="81"/>
      <c r="W105" s="80">
        <v>0</v>
      </c>
    </row>
    <row r="106" spans="1:23" ht="15.6" hidden="1" x14ac:dyDescent="0.3">
      <c r="A106" s="67" t="s">
        <v>1092</v>
      </c>
      <c r="B106" s="69">
        <v>25651081</v>
      </c>
      <c r="C106" s="69" t="s">
        <v>1093</v>
      </c>
      <c r="D106" s="69">
        <v>0</v>
      </c>
      <c r="E106" s="70" t="s">
        <v>472</v>
      </c>
      <c r="F106" s="67" t="s">
        <v>1645</v>
      </c>
      <c r="G106" s="71">
        <v>29649</v>
      </c>
      <c r="H106" s="119"/>
      <c r="I106" s="135">
        <v>0</v>
      </c>
      <c r="J106" s="134">
        <v>0</v>
      </c>
      <c r="K106" s="125"/>
      <c r="L106" s="74">
        <v>0.3861</v>
      </c>
      <c r="M106" s="75">
        <v>3784</v>
      </c>
      <c r="N106" s="76">
        <v>14</v>
      </c>
      <c r="O106" s="76"/>
      <c r="P106" s="76"/>
      <c r="Q106" s="76"/>
      <c r="R106" s="67" t="s">
        <v>1599</v>
      </c>
      <c r="S106" s="68">
        <v>891580016</v>
      </c>
      <c r="T106" s="77"/>
      <c r="U106" s="78"/>
      <c r="V106" s="81"/>
      <c r="W106" s="80">
        <v>0</v>
      </c>
    </row>
    <row r="107" spans="1:23" ht="15.6" hidden="1" x14ac:dyDescent="0.3">
      <c r="A107" s="67" t="s">
        <v>1210</v>
      </c>
      <c r="B107" s="69">
        <v>3518784</v>
      </c>
      <c r="C107" s="69" t="s">
        <v>1211</v>
      </c>
      <c r="D107" s="69">
        <v>0</v>
      </c>
      <c r="E107" s="70" t="s">
        <v>472</v>
      </c>
      <c r="F107" s="67" t="s">
        <v>1645</v>
      </c>
      <c r="G107" s="71">
        <v>30498</v>
      </c>
      <c r="H107" s="72"/>
      <c r="I107" s="133">
        <v>0</v>
      </c>
      <c r="J107" s="134">
        <v>0</v>
      </c>
      <c r="K107" s="125"/>
      <c r="L107" s="74">
        <v>0.14860000000000001</v>
      </c>
      <c r="M107" s="75">
        <v>4399</v>
      </c>
      <c r="N107" s="76">
        <v>14</v>
      </c>
      <c r="O107" s="76"/>
      <c r="P107" s="76"/>
      <c r="Q107" s="76"/>
      <c r="R107" s="67" t="s">
        <v>1580</v>
      </c>
      <c r="S107" s="68">
        <v>890905211</v>
      </c>
      <c r="T107" s="77">
        <v>21268333</v>
      </c>
      <c r="U107" s="78" t="s">
        <v>1746</v>
      </c>
      <c r="V107" s="81"/>
      <c r="W107" s="80">
        <v>0</v>
      </c>
    </row>
    <row r="108" spans="1:23" ht="15.6" hidden="1" x14ac:dyDescent="0.3">
      <c r="A108" s="67" t="s">
        <v>1364</v>
      </c>
      <c r="B108" s="69">
        <v>8301783</v>
      </c>
      <c r="C108" s="69" t="s">
        <v>1365</v>
      </c>
      <c r="D108" s="69">
        <v>0</v>
      </c>
      <c r="E108" s="70" t="s">
        <v>472</v>
      </c>
      <c r="F108" s="67" t="s">
        <v>1645</v>
      </c>
      <c r="G108" s="71">
        <v>39415</v>
      </c>
      <c r="H108" s="119"/>
      <c r="I108" s="133">
        <v>0</v>
      </c>
      <c r="J108" s="134">
        <v>0</v>
      </c>
      <c r="K108" s="125"/>
      <c r="L108" s="74">
        <v>1.95E-2</v>
      </c>
      <c r="M108" s="75">
        <v>31680</v>
      </c>
      <c r="N108" s="76">
        <v>13</v>
      </c>
      <c r="O108" s="76"/>
      <c r="P108" s="76"/>
      <c r="Q108" s="76"/>
      <c r="R108" s="67" t="s">
        <v>1614</v>
      </c>
      <c r="S108" s="68">
        <v>892000148</v>
      </c>
      <c r="T108" s="77"/>
      <c r="U108" s="78"/>
      <c r="V108" s="81"/>
      <c r="W108" s="80">
        <v>0</v>
      </c>
    </row>
    <row r="109" spans="1:23" ht="15.6" hidden="1" x14ac:dyDescent="0.3">
      <c r="A109" s="67" t="s">
        <v>682</v>
      </c>
      <c r="B109" s="69">
        <v>20144614</v>
      </c>
      <c r="C109" s="69" t="s">
        <v>683</v>
      </c>
      <c r="D109" s="69">
        <v>0</v>
      </c>
      <c r="E109" s="70" t="s">
        <v>19</v>
      </c>
      <c r="F109" s="67" t="s">
        <v>1645</v>
      </c>
      <c r="G109" s="71">
        <v>30133</v>
      </c>
      <c r="H109" s="72">
        <v>45222</v>
      </c>
      <c r="I109" s="133">
        <v>24009464.870000001</v>
      </c>
      <c r="J109" s="134">
        <v>3700471.02</v>
      </c>
      <c r="K109" s="123" t="s">
        <v>1486</v>
      </c>
      <c r="L109" s="74">
        <v>0.45029999999999998</v>
      </c>
      <c r="M109" s="75">
        <v>1267</v>
      </c>
      <c r="N109" s="76">
        <v>14</v>
      </c>
      <c r="O109" s="76"/>
      <c r="P109" s="76"/>
      <c r="Q109" s="76"/>
      <c r="R109" s="67" t="s">
        <v>1528</v>
      </c>
      <c r="S109" s="68">
        <v>860041163</v>
      </c>
      <c r="T109" s="77">
        <v>121425</v>
      </c>
      <c r="U109" s="78" t="s">
        <v>1629</v>
      </c>
      <c r="V109" s="81"/>
      <c r="W109" s="80">
        <v>0</v>
      </c>
    </row>
    <row r="110" spans="1:23" ht="15.6" hidden="1" x14ac:dyDescent="0.3">
      <c r="A110" s="67" t="s">
        <v>682</v>
      </c>
      <c r="B110" s="69">
        <v>20144614</v>
      </c>
      <c r="C110" s="69" t="s">
        <v>683</v>
      </c>
      <c r="D110" s="69">
        <v>0</v>
      </c>
      <c r="E110" s="70" t="s">
        <v>472</v>
      </c>
      <c r="F110" s="67" t="s">
        <v>1645</v>
      </c>
      <c r="G110" s="71">
        <v>30133</v>
      </c>
      <c r="H110" s="119">
        <v>44196</v>
      </c>
      <c r="I110" s="133">
        <v>24009464.870000001</v>
      </c>
      <c r="J110" s="134">
        <v>3700471.02</v>
      </c>
      <c r="K110" s="125"/>
      <c r="L110" s="74">
        <v>0.45029999999999998</v>
      </c>
      <c r="M110" s="75">
        <v>13927</v>
      </c>
      <c r="N110" s="76">
        <v>14</v>
      </c>
      <c r="O110" s="76">
        <v>0</v>
      </c>
      <c r="P110" s="83">
        <v>30425</v>
      </c>
      <c r="Q110" s="83">
        <v>16812</v>
      </c>
      <c r="R110" s="67" t="s">
        <v>1628</v>
      </c>
      <c r="S110" s="68">
        <v>899999114</v>
      </c>
      <c r="T110" s="77">
        <v>121425</v>
      </c>
      <c r="U110" s="78" t="s">
        <v>1629</v>
      </c>
      <c r="V110" s="81"/>
      <c r="W110" s="80">
        <v>0</v>
      </c>
    </row>
    <row r="111" spans="1:23" ht="15.6" hidden="1" x14ac:dyDescent="0.3">
      <c r="A111" s="67" t="s">
        <v>630</v>
      </c>
      <c r="B111" s="69">
        <v>41421932</v>
      </c>
      <c r="C111" s="69" t="s">
        <v>631</v>
      </c>
      <c r="D111" s="69">
        <v>0</v>
      </c>
      <c r="E111" s="70" t="s">
        <v>19</v>
      </c>
      <c r="F111" s="67" t="s">
        <v>1645</v>
      </c>
      <c r="G111" s="71">
        <v>35431</v>
      </c>
      <c r="H111" s="72">
        <v>45222</v>
      </c>
      <c r="I111" s="133">
        <v>0</v>
      </c>
      <c r="J111" s="134">
        <v>0</v>
      </c>
      <c r="K111" s="123" t="s">
        <v>1471</v>
      </c>
      <c r="L111" s="74">
        <v>1.7600000000000001E-2</v>
      </c>
      <c r="M111" s="75">
        <v>13668</v>
      </c>
      <c r="N111" s="76">
        <v>14</v>
      </c>
      <c r="O111" s="76"/>
      <c r="P111" s="76"/>
      <c r="Q111" s="76"/>
      <c r="R111" s="67" t="s">
        <v>1514</v>
      </c>
      <c r="S111" s="68">
        <v>800113672</v>
      </c>
      <c r="T111" s="77"/>
      <c r="U111" s="78"/>
      <c r="V111" s="81"/>
      <c r="W111" s="80">
        <v>0</v>
      </c>
    </row>
    <row r="112" spans="1:23" ht="15.6" hidden="1" x14ac:dyDescent="0.3">
      <c r="A112" s="67" t="s">
        <v>1066</v>
      </c>
      <c r="B112" s="146">
        <v>1194711</v>
      </c>
      <c r="C112" s="69" t="s">
        <v>1067</v>
      </c>
      <c r="D112" s="69">
        <v>0</v>
      </c>
      <c r="E112" s="70" t="s">
        <v>472</v>
      </c>
      <c r="F112" s="67" t="s">
        <v>1645</v>
      </c>
      <c r="G112" s="71">
        <v>28307</v>
      </c>
      <c r="H112" s="72"/>
      <c r="I112" s="133">
        <v>0</v>
      </c>
      <c r="J112" s="134">
        <v>0</v>
      </c>
      <c r="K112" s="125"/>
      <c r="L112" s="74">
        <v>1</v>
      </c>
      <c r="M112" s="75">
        <v>7962</v>
      </c>
      <c r="N112" s="76">
        <v>14</v>
      </c>
      <c r="O112" s="76">
        <v>0</v>
      </c>
      <c r="P112" s="83">
        <v>7962</v>
      </c>
      <c r="Q112" s="76">
        <v>0</v>
      </c>
      <c r="R112" s="67" t="s">
        <v>1571</v>
      </c>
      <c r="S112" s="68">
        <v>890801052</v>
      </c>
      <c r="T112" s="77">
        <v>24250349</v>
      </c>
      <c r="U112" s="78" t="s">
        <v>1730</v>
      </c>
      <c r="V112" s="81"/>
      <c r="W112" s="80">
        <v>0</v>
      </c>
    </row>
    <row r="113" spans="1:23" ht="15.6" hidden="1" x14ac:dyDescent="0.3">
      <c r="A113" s="67" t="s">
        <v>1208</v>
      </c>
      <c r="B113" s="69">
        <v>8217805</v>
      </c>
      <c r="C113" s="69" t="s">
        <v>1209</v>
      </c>
      <c r="D113" s="69">
        <v>0</v>
      </c>
      <c r="E113" s="70" t="s">
        <v>21</v>
      </c>
      <c r="F113" s="67" t="s">
        <v>1645</v>
      </c>
      <c r="G113" s="71">
        <v>28703</v>
      </c>
      <c r="H113" s="72"/>
      <c r="I113" s="135">
        <v>0</v>
      </c>
      <c r="J113" s="134">
        <v>0</v>
      </c>
      <c r="K113" s="127"/>
      <c r="L113" s="74">
        <v>0.32500000000000001</v>
      </c>
      <c r="M113" s="75">
        <v>1390</v>
      </c>
      <c r="N113" s="76">
        <v>14</v>
      </c>
      <c r="O113" s="76"/>
      <c r="P113" s="76"/>
      <c r="Q113" s="76"/>
      <c r="R113" s="67" t="s">
        <v>1580</v>
      </c>
      <c r="S113" s="68">
        <v>890905211</v>
      </c>
      <c r="T113" s="77">
        <v>21298183</v>
      </c>
      <c r="U113" s="78" t="s">
        <v>1745</v>
      </c>
      <c r="V113" s="81"/>
      <c r="W113" s="80">
        <v>0</v>
      </c>
    </row>
    <row r="114" spans="1:23" ht="15.6" hidden="1" x14ac:dyDescent="0.3">
      <c r="A114" s="67" t="s">
        <v>1447</v>
      </c>
      <c r="B114" s="69">
        <v>17131068</v>
      </c>
      <c r="C114" s="69" t="s">
        <v>1448</v>
      </c>
      <c r="D114" s="69">
        <v>0</v>
      </c>
      <c r="E114" s="70" t="s">
        <v>472</v>
      </c>
      <c r="F114" s="67" t="s">
        <v>1645</v>
      </c>
      <c r="G114" s="71">
        <v>39052</v>
      </c>
      <c r="H114" s="119"/>
      <c r="I114" s="133">
        <v>0</v>
      </c>
      <c r="J114" s="134">
        <v>0</v>
      </c>
      <c r="K114" s="127"/>
      <c r="L114" s="74">
        <v>9.9099999999999994E-2</v>
      </c>
      <c r="M114" s="75">
        <v>143847</v>
      </c>
      <c r="N114" s="76">
        <v>14</v>
      </c>
      <c r="O114" s="76">
        <v>0</v>
      </c>
      <c r="P114" s="76">
        <v>0</v>
      </c>
      <c r="Q114" s="76">
        <v>0</v>
      </c>
      <c r="R114" s="67" t="s">
        <v>1628</v>
      </c>
      <c r="S114" s="68">
        <v>899999114</v>
      </c>
      <c r="T114" s="77"/>
      <c r="U114" s="78"/>
      <c r="V114" s="81"/>
      <c r="W114" s="80">
        <v>0</v>
      </c>
    </row>
    <row r="115" spans="1:23" ht="16.2" hidden="1" thickBot="1" x14ac:dyDescent="0.35">
      <c r="A115" s="115" t="s">
        <v>652</v>
      </c>
      <c r="B115" s="150">
        <v>10069021</v>
      </c>
      <c r="C115" s="69" t="s">
        <v>653</v>
      </c>
      <c r="D115" s="69">
        <v>0</v>
      </c>
      <c r="E115" s="116" t="s">
        <v>19</v>
      </c>
      <c r="F115" s="67" t="s">
        <v>1645</v>
      </c>
      <c r="G115" s="71">
        <v>38899</v>
      </c>
      <c r="H115" s="109">
        <v>45222</v>
      </c>
      <c r="I115" s="133">
        <v>0</v>
      </c>
      <c r="J115" s="134">
        <v>0</v>
      </c>
      <c r="K115" s="123" t="s">
        <v>1472</v>
      </c>
      <c r="L115" s="74">
        <v>2.3300000000000001E-2</v>
      </c>
      <c r="M115" s="117">
        <v>36646</v>
      </c>
      <c r="N115" s="76">
        <v>13</v>
      </c>
      <c r="O115" s="76"/>
      <c r="P115" s="76"/>
      <c r="Q115" s="76"/>
      <c r="R115" s="67" t="s">
        <v>1520</v>
      </c>
      <c r="S115" s="68">
        <v>800214750</v>
      </c>
      <c r="T115" s="77"/>
      <c r="U115" s="78"/>
      <c r="V115" s="81"/>
      <c r="W115" s="80">
        <v>0</v>
      </c>
    </row>
    <row r="116" spans="1:23" ht="15.6" hidden="1" x14ac:dyDescent="0.3">
      <c r="A116" s="67" t="s">
        <v>1070</v>
      </c>
      <c r="B116" s="146">
        <v>1226155</v>
      </c>
      <c r="C116" s="69" t="s">
        <v>1071</v>
      </c>
      <c r="D116" s="69">
        <v>0</v>
      </c>
      <c r="E116" s="70" t="s">
        <v>472</v>
      </c>
      <c r="F116" s="67" t="s">
        <v>1645</v>
      </c>
      <c r="G116" s="71">
        <v>29312</v>
      </c>
      <c r="H116" s="72"/>
      <c r="I116" s="133">
        <v>0</v>
      </c>
      <c r="J116" s="134">
        <v>0</v>
      </c>
      <c r="K116" s="125"/>
      <c r="L116" s="74">
        <v>0.43930000000000002</v>
      </c>
      <c r="M116" s="75">
        <v>6482</v>
      </c>
      <c r="N116" s="76">
        <v>14</v>
      </c>
      <c r="O116" s="76">
        <v>0</v>
      </c>
      <c r="P116" s="83">
        <v>14756</v>
      </c>
      <c r="Q116" s="76">
        <v>0</v>
      </c>
      <c r="R116" s="67" t="s">
        <v>1571</v>
      </c>
      <c r="S116" s="68">
        <v>890801052</v>
      </c>
      <c r="T116" s="77">
        <v>24264928</v>
      </c>
      <c r="U116" s="78" t="s">
        <v>1732</v>
      </c>
      <c r="V116" s="81"/>
      <c r="W116" s="80">
        <v>0</v>
      </c>
    </row>
    <row r="117" spans="1:23" ht="15.6" hidden="1" x14ac:dyDescent="0.3">
      <c r="A117" s="67" t="s">
        <v>1070</v>
      </c>
      <c r="B117" s="69">
        <v>1226155</v>
      </c>
      <c r="C117" s="69" t="s">
        <v>1071</v>
      </c>
      <c r="D117" s="69">
        <v>0</v>
      </c>
      <c r="E117" s="70" t="s">
        <v>19</v>
      </c>
      <c r="F117" s="67" t="s">
        <v>1645</v>
      </c>
      <c r="G117" s="71">
        <v>29312</v>
      </c>
      <c r="H117" s="72">
        <v>41639</v>
      </c>
      <c r="I117" s="135">
        <v>0</v>
      </c>
      <c r="J117" s="134">
        <v>0</v>
      </c>
      <c r="K117" s="125"/>
      <c r="L117" s="74">
        <v>0.43930000000000002</v>
      </c>
      <c r="M117" s="85">
        <v>820</v>
      </c>
      <c r="N117" s="76">
        <v>14</v>
      </c>
      <c r="O117" s="76"/>
      <c r="P117" s="76"/>
      <c r="Q117" s="76"/>
      <c r="R117" s="67" t="s">
        <v>1573</v>
      </c>
      <c r="S117" s="68">
        <v>890801053</v>
      </c>
      <c r="T117" s="77">
        <v>24264928</v>
      </c>
      <c r="U117" s="78" t="s">
        <v>1732</v>
      </c>
      <c r="V117" s="81"/>
      <c r="W117" s="80">
        <v>0</v>
      </c>
    </row>
    <row r="118" spans="1:23" ht="15.6" hidden="1" x14ac:dyDescent="0.3">
      <c r="A118" s="67" t="s">
        <v>1059</v>
      </c>
      <c r="B118" s="69">
        <v>4555893</v>
      </c>
      <c r="C118" s="69" t="s">
        <v>1060</v>
      </c>
      <c r="D118" s="69">
        <v>0</v>
      </c>
      <c r="E118" s="70" t="s">
        <v>1061</v>
      </c>
      <c r="F118" s="67" t="s">
        <v>1645</v>
      </c>
      <c r="G118" s="71">
        <v>34700</v>
      </c>
      <c r="H118" s="72"/>
      <c r="I118" s="135">
        <v>937476.22</v>
      </c>
      <c r="J118" s="134">
        <v>144489</v>
      </c>
      <c r="K118" s="125"/>
      <c r="L118" s="74">
        <v>3.0599999999999999E-2</v>
      </c>
      <c r="M118" s="75">
        <v>15863</v>
      </c>
      <c r="N118" s="76">
        <v>14</v>
      </c>
      <c r="O118" s="76"/>
      <c r="P118" s="76"/>
      <c r="Q118" s="76"/>
      <c r="R118" s="67" t="s">
        <v>1570</v>
      </c>
      <c r="S118" s="68">
        <v>890801026</v>
      </c>
      <c r="T118" s="77"/>
      <c r="U118" s="78"/>
      <c r="V118" s="66"/>
      <c r="W118" s="80">
        <v>0</v>
      </c>
    </row>
    <row r="119" spans="1:23" ht="15.6" hidden="1" x14ac:dyDescent="0.3">
      <c r="A119" s="67" t="s">
        <v>648</v>
      </c>
      <c r="B119" s="69">
        <v>25759842</v>
      </c>
      <c r="C119" s="69" t="s">
        <v>649</v>
      </c>
      <c r="D119" s="69">
        <v>0</v>
      </c>
      <c r="E119" s="70" t="s">
        <v>472</v>
      </c>
      <c r="F119" s="67" t="s">
        <v>1645</v>
      </c>
      <c r="G119" s="71">
        <v>33512</v>
      </c>
      <c r="H119" s="72">
        <v>45222</v>
      </c>
      <c r="I119" s="135">
        <v>0</v>
      </c>
      <c r="J119" s="134">
        <v>0</v>
      </c>
      <c r="K119" s="123" t="s">
        <v>1485</v>
      </c>
      <c r="L119" s="74">
        <v>0.2097</v>
      </c>
      <c r="M119" s="75">
        <v>12464</v>
      </c>
      <c r="N119" s="76">
        <v>14</v>
      </c>
      <c r="O119" s="76"/>
      <c r="P119" s="76"/>
      <c r="Q119" s="76"/>
      <c r="R119" s="67" t="s">
        <v>1518</v>
      </c>
      <c r="S119" s="68">
        <v>800150168</v>
      </c>
      <c r="T119" s="77"/>
      <c r="U119" s="78"/>
      <c r="V119" s="81"/>
      <c r="W119" s="80">
        <v>0</v>
      </c>
    </row>
    <row r="120" spans="1:23" ht="15.6" hidden="1" x14ac:dyDescent="0.3">
      <c r="A120" s="67" t="s">
        <v>1329</v>
      </c>
      <c r="B120" s="69">
        <v>4287109</v>
      </c>
      <c r="C120" s="69" t="s">
        <v>1330</v>
      </c>
      <c r="D120" s="69">
        <v>0</v>
      </c>
      <c r="E120" s="70" t="s">
        <v>1128</v>
      </c>
      <c r="F120" s="67" t="s">
        <v>1645</v>
      </c>
      <c r="G120" s="71">
        <v>39873</v>
      </c>
      <c r="H120" s="119"/>
      <c r="I120" s="133">
        <v>0</v>
      </c>
      <c r="J120" s="134">
        <v>0</v>
      </c>
      <c r="K120" s="125"/>
      <c r="L120" s="74">
        <v>6.9400000000000003E-2</v>
      </c>
      <c r="M120" s="75">
        <v>110316</v>
      </c>
      <c r="N120" s="76">
        <v>14</v>
      </c>
      <c r="O120" s="76">
        <v>0</v>
      </c>
      <c r="P120" s="83">
        <v>1751777</v>
      </c>
      <c r="Q120" s="76">
        <v>0</v>
      </c>
      <c r="R120" s="67" t="s">
        <v>1605</v>
      </c>
      <c r="S120" s="68">
        <v>891800498</v>
      </c>
      <c r="T120" s="77"/>
      <c r="U120" s="78"/>
      <c r="V120" s="81"/>
      <c r="W120" s="80">
        <v>0</v>
      </c>
    </row>
    <row r="121" spans="1:23" ht="15.6" hidden="1" x14ac:dyDescent="0.3">
      <c r="A121" s="67" t="s">
        <v>1399</v>
      </c>
      <c r="B121" s="69">
        <v>57787</v>
      </c>
      <c r="C121" s="69" t="s">
        <v>1400</v>
      </c>
      <c r="D121" s="69">
        <v>0</v>
      </c>
      <c r="E121" s="70" t="s">
        <v>21</v>
      </c>
      <c r="F121" s="67" t="s">
        <v>1645</v>
      </c>
      <c r="G121" s="71">
        <v>28137</v>
      </c>
      <c r="H121" s="119">
        <v>44196</v>
      </c>
      <c r="I121" s="133">
        <v>0</v>
      </c>
      <c r="J121" s="134">
        <v>0</v>
      </c>
      <c r="K121" s="125"/>
      <c r="L121" s="74">
        <v>0.57850000000000001</v>
      </c>
      <c r="M121" s="75">
        <v>3226</v>
      </c>
      <c r="N121" s="76">
        <v>14</v>
      </c>
      <c r="O121" s="76">
        <v>0</v>
      </c>
      <c r="P121" s="83">
        <v>42668</v>
      </c>
      <c r="Q121" s="83">
        <v>51720</v>
      </c>
      <c r="R121" s="67" t="s">
        <v>1628</v>
      </c>
      <c r="S121" s="68">
        <v>899999114</v>
      </c>
      <c r="T121" s="77">
        <v>20240485</v>
      </c>
      <c r="U121" s="78" t="s">
        <v>1769</v>
      </c>
      <c r="V121" s="81"/>
      <c r="W121" s="80">
        <v>0</v>
      </c>
    </row>
    <row r="122" spans="1:23" ht="15.6" hidden="1" x14ac:dyDescent="0.3">
      <c r="A122" s="67" t="s">
        <v>1276</v>
      </c>
      <c r="B122" s="69">
        <v>25250749</v>
      </c>
      <c r="C122" s="69" t="s">
        <v>1277</v>
      </c>
      <c r="D122" s="69">
        <v>0</v>
      </c>
      <c r="E122" s="70" t="s">
        <v>758</v>
      </c>
      <c r="F122" s="67" t="s">
        <v>1645</v>
      </c>
      <c r="G122" s="71">
        <v>35033</v>
      </c>
      <c r="H122" s="119"/>
      <c r="I122" s="135">
        <v>0</v>
      </c>
      <c r="J122" s="134">
        <v>0</v>
      </c>
      <c r="K122" s="125"/>
      <c r="L122" s="74">
        <v>0.1898</v>
      </c>
      <c r="M122" s="75">
        <v>81841</v>
      </c>
      <c r="N122" s="76">
        <v>14</v>
      </c>
      <c r="O122" s="76"/>
      <c r="P122" s="76"/>
      <c r="Q122" s="76"/>
      <c r="R122" s="67" t="s">
        <v>1599</v>
      </c>
      <c r="S122" s="68">
        <v>891580016</v>
      </c>
      <c r="T122" s="77"/>
      <c r="U122" s="78"/>
      <c r="V122" s="81"/>
      <c r="W122" s="80">
        <v>0</v>
      </c>
    </row>
    <row r="123" spans="1:23" ht="15.6" hidden="1" x14ac:dyDescent="0.3">
      <c r="A123" s="67" t="s">
        <v>831</v>
      </c>
      <c r="B123" s="69">
        <v>2023146</v>
      </c>
      <c r="C123" s="69" t="s">
        <v>832</v>
      </c>
      <c r="D123" s="69">
        <v>0</v>
      </c>
      <c r="E123" s="70" t="s">
        <v>472</v>
      </c>
      <c r="F123" s="67" t="s">
        <v>1645</v>
      </c>
      <c r="G123" s="71">
        <v>32143</v>
      </c>
      <c r="H123" s="72">
        <v>45568</v>
      </c>
      <c r="I123" s="135">
        <v>0</v>
      </c>
      <c r="J123" s="134">
        <v>0</v>
      </c>
      <c r="K123" s="127"/>
      <c r="L123" s="74">
        <v>1.46E-2</v>
      </c>
      <c r="M123" s="75">
        <v>4747</v>
      </c>
      <c r="N123" s="76">
        <v>14</v>
      </c>
      <c r="O123" s="76"/>
      <c r="P123" s="76"/>
      <c r="Q123" s="76"/>
      <c r="R123" s="67" t="s">
        <v>1540</v>
      </c>
      <c r="S123" s="68">
        <v>890201222</v>
      </c>
      <c r="T123" s="77">
        <v>27929700</v>
      </c>
      <c r="U123" s="78" t="s">
        <v>1695</v>
      </c>
      <c r="V123" s="81"/>
      <c r="W123" s="80">
        <v>0</v>
      </c>
    </row>
    <row r="124" spans="1:23" ht="16.2" hidden="1" thickBot="1" x14ac:dyDescent="0.35">
      <c r="A124" s="89" t="s">
        <v>831</v>
      </c>
      <c r="B124" s="147">
        <v>2023146</v>
      </c>
      <c r="C124" s="69" t="s">
        <v>832</v>
      </c>
      <c r="D124" s="69">
        <v>0</v>
      </c>
      <c r="E124" s="91" t="s">
        <v>472</v>
      </c>
      <c r="F124" s="67" t="s">
        <v>1645</v>
      </c>
      <c r="G124" s="71">
        <v>32143</v>
      </c>
      <c r="H124" s="86">
        <v>45568</v>
      </c>
      <c r="I124" s="133">
        <v>0</v>
      </c>
      <c r="J124" s="134">
        <v>0</v>
      </c>
      <c r="K124" s="125"/>
      <c r="L124" s="74">
        <v>1.46E-2</v>
      </c>
      <c r="M124" s="100">
        <v>1149</v>
      </c>
      <c r="N124" s="76">
        <v>14</v>
      </c>
      <c r="O124" s="105">
        <v>0.08</v>
      </c>
      <c r="P124" s="83">
        <v>60965</v>
      </c>
      <c r="Q124" s="83">
        <v>46452</v>
      </c>
      <c r="R124" s="67" t="s">
        <v>1542</v>
      </c>
      <c r="S124" s="68">
        <v>890201235</v>
      </c>
      <c r="T124" s="77">
        <v>27929700</v>
      </c>
      <c r="U124" s="78" t="s">
        <v>1695</v>
      </c>
      <c r="V124" s="81"/>
      <c r="W124" s="80">
        <v>0</v>
      </c>
    </row>
    <row r="125" spans="1:23" ht="15.6" hidden="1" x14ac:dyDescent="0.3">
      <c r="A125" s="93" t="s">
        <v>831</v>
      </c>
      <c r="B125" s="148">
        <v>2023146</v>
      </c>
      <c r="C125" s="69" t="s">
        <v>832</v>
      </c>
      <c r="D125" s="69">
        <v>0</v>
      </c>
      <c r="E125" s="95" t="s">
        <v>19</v>
      </c>
      <c r="F125" s="67" t="s">
        <v>1645</v>
      </c>
      <c r="G125" s="71">
        <v>32143</v>
      </c>
      <c r="H125" s="121"/>
      <c r="I125" s="133">
        <v>0</v>
      </c>
      <c r="J125" s="133">
        <v>0</v>
      </c>
      <c r="K125" s="154"/>
      <c r="L125" s="74">
        <v>1.46E-2</v>
      </c>
      <c r="M125" s="96">
        <v>11801</v>
      </c>
      <c r="N125" s="76">
        <v>14</v>
      </c>
      <c r="O125" s="76"/>
      <c r="P125" s="76"/>
      <c r="Q125" s="76"/>
      <c r="R125" s="67" t="s">
        <v>1635</v>
      </c>
      <c r="S125" s="68">
        <v>899999814</v>
      </c>
      <c r="T125" s="77">
        <v>27929700</v>
      </c>
      <c r="U125" s="78" t="s">
        <v>1695</v>
      </c>
      <c r="V125" s="157"/>
      <c r="W125" s="80">
        <v>0</v>
      </c>
    </row>
    <row r="126" spans="1:23" ht="15.6" hidden="1" x14ac:dyDescent="0.3">
      <c r="A126" s="67" t="s">
        <v>1407</v>
      </c>
      <c r="B126" s="69">
        <v>20003804</v>
      </c>
      <c r="C126" s="69" t="s">
        <v>1408</v>
      </c>
      <c r="D126" s="69">
        <v>0</v>
      </c>
      <c r="E126" s="70" t="s">
        <v>472</v>
      </c>
      <c r="F126" s="67" t="s">
        <v>1645</v>
      </c>
      <c r="G126" s="71">
        <v>31048</v>
      </c>
      <c r="H126" s="119">
        <v>44196</v>
      </c>
      <c r="I126" s="133">
        <v>0</v>
      </c>
      <c r="J126" s="134">
        <v>0</v>
      </c>
      <c r="K126" s="127"/>
      <c r="L126" s="74">
        <v>0.29399999999999998</v>
      </c>
      <c r="M126" s="75">
        <v>15002</v>
      </c>
      <c r="N126" s="76">
        <v>14</v>
      </c>
      <c r="O126" s="76">
        <v>0</v>
      </c>
      <c r="P126" s="83">
        <v>308932</v>
      </c>
      <c r="Q126" s="83">
        <v>390482</v>
      </c>
      <c r="R126" s="67" t="s">
        <v>1628</v>
      </c>
      <c r="S126" s="68">
        <v>899999114</v>
      </c>
      <c r="T126" s="77"/>
      <c r="U126" s="78"/>
      <c r="V126" s="81"/>
      <c r="W126" s="80">
        <v>0</v>
      </c>
    </row>
    <row r="127" spans="1:23" ht="15.6" hidden="1" x14ac:dyDescent="0.3">
      <c r="A127" s="67" t="s">
        <v>1372</v>
      </c>
      <c r="B127" s="69">
        <v>27031334</v>
      </c>
      <c r="C127" s="69" t="s">
        <v>1373</v>
      </c>
      <c r="D127" s="69">
        <v>0</v>
      </c>
      <c r="E127" s="70" t="s">
        <v>19</v>
      </c>
      <c r="F127" s="67" t="s">
        <v>1645</v>
      </c>
      <c r="G127" s="71">
        <v>32509</v>
      </c>
      <c r="H127" s="119"/>
      <c r="I127" s="135">
        <v>0</v>
      </c>
      <c r="J127" s="134">
        <v>0</v>
      </c>
      <c r="K127" s="127"/>
      <c r="L127" s="74">
        <v>0.3553</v>
      </c>
      <c r="M127" s="75">
        <v>18848</v>
      </c>
      <c r="N127" s="76">
        <v>14</v>
      </c>
      <c r="O127" s="76"/>
      <c r="P127" s="76"/>
      <c r="Q127" s="76"/>
      <c r="R127" s="67" t="s">
        <v>1617</v>
      </c>
      <c r="S127" s="68">
        <v>892115003</v>
      </c>
      <c r="T127" s="77"/>
      <c r="U127" s="78"/>
      <c r="V127" s="63"/>
      <c r="W127" s="80">
        <v>0</v>
      </c>
    </row>
    <row r="128" spans="1:23" ht="15.6" x14ac:dyDescent="0.3">
      <c r="A128" s="67" t="s">
        <v>1177</v>
      </c>
      <c r="B128" s="69">
        <v>15375309</v>
      </c>
      <c r="C128" s="69" t="s">
        <v>1178</v>
      </c>
      <c r="D128" s="69">
        <v>0</v>
      </c>
      <c r="E128" s="70" t="s">
        <v>1061</v>
      </c>
      <c r="F128" s="67" t="s">
        <v>1643</v>
      </c>
      <c r="G128" s="71">
        <v>39539</v>
      </c>
      <c r="H128" s="72">
        <v>40543</v>
      </c>
      <c r="I128" s="133">
        <v>0</v>
      </c>
      <c r="J128" s="134">
        <v>0</v>
      </c>
      <c r="K128" s="125"/>
      <c r="L128" s="74">
        <v>0.14000000000000001</v>
      </c>
      <c r="M128" s="75">
        <v>245934</v>
      </c>
      <c r="N128" s="76">
        <v>1</v>
      </c>
      <c r="O128" s="76">
        <v>0</v>
      </c>
      <c r="P128" s="83">
        <v>1760441</v>
      </c>
      <c r="Q128" s="76">
        <v>0</v>
      </c>
      <c r="R128" s="67" t="s">
        <v>1574</v>
      </c>
      <c r="S128" s="68">
        <v>890900286</v>
      </c>
      <c r="T128" s="77"/>
      <c r="U128" s="78"/>
      <c r="V128" s="81"/>
      <c r="W128" s="80">
        <v>0</v>
      </c>
    </row>
    <row r="129" spans="1:23" ht="16.2" hidden="1" thickBot="1" x14ac:dyDescent="0.35">
      <c r="A129" s="89" t="s">
        <v>1090</v>
      </c>
      <c r="B129" s="147">
        <v>537250</v>
      </c>
      <c r="C129" s="69" t="s">
        <v>1091</v>
      </c>
      <c r="D129" s="69">
        <v>0</v>
      </c>
      <c r="E129" s="91" t="s">
        <v>1061</v>
      </c>
      <c r="F129" s="67" t="s">
        <v>1645</v>
      </c>
      <c r="G129" s="71">
        <v>29529</v>
      </c>
      <c r="H129" s="86"/>
      <c r="I129" s="133">
        <v>0</v>
      </c>
      <c r="J129" s="134">
        <v>0</v>
      </c>
      <c r="K129" s="125"/>
      <c r="L129" s="74">
        <v>0.627</v>
      </c>
      <c r="M129" s="100">
        <v>10095</v>
      </c>
      <c r="N129" s="76">
        <v>14</v>
      </c>
      <c r="O129" s="105">
        <v>0.08</v>
      </c>
      <c r="P129" s="83">
        <v>16100</v>
      </c>
      <c r="Q129" s="76">
        <v>0</v>
      </c>
      <c r="R129" s="67" t="s">
        <v>1574</v>
      </c>
      <c r="S129" s="68">
        <v>890900286</v>
      </c>
      <c r="T129" s="77">
        <v>21767291</v>
      </c>
      <c r="U129" s="78" t="s">
        <v>1737</v>
      </c>
      <c r="V129" s="81"/>
      <c r="W129" s="80">
        <v>0</v>
      </c>
    </row>
    <row r="130" spans="1:23" ht="15.6" hidden="1" x14ac:dyDescent="0.3">
      <c r="A130" s="67" t="s">
        <v>1094</v>
      </c>
      <c r="B130" s="69">
        <v>142496</v>
      </c>
      <c r="C130" s="69" t="s">
        <v>1095</v>
      </c>
      <c r="D130" s="69">
        <v>0</v>
      </c>
      <c r="E130" s="70" t="s">
        <v>1061</v>
      </c>
      <c r="F130" s="67" t="s">
        <v>1645</v>
      </c>
      <c r="G130" s="71">
        <v>30133</v>
      </c>
      <c r="H130" s="72"/>
      <c r="I130" s="133">
        <v>2522087.39</v>
      </c>
      <c r="J130" s="134">
        <v>388718.01</v>
      </c>
      <c r="K130" s="125"/>
      <c r="L130" s="74">
        <v>7.5600000000000001E-2</v>
      </c>
      <c r="M130" s="75">
        <v>1854</v>
      </c>
      <c r="N130" s="76">
        <v>14</v>
      </c>
      <c r="O130" s="105">
        <v>0.08</v>
      </c>
      <c r="P130" s="83">
        <v>24528</v>
      </c>
      <c r="Q130" s="76">
        <v>0</v>
      </c>
      <c r="R130" s="67" t="s">
        <v>1574</v>
      </c>
      <c r="S130" s="68">
        <v>890900286</v>
      </c>
      <c r="T130" s="77"/>
      <c r="U130" s="78"/>
      <c r="V130" s="81"/>
      <c r="W130" s="80">
        <v>0</v>
      </c>
    </row>
    <row r="131" spans="1:23" ht="15.6" hidden="1" x14ac:dyDescent="0.3">
      <c r="A131" s="67" t="s">
        <v>922</v>
      </c>
      <c r="B131" s="69">
        <v>2519618</v>
      </c>
      <c r="C131" s="69" t="s">
        <v>923</v>
      </c>
      <c r="D131" s="69">
        <v>0</v>
      </c>
      <c r="E131" s="70" t="s">
        <v>472</v>
      </c>
      <c r="F131" s="67" t="s">
        <v>1645</v>
      </c>
      <c r="G131" s="71">
        <v>30682</v>
      </c>
      <c r="H131" s="72"/>
      <c r="I131" s="133">
        <v>0</v>
      </c>
      <c r="J131" s="134">
        <v>0</v>
      </c>
      <c r="K131" s="125"/>
      <c r="L131" s="74">
        <v>0.24399999999999999</v>
      </c>
      <c r="M131" s="75">
        <v>8269</v>
      </c>
      <c r="N131" s="76">
        <v>14</v>
      </c>
      <c r="O131" s="76"/>
      <c r="P131" s="76"/>
      <c r="Q131" s="76"/>
      <c r="R131" s="67" t="s">
        <v>1553</v>
      </c>
      <c r="S131" s="68">
        <v>890399010</v>
      </c>
      <c r="T131" s="77">
        <v>29358372</v>
      </c>
      <c r="U131" s="78" t="s">
        <v>1703</v>
      </c>
      <c r="V131" s="81"/>
      <c r="W131" s="80">
        <v>0</v>
      </c>
    </row>
    <row r="132" spans="1:23" ht="15.6" hidden="1" x14ac:dyDescent="0.3">
      <c r="A132" s="67" t="s">
        <v>1011</v>
      </c>
      <c r="B132" s="69">
        <v>211825</v>
      </c>
      <c r="C132" s="69" t="s">
        <v>1012</v>
      </c>
      <c r="D132" s="69">
        <v>0</v>
      </c>
      <c r="E132" s="70" t="s">
        <v>472</v>
      </c>
      <c r="F132" s="67">
        <v>0</v>
      </c>
      <c r="G132" s="71">
        <v>0</v>
      </c>
      <c r="H132" s="72">
        <v>44889</v>
      </c>
      <c r="I132" s="135">
        <v>0</v>
      </c>
      <c r="J132" s="134">
        <v>0</v>
      </c>
      <c r="K132" s="125"/>
      <c r="L132" s="74" t="s">
        <v>1787</v>
      </c>
      <c r="M132" s="75">
        <v>74227</v>
      </c>
      <c r="N132" s="76" t="s">
        <v>1787</v>
      </c>
      <c r="O132" s="76">
        <v>0</v>
      </c>
      <c r="P132" s="76">
        <v>0</v>
      </c>
      <c r="Q132" s="76">
        <v>0</v>
      </c>
      <c r="R132" s="67" t="s">
        <v>1559</v>
      </c>
      <c r="S132" s="68">
        <v>890480059</v>
      </c>
      <c r="T132" s="77" t="s">
        <v>1787</v>
      </c>
      <c r="U132" s="78" t="s">
        <v>1787</v>
      </c>
      <c r="V132" s="81"/>
      <c r="W132" s="80" t="s">
        <v>1787</v>
      </c>
    </row>
    <row r="133" spans="1:23" ht="15.6" hidden="1" x14ac:dyDescent="0.3">
      <c r="A133" s="67" t="s">
        <v>999</v>
      </c>
      <c r="B133" s="69">
        <v>6370959</v>
      </c>
      <c r="C133" s="69" t="s">
        <v>1000</v>
      </c>
      <c r="D133" s="69">
        <v>0</v>
      </c>
      <c r="E133" s="70" t="s">
        <v>19</v>
      </c>
      <c r="F133" s="67" t="s">
        <v>1645</v>
      </c>
      <c r="G133" s="71">
        <v>32143</v>
      </c>
      <c r="H133" s="72">
        <v>44889</v>
      </c>
      <c r="I133" s="133">
        <v>0</v>
      </c>
      <c r="J133" s="134">
        <v>0</v>
      </c>
      <c r="K133" s="125"/>
      <c r="L133" s="74">
        <v>0.15340000000000001</v>
      </c>
      <c r="M133" s="75">
        <v>450878</v>
      </c>
      <c r="N133" s="76">
        <v>14</v>
      </c>
      <c r="O133" s="76"/>
      <c r="P133" s="76"/>
      <c r="Q133" s="76"/>
      <c r="R133" s="67" t="s">
        <v>1558</v>
      </c>
      <c r="S133" s="68">
        <v>890399045</v>
      </c>
      <c r="T133" s="77">
        <v>29648506</v>
      </c>
      <c r="U133" s="78" t="s">
        <v>1721</v>
      </c>
      <c r="V133" s="81"/>
      <c r="W133" s="80">
        <v>0</v>
      </c>
    </row>
    <row r="134" spans="1:23" ht="15.6" hidden="1" x14ac:dyDescent="0.3">
      <c r="A134" s="67" t="s">
        <v>808</v>
      </c>
      <c r="B134" s="69">
        <v>22279554</v>
      </c>
      <c r="C134" s="69" t="s">
        <v>809</v>
      </c>
      <c r="D134" s="69">
        <v>0</v>
      </c>
      <c r="E134" s="70" t="s">
        <v>19</v>
      </c>
      <c r="F134" s="67" t="s">
        <v>1645</v>
      </c>
      <c r="G134" s="71">
        <v>32800</v>
      </c>
      <c r="H134" s="72">
        <v>44754</v>
      </c>
      <c r="I134" s="135">
        <v>0</v>
      </c>
      <c r="J134" s="134">
        <v>0</v>
      </c>
      <c r="K134" s="125"/>
      <c r="L134" s="74">
        <v>0.63400000000000001</v>
      </c>
      <c r="M134" s="75">
        <v>4698</v>
      </c>
      <c r="N134" s="76">
        <v>14</v>
      </c>
      <c r="O134" s="76"/>
      <c r="P134" s="76"/>
      <c r="Q134" s="76"/>
      <c r="R134" s="67" t="s">
        <v>46</v>
      </c>
      <c r="S134" s="68">
        <v>890102006</v>
      </c>
      <c r="T134" s="77"/>
      <c r="U134" s="78"/>
      <c r="V134" s="81"/>
      <c r="W134" s="80">
        <v>0</v>
      </c>
    </row>
    <row r="135" spans="1:23" ht="15.6" hidden="1" x14ac:dyDescent="0.3">
      <c r="A135" s="67" t="s">
        <v>607</v>
      </c>
      <c r="B135" s="69">
        <v>23475</v>
      </c>
      <c r="C135" s="69" t="s">
        <v>608</v>
      </c>
      <c r="D135" s="69">
        <v>0</v>
      </c>
      <c r="E135" s="70" t="s">
        <v>472</v>
      </c>
      <c r="F135" s="67" t="s">
        <v>1645</v>
      </c>
      <c r="G135" s="71">
        <v>30317</v>
      </c>
      <c r="H135" s="72"/>
      <c r="I135" s="133">
        <v>0</v>
      </c>
      <c r="J135" s="134">
        <v>0</v>
      </c>
      <c r="K135" s="123" t="s">
        <v>1477</v>
      </c>
      <c r="L135" s="74">
        <v>0.16969999999999999</v>
      </c>
      <c r="M135" s="75">
        <v>3142</v>
      </c>
      <c r="N135" s="76">
        <v>14</v>
      </c>
      <c r="O135" s="76"/>
      <c r="P135" s="76"/>
      <c r="Q135" s="76"/>
      <c r="R135" s="67" t="s">
        <v>1513</v>
      </c>
      <c r="S135" s="68">
        <v>800113389</v>
      </c>
      <c r="T135" s="77">
        <v>28518853</v>
      </c>
      <c r="U135" s="78" t="s">
        <v>1669</v>
      </c>
      <c r="V135" s="81"/>
      <c r="W135" s="80">
        <v>0</v>
      </c>
    </row>
    <row r="136" spans="1:23" ht="15.6" hidden="1" x14ac:dyDescent="0.3">
      <c r="A136" s="67" t="s">
        <v>607</v>
      </c>
      <c r="B136" s="69">
        <v>23475</v>
      </c>
      <c r="C136" s="69" t="s">
        <v>608</v>
      </c>
      <c r="D136" s="69">
        <v>0</v>
      </c>
      <c r="E136" s="70" t="s">
        <v>19</v>
      </c>
      <c r="F136" s="67" t="s">
        <v>1645</v>
      </c>
      <c r="G136" s="71">
        <v>30317</v>
      </c>
      <c r="H136" s="72">
        <v>45222</v>
      </c>
      <c r="I136" s="133">
        <v>0</v>
      </c>
      <c r="J136" s="134">
        <v>0</v>
      </c>
      <c r="K136" s="123" t="s">
        <v>1477</v>
      </c>
      <c r="L136" s="74">
        <v>0.16969999999999999</v>
      </c>
      <c r="M136" s="75">
        <v>4717</v>
      </c>
      <c r="N136" s="76">
        <v>14</v>
      </c>
      <c r="O136" s="76"/>
      <c r="P136" s="76"/>
      <c r="Q136" s="76"/>
      <c r="R136" s="67" t="s">
        <v>1514</v>
      </c>
      <c r="S136" s="68">
        <v>800113672</v>
      </c>
      <c r="T136" s="77">
        <v>28518853</v>
      </c>
      <c r="U136" s="78" t="s">
        <v>1669</v>
      </c>
      <c r="V136" s="81"/>
      <c r="W136" s="80">
        <v>0</v>
      </c>
    </row>
    <row r="137" spans="1:23" ht="15.6" hidden="1" x14ac:dyDescent="0.3">
      <c r="A137" s="67" t="s">
        <v>1387</v>
      </c>
      <c r="B137" s="69">
        <v>116581</v>
      </c>
      <c r="C137" s="69" t="s">
        <v>1388</v>
      </c>
      <c r="D137" s="69">
        <v>0</v>
      </c>
      <c r="E137" s="70" t="s">
        <v>21</v>
      </c>
      <c r="F137" s="67">
        <v>0</v>
      </c>
      <c r="G137" s="71">
        <v>0</v>
      </c>
      <c r="H137" s="121">
        <v>44561</v>
      </c>
      <c r="I137" s="133">
        <v>0</v>
      </c>
      <c r="J137" s="134">
        <v>0</v>
      </c>
      <c r="K137" s="125"/>
      <c r="L137" s="74" t="s">
        <v>1787</v>
      </c>
      <c r="M137" s="75">
        <v>62369</v>
      </c>
      <c r="N137" s="76" t="s">
        <v>1787</v>
      </c>
      <c r="O137" s="76">
        <v>0</v>
      </c>
      <c r="P137" s="83">
        <v>742039</v>
      </c>
      <c r="Q137" s="83">
        <v>3584100</v>
      </c>
      <c r="R137" s="67" t="s">
        <v>1626</v>
      </c>
      <c r="S137" s="68">
        <v>899999072</v>
      </c>
      <c r="T137" s="77" t="s">
        <v>1787</v>
      </c>
      <c r="U137" s="78" t="s">
        <v>1787</v>
      </c>
      <c r="V137" s="81"/>
      <c r="W137" s="80" t="s">
        <v>1787</v>
      </c>
    </row>
    <row r="138" spans="1:23" ht="15.6" hidden="1" x14ac:dyDescent="0.3">
      <c r="A138" s="67" t="s">
        <v>1374</v>
      </c>
      <c r="B138" s="69">
        <v>8258761</v>
      </c>
      <c r="C138" s="69" t="s">
        <v>1375</v>
      </c>
      <c r="D138" s="69">
        <v>0</v>
      </c>
      <c r="E138" s="70" t="s">
        <v>19</v>
      </c>
      <c r="F138" s="67" t="s">
        <v>1645</v>
      </c>
      <c r="G138" s="71">
        <v>37196</v>
      </c>
      <c r="H138" s="119"/>
      <c r="I138" s="133">
        <v>0</v>
      </c>
      <c r="J138" s="134">
        <v>0</v>
      </c>
      <c r="K138" s="125"/>
      <c r="L138" s="74">
        <v>1.67E-2</v>
      </c>
      <c r="M138" s="75">
        <v>41916</v>
      </c>
      <c r="N138" s="76">
        <v>14</v>
      </c>
      <c r="O138" s="76"/>
      <c r="P138" s="76"/>
      <c r="Q138" s="76"/>
      <c r="R138" s="67" t="s">
        <v>1618</v>
      </c>
      <c r="S138" s="68">
        <v>892115004</v>
      </c>
      <c r="T138" s="77"/>
      <c r="U138" s="78"/>
      <c r="V138" s="81"/>
      <c r="W138" s="80">
        <v>0</v>
      </c>
    </row>
    <row r="139" spans="1:23" ht="15.6" hidden="1" x14ac:dyDescent="0.3">
      <c r="A139" s="67" t="s">
        <v>1374</v>
      </c>
      <c r="B139" s="69">
        <v>8258761</v>
      </c>
      <c r="C139" s="69" t="s">
        <v>1375</v>
      </c>
      <c r="D139" s="69">
        <v>0</v>
      </c>
      <c r="E139" s="70" t="s">
        <v>19</v>
      </c>
      <c r="F139" s="67" t="s">
        <v>1645</v>
      </c>
      <c r="G139" s="71">
        <v>37196</v>
      </c>
      <c r="H139" s="121">
        <v>42004</v>
      </c>
      <c r="I139" s="133">
        <v>0</v>
      </c>
      <c r="J139" s="134">
        <v>0</v>
      </c>
      <c r="K139" s="125"/>
      <c r="L139" s="74">
        <v>1.67E-2</v>
      </c>
      <c r="M139" s="75">
        <v>18244</v>
      </c>
      <c r="N139" s="76">
        <v>14</v>
      </c>
      <c r="O139" s="76">
        <v>0</v>
      </c>
      <c r="P139" s="83">
        <v>259800</v>
      </c>
      <c r="Q139" s="83">
        <v>1156342</v>
      </c>
      <c r="R139" s="67" t="s">
        <v>1620</v>
      </c>
      <c r="S139" s="68">
        <v>892115015</v>
      </c>
      <c r="T139" s="77"/>
      <c r="U139" s="78"/>
      <c r="V139" s="81"/>
      <c r="W139" s="80">
        <v>0</v>
      </c>
    </row>
    <row r="140" spans="1:23" ht="15.6" hidden="1" x14ac:dyDescent="0.3">
      <c r="A140" s="67" t="s">
        <v>969</v>
      </c>
      <c r="B140" s="69">
        <v>2443640</v>
      </c>
      <c r="C140" s="69" t="s">
        <v>970</v>
      </c>
      <c r="D140" s="69">
        <v>0</v>
      </c>
      <c r="E140" s="70" t="s">
        <v>19</v>
      </c>
      <c r="F140" s="67" t="s">
        <v>1645</v>
      </c>
      <c r="G140" s="71">
        <v>32143</v>
      </c>
      <c r="H140" s="72">
        <v>44889</v>
      </c>
      <c r="I140" s="133">
        <v>0</v>
      </c>
      <c r="J140" s="134">
        <v>0</v>
      </c>
      <c r="K140" s="125"/>
      <c r="L140" s="74">
        <v>0.26679999999999998</v>
      </c>
      <c r="M140" s="75">
        <v>23737</v>
      </c>
      <c r="N140" s="76">
        <v>14</v>
      </c>
      <c r="O140" s="76"/>
      <c r="P140" s="76"/>
      <c r="Q140" s="76"/>
      <c r="R140" s="67" t="s">
        <v>1556</v>
      </c>
      <c r="S140" s="68">
        <v>890399029</v>
      </c>
      <c r="T140" s="77">
        <v>38968329</v>
      </c>
      <c r="U140" s="78" t="s">
        <v>1715</v>
      </c>
      <c r="V140" s="81"/>
      <c r="W140" s="80">
        <v>0</v>
      </c>
    </row>
    <row r="141" spans="1:23" ht="15.6" hidden="1" x14ac:dyDescent="0.3">
      <c r="A141" s="67" t="s">
        <v>841</v>
      </c>
      <c r="B141" s="69">
        <v>127352</v>
      </c>
      <c r="C141" s="69" t="s">
        <v>842</v>
      </c>
      <c r="D141" s="69">
        <v>0</v>
      </c>
      <c r="E141" s="70" t="s">
        <v>21</v>
      </c>
      <c r="F141" s="67" t="s">
        <v>1645</v>
      </c>
      <c r="G141" s="71">
        <v>32143</v>
      </c>
      <c r="H141" s="72">
        <v>45568</v>
      </c>
      <c r="I141" s="133">
        <v>0</v>
      </c>
      <c r="J141" s="134">
        <v>0</v>
      </c>
      <c r="K141" s="127"/>
      <c r="L141" s="74">
        <v>0.53149999999999997</v>
      </c>
      <c r="M141" s="75">
        <v>658139</v>
      </c>
      <c r="N141" s="76">
        <v>14</v>
      </c>
      <c r="O141" s="105">
        <v>0.08</v>
      </c>
      <c r="P141" s="83">
        <v>867463</v>
      </c>
      <c r="Q141" s="83">
        <v>433700</v>
      </c>
      <c r="R141" s="67" t="s">
        <v>1542</v>
      </c>
      <c r="S141" s="68">
        <v>890201235</v>
      </c>
      <c r="T141" s="77"/>
      <c r="U141" s="78"/>
      <c r="V141" s="81"/>
      <c r="W141" s="80">
        <v>0</v>
      </c>
    </row>
    <row r="142" spans="1:23" ht="15.6" hidden="1" x14ac:dyDescent="0.3">
      <c r="A142" s="67" t="s">
        <v>490</v>
      </c>
      <c r="B142" s="69">
        <v>28689704</v>
      </c>
      <c r="C142" s="69" t="s">
        <v>491</v>
      </c>
      <c r="D142" s="69">
        <v>0</v>
      </c>
      <c r="E142" s="70" t="s">
        <v>19</v>
      </c>
      <c r="F142" s="67" t="s">
        <v>1645</v>
      </c>
      <c r="G142" s="71">
        <v>32143</v>
      </c>
      <c r="H142" s="72"/>
      <c r="I142" s="135">
        <v>0</v>
      </c>
      <c r="J142" s="134">
        <v>0</v>
      </c>
      <c r="K142" s="123" t="s">
        <v>20</v>
      </c>
      <c r="L142" s="74">
        <v>0.1008</v>
      </c>
      <c r="M142" s="75">
        <v>73628</v>
      </c>
      <c r="N142" s="76">
        <v>14</v>
      </c>
      <c r="O142" s="76"/>
      <c r="P142" s="76"/>
      <c r="Q142" s="76"/>
      <c r="R142" s="67" t="s">
        <v>1503</v>
      </c>
      <c r="S142" s="68">
        <v>800100053</v>
      </c>
      <c r="T142" s="77"/>
      <c r="U142" s="78"/>
      <c r="V142" s="81"/>
      <c r="W142" s="80">
        <v>0</v>
      </c>
    </row>
    <row r="143" spans="1:23" ht="15.6" hidden="1" x14ac:dyDescent="0.3">
      <c r="A143" s="67" t="s">
        <v>490</v>
      </c>
      <c r="B143" s="69">
        <v>28689704</v>
      </c>
      <c r="C143" s="69" t="s">
        <v>491</v>
      </c>
      <c r="D143" s="69">
        <v>0</v>
      </c>
      <c r="E143" s="70" t="s">
        <v>472</v>
      </c>
      <c r="F143" s="67" t="s">
        <v>1645</v>
      </c>
      <c r="G143" s="71">
        <v>32143</v>
      </c>
      <c r="H143" s="72">
        <v>45222</v>
      </c>
      <c r="I143" s="133">
        <v>0</v>
      </c>
      <c r="J143" s="134">
        <v>0</v>
      </c>
      <c r="K143" s="123" t="s">
        <v>20</v>
      </c>
      <c r="L143" s="74">
        <v>0.1008</v>
      </c>
      <c r="M143" s="75">
        <v>7424</v>
      </c>
      <c r="N143" s="76">
        <v>14</v>
      </c>
      <c r="O143" s="76"/>
      <c r="P143" s="76"/>
      <c r="Q143" s="76"/>
      <c r="R143" s="67" t="s">
        <v>1514</v>
      </c>
      <c r="S143" s="68">
        <v>800113672</v>
      </c>
      <c r="T143" s="77"/>
      <c r="U143" s="78"/>
      <c r="V143" s="81"/>
      <c r="W143" s="80">
        <v>0</v>
      </c>
    </row>
    <row r="144" spans="1:23" ht="15.6" hidden="1" x14ac:dyDescent="0.3">
      <c r="A144" s="67" t="s">
        <v>934</v>
      </c>
      <c r="B144" s="69">
        <v>2412846</v>
      </c>
      <c r="C144" s="69" t="s">
        <v>935</v>
      </c>
      <c r="D144" s="69">
        <v>0</v>
      </c>
      <c r="E144" s="70" t="s">
        <v>19</v>
      </c>
      <c r="F144" s="67" t="s">
        <v>1645</v>
      </c>
      <c r="G144" s="71">
        <v>29037</v>
      </c>
      <c r="H144" s="72">
        <v>45034</v>
      </c>
      <c r="I144" s="135">
        <v>0</v>
      </c>
      <c r="J144" s="134">
        <v>0</v>
      </c>
      <c r="K144" s="125"/>
      <c r="L144" s="74">
        <v>0.54830000000000001</v>
      </c>
      <c r="M144" s="75">
        <v>4474</v>
      </c>
      <c r="N144" s="76">
        <v>14</v>
      </c>
      <c r="O144" s="76"/>
      <c r="P144" s="76"/>
      <c r="Q144" s="76"/>
      <c r="R144" s="67" t="s">
        <v>1554</v>
      </c>
      <c r="S144" s="68">
        <v>890399011</v>
      </c>
      <c r="T144" s="77">
        <v>29053390</v>
      </c>
      <c r="U144" s="78" t="s">
        <v>1705</v>
      </c>
      <c r="V144" s="63"/>
      <c r="W144" s="80">
        <v>0</v>
      </c>
    </row>
    <row r="145" spans="1:23" ht="15.6" hidden="1" x14ac:dyDescent="0.3">
      <c r="A145" s="67" t="s">
        <v>934</v>
      </c>
      <c r="B145" s="69">
        <v>2412846</v>
      </c>
      <c r="C145" s="69" t="s">
        <v>935</v>
      </c>
      <c r="D145" s="69">
        <v>0</v>
      </c>
      <c r="E145" s="70" t="s">
        <v>472</v>
      </c>
      <c r="F145" s="67" t="s">
        <v>1645</v>
      </c>
      <c r="G145" s="71">
        <v>29037</v>
      </c>
      <c r="H145" s="72">
        <v>44889</v>
      </c>
      <c r="I145" s="135">
        <v>0</v>
      </c>
      <c r="J145" s="134">
        <v>0</v>
      </c>
      <c r="K145" s="125"/>
      <c r="L145" s="74">
        <v>0.54830000000000001</v>
      </c>
      <c r="M145" s="75">
        <v>13382</v>
      </c>
      <c r="N145" s="76">
        <v>14</v>
      </c>
      <c r="O145" s="76"/>
      <c r="P145" s="76"/>
      <c r="Q145" s="76"/>
      <c r="R145" s="67" t="s">
        <v>1556</v>
      </c>
      <c r="S145" s="68">
        <v>890399029</v>
      </c>
      <c r="T145" s="77">
        <v>29053390</v>
      </c>
      <c r="U145" s="78" t="s">
        <v>1705</v>
      </c>
      <c r="V145" s="81"/>
      <c r="W145" s="80">
        <v>0</v>
      </c>
    </row>
    <row r="146" spans="1:23" ht="15.6" hidden="1" x14ac:dyDescent="0.3">
      <c r="A146" s="67" t="s">
        <v>670</v>
      </c>
      <c r="B146" s="69">
        <v>14379</v>
      </c>
      <c r="C146" s="69" t="s">
        <v>671</v>
      </c>
      <c r="D146" s="69">
        <v>0</v>
      </c>
      <c r="E146" s="70" t="s">
        <v>21</v>
      </c>
      <c r="F146" s="67" t="s">
        <v>1645</v>
      </c>
      <c r="G146" s="71">
        <v>23817</v>
      </c>
      <c r="H146" s="72">
        <v>45222</v>
      </c>
      <c r="I146" s="133">
        <v>0</v>
      </c>
      <c r="J146" s="134">
        <v>0</v>
      </c>
      <c r="K146" s="123" t="s">
        <v>1471</v>
      </c>
      <c r="L146" s="74">
        <v>5.28E-2</v>
      </c>
      <c r="M146" s="85">
        <v>117</v>
      </c>
      <c r="N146" s="76">
        <v>14</v>
      </c>
      <c r="O146" s="76"/>
      <c r="P146" s="76"/>
      <c r="Q146" s="76"/>
      <c r="R146" s="67" t="s">
        <v>1528</v>
      </c>
      <c r="S146" s="68">
        <v>860041163</v>
      </c>
      <c r="T146" s="77">
        <v>20024848</v>
      </c>
      <c r="U146" s="78" t="s">
        <v>1675</v>
      </c>
      <c r="V146" s="81"/>
      <c r="W146" s="80">
        <v>0</v>
      </c>
    </row>
    <row r="147" spans="1:23" ht="15.6" hidden="1" x14ac:dyDescent="0.3">
      <c r="A147" s="67" t="s">
        <v>1405</v>
      </c>
      <c r="B147" s="69">
        <v>20001327</v>
      </c>
      <c r="C147" s="69" t="s">
        <v>1406</v>
      </c>
      <c r="D147" s="69">
        <v>0</v>
      </c>
      <c r="E147" s="70" t="s">
        <v>472</v>
      </c>
      <c r="F147" s="67" t="s">
        <v>1645</v>
      </c>
      <c r="G147" s="71">
        <v>30317</v>
      </c>
      <c r="H147" s="119"/>
      <c r="I147" s="133">
        <v>0</v>
      </c>
      <c r="J147" s="134">
        <v>0</v>
      </c>
      <c r="K147" s="125"/>
      <c r="L147" s="74">
        <v>0.64580000000000004</v>
      </c>
      <c r="M147" s="75">
        <v>180466</v>
      </c>
      <c r="N147" s="76">
        <v>14</v>
      </c>
      <c r="O147" s="76">
        <v>0</v>
      </c>
      <c r="P147" s="76">
        <v>0</v>
      </c>
      <c r="Q147" s="76">
        <v>0</v>
      </c>
      <c r="R147" s="67" t="s">
        <v>1628</v>
      </c>
      <c r="S147" s="68">
        <v>899999114</v>
      </c>
      <c r="T147" s="77"/>
      <c r="U147" s="78"/>
      <c r="V147" s="81"/>
      <c r="W147" s="80">
        <v>0</v>
      </c>
    </row>
    <row r="148" spans="1:23" ht="15.6" hidden="1" x14ac:dyDescent="0.3">
      <c r="A148" s="67" t="s">
        <v>795</v>
      </c>
      <c r="B148" s="69">
        <v>7517216</v>
      </c>
      <c r="C148" s="69" t="s">
        <v>796</v>
      </c>
      <c r="D148" s="69">
        <v>0</v>
      </c>
      <c r="E148" s="70" t="s">
        <v>19</v>
      </c>
      <c r="F148" s="67" t="s">
        <v>1645</v>
      </c>
      <c r="G148" s="71">
        <v>39756</v>
      </c>
      <c r="H148" s="72"/>
      <c r="I148" s="135">
        <v>0</v>
      </c>
      <c r="J148" s="134">
        <v>0</v>
      </c>
      <c r="K148" s="125"/>
      <c r="L148" s="74">
        <v>9.5399999999999999E-2</v>
      </c>
      <c r="M148" s="75">
        <v>338582</v>
      </c>
      <c r="N148" s="76">
        <v>13</v>
      </c>
      <c r="O148" s="76"/>
      <c r="P148" s="76"/>
      <c r="Q148" s="76"/>
      <c r="R148" s="67" t="s">
        <v>1532</v>
      </c>
      <c r="S148" s="68">
        <v>890000464</v>
      </c>
      <c r="T148" s="77"/>
      <c r="U148" s="78"/>
      <c r="V148" s="81"/>
      <c r="W148" s="80">
        <v>0</v>
      </c>
    </row>
    <row r="149" spans="1:23" ht="15.6" hidden="1" x14ac:dyDescent="0.3">
      <c r="A149" s="67" t="s">
        <v>795</v>
      </c>
      <c r="B149" s="69">
        <v>7517216</v>
      </c>
      <c r="C149" s="69" t="s">
        <v>796</v>
      </c>
      <c r="D149" s="69">
        <v>0</v>
      </c>
      <c r="E149" s="70" t="s">
        <v>472</v>
      </c>
      <c r="F149" s="67" t="s">
        <v>1645</v>
      </c>
      <c r="G149" s="71">
        <v>39756</v>
      </c>
      <c r="H149" s="72"/>
      <c r="I149" s="133">
        <v>0</v>
      </c>
      <c r="J149" s="134">
        <v>0</v>
      </c>
      <c r="K149" s="125"/>
      <c r="L149" s="74">
        <v>9.5399999999999999E-2</v>
      </c>
      <c r="M149" s="75">
        <v>96385</v>
      </c>
      <c r="N149" s="76">
        <v>13</v>
      </c>
      <c r="O149" s="76"/>
      <c r="P149" s="76"/>
      <c r="Q149" s="76"/>
      <c r="R149" s="67" t="s">
        <v>1533</v>
      </c>
      <c r="S149" s="68">
        <v>890001044</v>
      </c>
      <c r="T149" s="77"/>
      <c r="U149" s="78"/>
      <c r="V149" s="81"/>
      <c r="W149" s="80">
        <v>0</v>
      </c>
    </row>
    <row r="150" spans="1:23" ht="15.6" x14ac:dyDescent="0.3">
      <c r="A150" s="67" t="s">
        <v>928</v>
      </c>
      <c r="B150" s="69">
        <v>14965311</v>
      </c>
      <c r="C150" s="69" t="s">
        <v>929</v>
      </c>
      <c r="D150" s="69">
        <v>0</v>
      </c>
      <c r="E150" s="70" t="s">
        <v>19</v>
      </c>
      <c r="F150" s="67" t="s">
        <v>1643</v>
      </c>
      <c r="G150" s="71">
        <v>38799</v>
      </c>
      <c r="H150" s="72">
        <v>45034</v>
      </c>
      <c r="I150" s="133">
        <v>0</v>
      </c>
      <c r="J150" s="134">
        <v>0</v>
      </c>
      <c r="K150" s="125"/>
      <c r="L150" s="74">
        <v>3.8199999999999998E-2</v>
      </c>
      <c r="M150" s="75">
        <v>244577</v>
      </c>
      <c r="N150" s="76">
        <v>1</v>
      </c>
      <c r="O150" s="76"/>
      <c r="P150" s="76"/>
      <c r="Q150" s="76"/>
      <c r="R150" s="67" t="s">
        <v>1553</v>
      </c>
      <c r="S150" s="68">
        <v>890399010</v>
      </c>
      <c r="T150" s="77"/>
      <c r="U150" s="78"/>
      <c r="V150" s="81"/>
      <c r="W150" s="80">
        <v>0</v>
      </c>
    </row>
    <row r="151" spans="1:23" ht="15.6" x14ac:dyDescent="0.3">
      <c r="A151" s="67" t="s">
        <v>928</v>
      </c>
      <c r="B151" s="69">
        <v>14965311</v>
      </c>
      <c r="C151" s="69" t="s">
        <v>929</v>
      </c>
      <c r="D151" s="69">
        <v>0</v>
      </c>
      <c r="E151" s="70" t="s">
        <v>472</v>
      </c>
      <c r="F151" s="67" t="s">
        <v>1643</v>
      </c>
      <c r="G151" s="71">
        <v>38799</v>
      </c>
      <c r="H151" s="72">
        <v>44889</v>
      </c>
      <c r="I151" s="133">
        <v>0</v>
      </c>
      <c r="J151" s="134">
        <v>0</v>
      </c>
      <c r="K151" s="125"/>
      <c r="L151" s="74">
        <v>3.8199999999999998E-2</v>
      </c>
      <c r="M151" s="75">
        <v>71923</v>
      </c>
      <c r="N151" s="76">
        <v>1</v>
      </c>
      <c r="O151" s="76"/>
      <c r="P151" s="76"/>
      <c r="Q151" s="76"/>
      <c r="R151" s="67" t="s">
        <v>1556</v>
      </c>
      <c r="S151" s="68">
        <v>890399029</v>
      </c>
      <c r="T151" s="77"/>
      <c r="U151" s="78"/>
      <c r="V151" s="81"/>
      <c r="W151" s="80">
        <v>0</v>
      </c>
    </row>
    <row r="152" spans="1:23" ht="15.6" hidden="1" x14ac:dyDescent="0.3">
      <c r="A152" s="67" t="s">
        <v>1335</v>
      </c>
      <c r="B152" s="69">
        <v>9651931</v>
      </c>
      <c r="C152" s="69" t="s">
        <v>1336</v>
      </c>
      <c r="D152" s="69">
        <v>0</v>
      </c>
      <c r="E152" s="70" t="s">
        <v>19</v>
      </c>
      <c r="F152" s="67" t="s">
        <v>1645</v>
      </c>
      <c r="G152" s="71">
        <v>40238</v>
      </c>
      <c r="H152" s="119">
        <v>45058</v>
      </c>
      <c r="I152" s="133">
        <v>0</v>
      </c>
      <c r="J152" s="134">
        <v>0</v>
      </c>
      <c r="K152" s="125"/>
      <c r="L152" s="74">
        <v>6.13E-2</v>
      </c>
      <c r="M152" s="75">
        <v>110446</v>
      </c>
      <c r="N152" s="76">
        <v>13</v>
      </c>
      <c r="O152" s="76">
        <v>0</v>
      </c>
      <c r="P152" s="83">
        <v>1843437</v>
      </c>
      <c r="Q152" s="76">
        <v>0</v>
      </c>
      <c r="R152" s="67" t="s">
        <v>1607</v>
      </c>
      <c r="S152" s="68">
        <v>891855017</v>
      </c>
      <c r="T152" s="77"/>
      <c r="U152" s="78"/>
      <c r="V152" s="81"/>
      <c r="W152" s="80">
        <v>0</v>
      </c>
    </row>
    <row r="153" spans="1:23" ht="15.6" hidden="1" x14ac:dyDescent="0.3">
      <c r="A153" s="67" t="s">
        <v>1183</v>
      </c>
      <c r="B153" s="69">
        <v>3309855</v>
      </c>
      <c r="C153" s="69" t="s">
        <v>1184</v>
      </c>
      <c r="D153" s="69">
        <v>0</v>
      </c>
      <c r="E153" s="70" t="s">
        <v>472</v>
      </c>
      <c r="F153" s="67" t="s">
        <v>1645</v>
      </c>
      <c r="G153" s="71">
        <v>29325</v>
      </c>
      <c r="H153" s="72">
        <v>44196</v>
      </c>
      <c r="I153" s="133">
        <v>0</v>
      </c>
      <c r="J153" s="134">
        <v>0</v>
      </c>
      <c r="K153" s="125"/>
      <c r="L153" s="74">
        <v>4.3999999999999997E-2</v>
      </c>
      <c r="M153" s="85">
        <v>973</v>
      </c>
      <c r="N153" s="76">
        <v>14</v>
      </c>
      <c r="O153" s="76"/>
      <c r="P153" s="76"/>
      <c r="Q153" s="76"/>
      <c r="R153" s="67" t="s">
        <v>1576</v>
      </c>
      <c r="S153" s="68">
        <v>890904996</v>
      </c>
      <c r="T153" s="77">
        <v>21265842</v>
      </c>
      <c r="U153" s="78" t="s">
        <v>1742</v>
      </c>
      <c r="V153" s="81"/>
      <c r="W153" s="80">
        <v>0</v>
      </c>
    </row>
    <row r="154" spans="1:23" ht="15.6" hidden="1" x14ac:dyDescent="0.3">
      <c r="A154" s="67" t="s">
        <v>821</v>
      </c>
      <c r="B154" s="69">
        <v>22301424</v>
      </c>
      <c r="C154" s="69" t="s">
        <v>822</v>
      </c>
      <c r="D154" s="69">
        <v>0</v>
      </c>
      <c r="E154" s="70" t="s">
        <v>19</v>
      </c>
      <c r="F154" s="67" t="s">
        <v>1645</v>
      </c>
      <c r="G154" s="71">
        <v>32843</v>
      </c>
      <c r="H154" s="72">
        <v>43983</v>
      </c>
      <c r="I154" s="135">
        <v>0</v>
      </c>
      <c r="J154" s="134">
        <v>0</v>
      </c>
      <c r="K154" s="155"/>
      <c r="L154" s="74">
        <v>0.1578</v>
      </c>
      <c r="M154" s="75">
        <v>19660</v>
      </c>
      <c r="N154" s="76">
        <v>14</v>
      </c>
      <c r="O154" s="76"/>
      <c r="P154" s="76"/>
      <c r="Q154" s="76"/>
      <c r="R154" s="67" t="s">
        <v>1537</v>
      </c>
      <c r="S154" s="68">
        <v>890102257</v>
      </c>
      <c r="T154" s="77"/>
      <c r="U154" s="78"/>
      <c r="V154" s="82"/>
      <c r="W154" s="80">
        <v>0</v>
      </c>
    </row>
    <row r="155" spans="1:23" ht="15.6" x14ac:dyDescent="0.3">
      <c r="A155" s="67" t="s">
        <v>1173</v>
      </c>
      <c r="B155" s="69">
        <v>8301696</v>
      </c>
      <c r="C155" s="69" t="s">
        <v>1174</v>
      </c>
      <c r="D155" s="69">
        <v>0</v>
      </c>
      <c r="E155" s="70" t="s">
        <v>1061</v>
      </c>
      <c r="F155" s="67" t="s">
        <v>1643</v>
      </c>
      <c r="G155" s="71">
        <v>39050</v>
      </c>
      <c r="H155" s="72">
        <v>41639</v>
      </c>
      <c r="I155" s="133">
        <v>0</v>
      </c>
      <c r="J155" s="134">
        <v>0</v>
      </c>
      <c r="K155" s="125"/>
      <c r="L155" s="74">
        <v>7.6600000000000001E-2</v>
      </c>
      <c r="M155" s="75">
        <v>140168</v>
      </c>
      <c r="N155" s="76">
        <v>1</v>
      </c>
      <c r="O155" s="76">
        <v>0</v>
      </c>
      <c r="P155" s="83">
        <v>1893021</v>
      </c>
      <c r="Q155" s="76">
        <v>0</v>
      </c>
      <c r="R155" s="67" t="s">
        <v>1574</v>
      </c>
      <c r="S155" s="68">
        <v>890900286</v>
      </c>
      <c r="T155" s="77"/>
      <c r="U155" s="78"/>
      <c r="V155" s="81"/>
      <c r="W155" s="80">
        <v>0</v>
      </c>
    </row>
    <row r="156" spans="1:23" ht="15.6" hidden="1" x14ac:dyDescent="0.3">
      <c r="A156" s="67" t="s">
        <v>1062</v>
      </c>
      <c r="B156" s="146">
        <v>1194623</v>
      </c>
      <c r="C156" s="69" t="s">
        <v>1063</v>
      </c>
      <c r="D156" s="69">
        <v>0</v>
      </c>
      <c r="E156" s="70" t="s">
        <v>472</v>
      </c>
      <c r="F156" s="67" t="s">
        <v>1645</v>
      </c>
      <c r="G156" s="71">
        <v>24654</v>
      </c>
      <c r="H156" s="72"/>
      <c r="I156" s="135">
        <v>0</v>
      </c>
      <c r="J156" s="134">
        <v>0</v>
      </c>
      <c r="K156" s="125"/>
      <c r="L156" s="74">
        <v>0.60319999999999996</v>
      </c>
      <c r="M156" s="75">
        <v>1629</v>
      </c>
      <c r="N156" s="76">
        <v>14</v>
      </c>
      <c r="O156" s="76">
        <v>0</v>
      </c>
      <c r="P156" s="83">
        <v>2700</v>
      </c>
      <c r="Q156" s="76">
        <v>0</v>
      </c>
      <c r="R156" s="67" t="s">
        <v>1571</v>
      </c>
      <c r="S156" s="68">
        <v>890801052</v>
      </c>
      <c r="T156" s="77">
        <v>24256694</v>
      </c>
      <c r="U156" s="78" t="s">
        <v>1728</v>
      </c>
      <c r="V156" s="81"/>
      <c r="W156" s="80">
        <v>0</v>
      </c>
    </row>
    <row r="157" spans="1:23" ht="15.6" hidden="1" x14ac:dyDescent="0.3">
      <c r="A157" s="67" t="s">
        <v>967</v>
      </c>
      <c r="B157" s="69">
        <v>6148551</v>
      </c>
      <c r="C157" s="69" t="s">
        <v>968</v>
      </c>
      <c r="D157" s="69">
        <v>0</v>
      </c>
      <c r="E157" s="70" t="s">
        <v>19</v>
      </c>
      <c r="F157" s="67" t="s">
        <v>1645</v>
      </c>
      <c r="G157" s="71">
        <v>31778</v>
      </c>
      <c r="H157" s="72">
        <v>44889</v>
      </c>
      <c r="I157" s="133">
        <v>0</v>
      </c>
      <c r="J157" s="134">
        <v>0</v>
      </c>
      <c r="K157" s="125"/>
      <c r="L157" s="74">
        <v>0.19139999999999999</v>
      </c>
      <c r="M157" s="75">
        <v>14893</v>
      </c>
      <c r="N157" s="76">
        <v>14</v>
      </c>
      <c r="O157" s="76"/>
      <c r="P157" s="76"/>
      <c r="Q157" s="76"/>
      <c r="R157" s="67" t="s">
        <v>1556</v>
      </c>
      <c r="S157" s="68">
        <v>890399029</v>
      </c>
      <c r="T157" s="77">
        <v>29212666</v>
      </c>
      <c r="U157" s="78" t="s">
        <v>1714</v>
      </c>
      <c r="V157" s="81"/>
      <c r="W157" s="80">
        <v>0</v>
      </c>
    </row>
    <row r="158" spans="1:23" ht="15.6" hidden="1" x14ac:dyDescent="0.3">
      <c r="A158" s="67" t="s">
        <v>963</v>
      </c>
      <c r="B158" s="69">
        <v>2211689</v>
      </c>
      <c r="C158" s="69" t="s">
        <v>964</v>
      </c>
      <c r="D158" s="69">
        <v>0</v>
      </c>
      <c r="E158" s="70" t="s">
        <v>472</v>
      </c>
      <c r="F158" s="67" t="s">
        <v>1645</v>
      </c>
      <c r="G158" s="71">
        <v>29538</v>
      </c>
      <c r="H158" s="72">
        <v>44889</v>
      </c>
      <c r="I158" s="133">
        <v>0</v>
      </c>
      <c r="J158" s="134">
        <v>0</v>
      </c>
      <c r="K158" s="125"/>
      <c r="L158" s="74">
        <v>0.17860000000000001</v>
      </c>
      <c r="M158" s="75">
        <v>34785</v>
      </c>
      <c r="N158" s="76">
        <v>14</v>
      </c>
      <c r="O158" s="76"/>
      <c r="P158" s="76"/>
      <c r="Q158" s="76"/>
      <c r="R158" s="67" t="s">
        <v>1556</v>
      </c>
      <c r="S158" s="68">
        <v>890399029</v>
      </c>
      <c r="T158" s="77">
        <v>29635799</v>
      </c>
      <c r="U158" s="78" t="s">
        <v>1713</v>
      </c>
      <c r="V158" s="81"/>
      <c r="W158" s="80">
        <v>0</v>
      </c>
    </row>
    <row r="159" spans="1:23" ht="15.6" x14ac:dyDescent="0.3">
      <c r="A159" s="67" t="s">
        <v>1175</v>
      </c>
      <c r="B159" s="69">
        <v>8345847</v>
      </c>
      <c r="C159" s="69" t="s">
        <v>1176</v>
      </c>
      <c r="D159" s="69">
        <v>0</v>
      </c>
      <c r="E159" s="70" t="s">
        <v>19</v>
      </c>
      <c r="F159" s="67" t="s">
        <v>1643</v>
      </c>
      <c r="G159" s="71">
        <v>39416</v>
      </c>
      <c r="H159" s="72"/>
      <c r="I159" s="133">
        <v>0</v>
      </c>
      <c r="J159" s="134">
        <v>0</v>
      </c>
      <c r="K159" s="125"/>
      <c r="L159" s="74">
        <v>0.35549999999999998</v>
      </c>
      <c r="M159" s="75">
        <v>481715</v>
      </c>
      <c r="N159" s="76">
        <v>1</v>
      </c>
      <c r="O159" s="76">
        <v>0</v>
      </c>
      <c r="P159" s="83">
        <v>1295140</v>
      </c>
      <c r="Q159" s="76">
        <v>0</v>
      </c>
      <c r="R159" s="67" t="s">
        <v>1574</v>
      </c>
      <c r="S159" s="68">
        <v>890900286</v>
      </c>
      <c r="T159" s="77"/>
      <c r="U159" s="78"/>
      <c r="V159" s="81"/>
      <c r="W159" s="80">
        <v>0</v>
      </c>
    </row>
    <row r="160" spans="1:23" ht="15.6" hidden="1" x14ac:dyDescent="0.3">
      <c r="A160" s="67" t="s">
        <v>1379</v>
      </c>
      <c r="B160" s="69">
        <v>26941236</v>
      </c>
      <c r="C160" s="69" t="s">
        <v>1380</v>
      </c>
      <c r="D160" s="69">
        <v>0</v>
      </c>
      <c r="E160" s="70" t="s">
        <v>1061</v>
      </c>
      <c r="F160" s="67" t="s">
        <v>1645</v>
      </c>
      <c r="G160" s="71">
        <v>40203</v>
      </c>
      <c r="H160" s="119"/>
      <c r="I160" s="135">
        <v>0</v>
      </c>
      <c r="J160" s="134">
        <v>0</v>
      </c>
      <c r="K160" s="125"/>
      <c r="L160" s="74">
        <v>8.7800000000000003E-2</v>
      </c>
      <c r="M160" s="75">
        <v>180212</v>
      </c>
      <c r="N160" s="76">
        <v>13</v>
      </c>
      <c r="O160" s="76"/>
      <c r="P160" s="76"/>
      <c r="Q160" s="76"/>
      <c r="R160" s="67" t="s">
        <v>1623</v>
      </c>
      <c r="S160" s="68">
        <v>892300548</v>
      </c>
      <c r="T160" s="77"/>
      <c r="U160" s="78"/>
      <c r="V160" s="81"/>
      <c r="W160" s="80">
        <v>0</v>
      </c>
    </row>
    <row r="161" spans="1:23" ht="15.6" hidden="1" x14ac:dyDescent="0.3">
      <c r="A161" s="67" t="s">
        <v>601</v>
      </c>
      <c r="B161" s="69">
        <v>2754770</v>
      </c>
      <c r="C161" s="69" t="s">
        <v>602</v>
      </c>
      <c r="D161" s="69">
        <v>0</v>
      </c>
      <c r="E161" s="70" t="s">
        <v>19</v>
      </c>
      <c r="F161" s="67" t="s">
        <v>1645</v>
      </c>
      <c r="G161" s="71">
        <v>39392</v>
      </c>
      <c r="H161" s="72"/>
      <c r="I161" s="135">
        <v>0</v>
      </c>
      <c r="J161" s="134">
        <v>0</v>
      </c>
      <c r="K161" s="123" t="s">
        <v>1474</v>
      </c>
      <c r="L161" s="74">
        <v>0.214</v>
      </c>
      <c r="M161" s="75">
        <v>246608</v>
      </c>
      <c r="N161" s="76">
        <v>13</v>
      </c>
      <c r="O161" s="76">
        <v>0</v>
      </c>
      <c r="P161" s="83">
        <v>1152375</v>
      </c>
      <c r="Q161" s="76">
        <v>0</v>
      </c>
      <c r="R161" s="67" t="s">
        <v>1512</v>
      </c>
      <c r="S161" s="68">
        <v>800103935</v>
      </c>
      <c r="T161" s="77"/>
      <c r="U161" s="78"/>
      <c r="V161" s="81"/>
      <c r="W161" s="80">
        <v>0</v>
      </c>
    </row>
    <row r="162" spans="1:23" ht="15.6" x14ac:dyDescent="0.3">
      <c r="A162" s="67" t="s">
        <v>953</v>
      </c>
      <c r="B162" s="69">
        <v>19085450</v>
      </c>
      <c r="C162" s="69" t="s">
        <v>954</v>
      </c>
      <c r="D162" s="69">
        <v>0</v>
      </c>
      <c r="E162" s="70" t="s">
        <v>472</v>
      </c>
      <c r="F162" s="67" t="s">
        <v>1643</v>
      </c>
      <c r="G162" s="71">
        <v>38534</v>
      </c>
      <c r="H162" s="72">
        <v>44889</v>
      </c>
      <c r="I162" s="133">
        <v>0</v>
      </c>
      <c r="J162" s="134">
        <v>0</v>
      </c>
      <c r="K162" s="125"/>
      <c r="L162" s="74">
        <v>0.124</v>
      </c>
      <c r="M162" s="75">
        <v>249078</v>
      </c>
      <c r="N162" s="76">
        <v>1</v>
      </c>
      <c r="O162" s="76">
        <v>0</v>
      </c>
      <c r="P162" s="83">
        <v>1987040</v>
      </c>
      <c r="Q162" s="76">
        <v>0</v>
      </c>
      <c r="R162" s="67" t="s">
        <v>1555</v>
      </c>
      <c r="S162" s="68">
        <v>890399027</v>
      </c>
      <c r="T162" s="77"/>
      <c r="U162" s="78"/>
      <c r="V162" s="81"/>
      <c r="W162" s="80">
        <v>0</v>
      </c>
    </row>
    <row r="163" spans="1:23" ht="15.6" x14ac:dyDescent="0.3">
      <c r="A163" s="67" t="s">
        <v>953</v>
      </c>
      <c r="B163" s="69">
        <v>19085450</v>
      </c>
      <c r="C163" s="69" t="s">
        <v>954</v>
      </c>
      <c r="D163" s="69">
        <v>0</v>
      </c>
      <c r="E163" s="70" t="s">
        <v>472</v>
      </c>
      <c r="F163" s="67" t="s">
        <v>1643</v>
      </c>
      <c r="G163" s="71">
        <v>38534</v>
      </c>
      <c r="H163" s="72">
        <v>44889</v>
      </c>
      <c r="I163" s="133">
        <v>0</v>
      </c>
      <c r="J163" s="134">
        <v>0</v>
      </c>
      <c r="K163" s="125"/>
      <c r="L163" s="74">
        <v>0.124</v>
      </c>
      <c r="M163" s="75">
        <v>406192</v>
      </c>
      <c r="N163" s="76">
        <v>1</v>
      </c>
      <c r="O163" s="76"/>
      <c r="P163" s="76"/>
      <c r="Q163" s="76"/>
      <c r="R163" s="67" t="s">
        <v>1556</v>
      </c>
      <c r="S163" s="68">
        <v>890399029</v>
      </c>
      <c r="T163" s="77"/>
      <c r="U163" s="78"/>
      <c r="V163" s="81"/>
      <c r="W163" s="80">
        <v>0</v>
      </c>
    </row>
    <row r="164" spans="1:23" ht="15.6" hidden="1" x14ac:dyDescent="0.3">
      <c r="A164" s="67" t="s">
        <v>1039</v>
      </c>
      <c r="B164" s="69">
        <v>3790600</v>
      </c>
      <c r="C164" s="69" t="s">
        <v>1040</v>
      </c>
      <c r="D164" s="69">
        <v>0</v>
      </c>
      <c r="E164" s="70" t="s">
        <v>19</v>
      </c>
      <c r="F164" s="67" t="s">
        <v>1645</v>
      </c>
      <c r="G164" s="71">
        <v>36891</v>
      </c>
      <c r="H164" s="72"/>
      <c r="I164" s="133">
        <v>0</v>
      </c>
      <c r="J164" s="134">
        <v>0</v>
      </c>
      <c r="K164" s="125"/>
      <c r="L164" s="74">
        <v>0.2359</v>
      </c>
      <c r="M164" s="75">
        <v>23284</v>
      </c>
      <c r="N164" s="76">
        <v>14</v>
      </c>
      <c r="O164" s="76"/>
      <c r="P164" s="76"/>
      <c r="Q164" s="76"/>
      <c r="R164" s="67" t="s">
        <v>1561</v>
      </c>
      <c r="S164" s="68">
        <v>890481149</v>
      </c>
      <c r="T164" s="77"/>
      <c r="U164" s="78"/>
      <c r="V164" s="81"/>
      <c r="W164" s="80">
        <v>0</v>
      </c>
    </row>
    <row r="165" spans="1:23" ht="15.6" hidden="1" x14ac:dyDescent="0.3">
      <c r="A165" s="67" t="s">
        <v>800</v>
      </c>
      <c r="B165" s="69">
        <v>826376</v>
      </c>
      <c r="C165" s="69" t="s">
        <v>801</v>
      </c>
      <c r="D165" s="69">
        <v>0</v>
      </c>
      <c r="E165" s="70" t="s">
        <v>21</v>
      </c>
      <c r="F165" s="67" t="s">
        <v>1645</v>
      </c>
      <c r="G165" s="71">
        <v>28126</v>
      </c>
      <c r="H165" s="72">
        <v>45617</v>
      </c>
      <c r="I165" s="133">
        <v>0</v>
      </c>
      <c r="J165" s="134">
        <v>0</v>
      </c>
      <c r="K165" s="125"/>
      <c r="L165" s="74">
        <v>0.67259999999999998</v>
      </c>
      <c r="M165" s="75">
        <v>2521</v>
      </c>
      <c r="N165" s="76">
        <v>14</v>
      </c>
      <c r="O165" s="76"/>
      <c r="P165" s="76"/>
      <c r="Q165" s="76"/>
      <c r="R165" s="67" t="s">
        <v>46</v>
      </c>
      <c r="S165" s="68">
        <v>890102006</v>
      </c>
      <c r="T165" s="77">
        <v>22254832</v>
      </c>
      <c r="U165" s="78" t="s">
        <v>1692</v>
      </c>
      <c r="V165" s="81"/>
      <c r="W165" s="80">
        <v>0</v>
      </c>
    </row>
    <row r="166" spans="1:23" ht="15.6" x14ac:dyDescent="0.3">
      <c r="A166" s="67" t="s">
        <v>664</v>
      </c>
      <c r="B166" s="69">
        <v>14980003</v>
      </c>
      <c r="C166" s="69" t="s">
        <v>665</v>
      </c>
      <c r="D166" s="69">
        <v>0</v>
      </c>
      <c r="E166" s="70" t="s">
        <v>592</v>
      </c>
      <c r="F166" s="67" t="s">
        <v>1643</v>
      </c>
      <c r="G166" s="71">
        <v>39050</v>
      </c>
      <c r="H166" s="72">
        <v>45222</v>
      </c>
      <c r="I166" s="133">
        <v>0</v>
      </c>
      <c r="J166" s="134">
        <v>0</v>
      </c>
      <c r="K166" s="123" t="s">
        <v>1478</v>
      </c>
      <c r="L166" s="74">
        <v>0.48149999999999998</v>
      </c>
      <c r="M166" s="75">
        <v>797276</v>
      </c>
      <c r="N166" s="76">
        <v>1</v>
      </c>
      <c r="O166" s="76"/>
      <c r="P166" s="76"/>
      <c r="Q166" s="76"/>
      <c r="R166" s="67" t="s">
        <v>1525</v>
      </c>
      <c r="S166" s="68">
        <v>830053105</v>
      </c>
      <c r="T166" s="77">
        <v>38943237</v>
      </c>
      <c r="U166" s="78" t="s">
        <v>1674</v>
      </c>
      <c r="V166" s="81"/>
      <c r="W166" s="80">
        <v>0</v>
      </c>
    </row>
    <row r="167" spans="1:23" ht="15.6" hidden="1" x14ac:dyDescent="0.3">
      <c r="A167" s="67" t="s">
        <v>1088</v>
      </c>
      <c r="B167" s="69">
        <v>22013247</v>
      </c>
      <c r="C167" s="69" t="s">
        <v>1089</v>
      </c>
      <c r="D167" s="69">
        <v>0</v>
      </c>
      <c r="E167" s="70" t="s">
        <v>472</v>
      </c>
      <c r="F167" s="67" t="s">
        <v>1645</v>
      </c>
      <c r="G167" s="71">
        <v>28307</v>
      </c>
      <c r="H167" s="72"/>
      <c r="I167" s="135">
        <v>0</v>
      </c>
      <c r="J167" s="134">
        <v>0</v>
      </c>
      <c r="K167" s="131"/>
      <c r="L167" s="74">
        <v>0.65490000000000004</v>
      </c>
      <c r="M167" s="75">
        <v>6519</v>
      </c>
      <c r="N167" s="76">
        <v>14</v>
      </c>
      <c r="O167" s="105">
        <v>0.08</v>
      </c>
      <c r="P167" s="83">
        <v>6519</v>
      </c>
      <c r="Q167" s="76">
        <v>0</v>
      </c>
      <c r="R167" s="67" t="s">
        <v>1574</v>
      </c>
      <c r="S167" s="68">
        <v>890900286</v>
      </c>
      <c r="T167" s="77"/>
      <c r="U167" s="78"/>
      <c r="V167" s="63"/>
      <c r="W167" s="80">
        <v>0</v>
      </c>
    </row>
    <row r="168" spans="1:23" ht="15.6" hidden="1" x14ac:dyDescent="0.3">
      <c r="A168" s="67" t="s">
        <v>1027</v>
      </c>
      <c r="B168" s="69">
        <v>33134566</v>
      </c>
      <c r="C168" s="69" t="s">
        <v>1028</v>
      </c>
      <c r="D168" s="69">
        <v>0</v>
      </c>
      <c r="E168" s="70" t="s">
        <v>21</v>
      </c>
      <c r="F168" s="67" t="s">
        <v>1645</v>
      </c>
      <c r="G168" s="71">
        <v>38899</v>
      </c>
      <c r="H168" s="72">
        <v>44550</v>
      </c>
      <c r="I168" s="135">
        <v>0</v>
      </c>
      <c r="J168" s="134">
        <v>0</v>
      </c>
      <c r="K168" s="125"/>
      <c r="L168" s="74">
        <v>7.3999999999999996E-2</v>
      </c>
      <c r="M168" s="75">
        <v>88548</v>
      </c>
      <c r="N168" s="76">
        <v>13</v>
      </c>
      <c r="O168" s="76">
        <v>0</v>
      </c>
      <c r="P168" s="76">
        <v>0</v>
      </c>
      <c r="Q168" s="76">
        <v>0</v>
      </c>
      <c r="R168" s="67" t="s">
        <v>1559</v>
      </c>
      <c r="S168" s="68">
        <v>890480059</v>
      </c>
      <c r="T168" s="77"/>
      <c r="U168" s="78"/>
      <c r="V168" s="81"/>
      <c r="W168" s="80">
        <v>0</v>
      </c>
    </row>
    <row r="169" spans="1:23" ht="15.6" hidden="1" x14ac:dyDescent="0.3">
      <c r="A169" s="67" t="s">
        <v>584</v>
      </c>
      <c r="B169" s="69">
        <v>8249354</v>
      </c>
      <c r="C169" s="69" t="s">
        <v>585</v>
      </c>
      <c r="D169" s="69">
        <v>0</v>
      </c>
      <c r="E169" s="70" t="s">
        <v>19</v>
      </c>
      <c r="F169" s="67" t="s">
        <v>1645</v>
      </c>
      <c r="G169" s="71">
        <v>34700</v>
      </c>
      <c r="H169" s="72"/>
      <c r="I169" s="135">
        <v>0</v>
      </c>
      <c r="J169" s="134">
        <v>0</v>
      </c>
      <c r="K169" s="123" t="s">
        <v>1474</v>
      </c>
      <c r="L169" s="74">
        <v>0.26619999999999999</v>
      </c>
      <c r="M169" s="75">
        <v>99702</v>
      </c>
      <c r="N169" s="76">
        <v>14</v>
      </c>
      <c r="O169" s="76">
        <v>0</v>
      </c>
      <c r="P169" s="83">
        <v>459096</v>
      </c>
      <c r="Q169" s="76">
        <v>0</v>
      </c>
      <c r="R169" s="67" t="s">
        <v>1512</v>
      </c>
      <c r="S169" s="68">
        <v>800103935</v>
      </c>
      <c r="T169" s="77"/>
      <c r="U169" s="78"/>
      <c r="V169" s="81"/>
      <c r="W169" s="80">
        <v>0</v>
      </c>
    </row>
    <row r="170" spans="1:23" ht="15.6" hidden="1" x14ac:dyDescent="0.3">
      <c r="A170" s="67" t="s">
        <v>781</v>
      </c>
      <c r="B170" s="69">
        <v>19215004</v>
      </c>
      <c r="C170" s="69" t="s">
        <v>782</v>
      </c>
      <c r="D170" s="69">
        <v>0</v>
      </c>
      <c r="E170" s="70" t="s">
        <v>592</v>
      </c>
      <c r="F170" s="67" t="s">
        <v>1645</v>
      </c>
      <c r="G170" s="71">
        <v>40147</v>
      </c>
      <c r="H170" s="72">
        <v>40908</v>
      </c>
      <c r="I170" s="135">
        <v>0</v>
      </c>
      <c r="J170" s="134">
        <v>0</v>
      </c>
      <c r="K170" s="125"/>
      <c r="L170" s="74">
        <v>0.14860000000000001</v>
      </c>
      <c r="M170" s="75">
        <v>79530</v>
      </c>
      <c r="N170" s="76">
        <v>14</v>
      </c>
      <c r="O170" s="76"/>
      <c r="P170" s="76"/>
      <c r="Q170" s="76"/>
      <c r="R170" s="67" t="s">
        <v>1528</v>
      </c>
      <c r="S170" s="68">
        <v>860041163</v>
      </c>
      <c r="T170" s="77">
        <v>20427516</v>
      </c>
      <c r="U170" s="78" t="s">
        <v>1687</v>
      </c>
      <c r="V170" s="81"/>
      <c r="W170" s="80">
        <v>1528885</v>
      </c>
    </row>
    <row r="171" spans="1:23" ht="15.6" hidden="1" x14ac:dyDescent="0.3">
      <c r="A171" s="67" t="s">
        <v>1459</v>
      </c>
      <c r="B171" s="69">
        <v>19215004</v>
      </c>
      <c r="C171" s="69" t="s">
        <v>782</v>
      </c>
      <c r="D171" s="69">
        <v>0</v>
      </c>
      <c r="E171" s="70" t="s">
        <v>472</v>
      </c>
      <c r="F171" s="67" t="s">
        <v>1645</v>
      </c>
      <c r="G171" s="71">
        <v>40147</v>
      </c>
      <c r="H171" s="119"/>
      <c r="I171" s="135">
        <v>0</v>
      </c>
      <c r="J171" s="134">
        <v>0</v>
      </c>
      <c r="K171" s="125"/>
      <c r="L171" s="74">
        <v>0.14860000000000001</v>
      </c>
      <c r="M171" s="75">
        <v>327467</v>
      </c>
      <c r="N171" s="76">
        <v>14</v>
      </c>
      <c r="O171" s="76">
        <v>0</v>
      </c>
      <c r="P171" s="83">
        <v>823584</v>
      </c>
      <c r="Q171" s="83">
        <v>2226962</v>
      </c>
      <c r="R171" s="67" t="s">
        <v>1628</v>
      </c>
      <c r="S171" s="68">
        <v>899999114</v>
      </c>
      <c r="T171" s="77">
        <v>20427516</v>
      </c>
      <c r="U171" s="78" t="s">
        <v>1687</v>
      </c>
      <c r="V171" s="63"/>
      <c r="W171" s="80">
        <v>1528885</v>
      </c>
    </row>
    <row r="172" spans="1:23" ht="15.6" x14ac:dyDescent="0.3">
      <c r="A172" s="67" t="s">
        <v>564</v>
      </c>
      <c r="B172" s="69">
        <v>19105829</v>
      </c>
      <c r="C172" s="69" t="s">
        <v>565</v>
      </c>
      <c r="D172" s="69">
        <v>0</v>
      </c>
      <c r="E172" s="70" t="s">
        <v>472</v>
      </c>
      <c r="F172" s="67" t="s">
        <v>1643</v>
      </c>
      <c r="G172" s="71">
        <v>38777</v>
      </c>
      <c r="H172" s="72"/>
      <c r="I172" s="133">
        <v>0</v>
      </c>
      <c r="J172" s="134">
        <v>0</v>
      </c>
      <c r="K172" s="123" t="s">
        <v>1486</v>
      </c>
      <c r="L172" s="74">
        <v>0.1643</v>
      </c>
      <c r="M172" s="75">
        <v>279837</v>
      </c>
      <c r="N172" s="76">
        <v>1</v>
      </c>
      <c r="O172" s="76"/>
      <c r="P172" s="76"/>
      <c r="Q172" s="76"/>
      <c r="R172" s="67" t="s">
        <v>1511</v>
      </c>
      <c r="S172" s="68">
        <v>800103927</v>
      </c>
      <c r="T172" s="77"/>
      <c r="U172" s="78"/>
      <c r="V172" s="81"/>
      <c r="W172" s="80">
        <v>0</v>
      </c>
    </row>
    <row r="173" spans="1:23" ht="15.6" hidden="1" x14ac:dyDescent="0.3">
      <c r="A173" s="67" t="s">
        <v>965</v>
      </c>
      <c r="B173" s="69">
        <v>2665482</v>
      </c>
      <c r="C173" s="69" t="s">
        <v>966</v>
      </c>
      <c r="D173" s="69">
        <v>0</v>
      </c>
      <c r="E173" s="70" t="s">
        <v>472</v>
      </c>
      <c r="F173" s="67" t="s">
        <v>1645</v>
      </c>
      <c r="G173" s="71">
        <v>34856</v>
      </c>
      <c r="H173" s="72">
        <v>44889</v>
      </c>
      <c r="I173" s="133">
        <v>0</v>
      </c>
      <c r="J173" s="134">
        <v>0</v>
      </c>
      <c r="K173" s="125"/>
      <c r="L173" s="74">
        <v>0.16520000000000001</v>
      </c>
      <c r="M173" s="75">
        <v>8140</v>
      </c>
      <c r="N173" s="76">
        <v>14</v>
      </c>
      <c r="O173" s="76"/>
      <c r="P173" s="76"/>
      <c r="Q173" s="76"/>
      <c r="R173" s="67" t="s">
        <v>1556</v>
      </c>
      <c r="S173" s="68">
        <v>890399029</v>
      </c>
      <c r="T173" s="77"/>
      <c r="U173" s="78"/>
      <c r="V173" s="81"/>
      <c r="W173" s="80">
        <v>0</v>
      </c>
    </row>
    <row r="174" spans="1:23" ht="15.6" hidden="1" x14ac:dyDescent="0.3">
      <c r="A174" s="67" t="s">
        <v>965</v>
      </c>
      <c r="B174" s="69">
        <v>2665482</v>
      </c>
      <c r="C174" s="69" t="s">
        <v>1341</v>
      </c>
      <c r="D174" s="69">
        <v>0</v>
      </c>
      <c r="E174" s="70" t="s">
        <v>19</v>
      </c>
      <c r="F174" s="67" t="s">
        <v>1645</v>
      </c>
      <c r="G174" s="71">
        <v>34856</v>
      </c>
      <c r="H174" s="119"/>
      <c r="I174" s="135">
        <v>0</v>
      </c>
      <c r="J174" s="134">
        <v>0</v>
      </c>
      <c r="K174" s="125"/>
      <c r="L174" s="74">
        <v>0.16520000000000001</v>
      </c>
      <c r="M174" s="85"/>
      <c r="N174" s="76">
        <v>14</v>
      </c>
      <c r="O174" s="76"/>
      <c r="P174" s="76"/>
      <c r="Q174" s="76"/>
      <c r="R174" s="67" t="s">
        <v>1610</v>
      </c>
      <c r="S174" s="68">
        <v>891900272</v>
      </c>
      <c r="T174" s="77"/>
      <c r="U174" s="78"/>
      <c r="V174" s="81"/>
      <c r="W174" s="80">
        <v>0</v>
      </c>
    </row>
    <row r="175" spans="1:23" ht="15.6" hidden="1" x14ac:dyDescent="0.3">
      <c r="A175" s="67" t="s">
        <v>482</v>
      </c>
      <c r="B175" s="69">
        <v>1787865</v>
      </c>
      <c r="C175" s="69" t="s">
        <v>483</v>
      </c>
      <c r="D175" s="69">
        <v>0</v>
      </c>
      <c r="E175" s="70" t="s">
        <v>19</v>
      </c>
      <c r="F175" s="67" t="s">
        <v>1645</v>
      </c>
      <c r="G175" s="71">
        <v>32797</v>
      </c>
      <c r="H175" s="72"/>
      <c r="I175" s="133">
        <v>0</v>
      </c>
      <c r="J175" s="134">
        <v>0</v>
      </c>
      <c r="K175" s="123" t="s">
        <v>1475</v>
      </c>
      <c r="L175" s="74">
        <v>0.18160000000000001</v>
      </c>
      <c r="M175" s="75">
        <v>14106</v>
      </c>
      <c r="N175" s="76">
        <v>14</v>
      </c>
      <c r="O175" s="76"/>
      <c r="P175" s="76"/>
      <c r="Q175" s="76"/>
      <c r="R175" s="67" t="s">
        <v>1500</v>
      </c>
      <c r="S175" s="68">
        <v>800099223</v>
      </c>
      <c r="T175" s="77">
        <v>26981037</v>
      </c>
      <c r="U175" s="78" t="s">
        <v>1652</v>
      </c>
      <c r="V175" s="118"/>
      <c r="W175" s="80">
        <v>0</v>
      </c>
    </row>
    <row r="176" spans="1:23" ht="15.6" hidden="1" x14ac:dyDescent="0.3">
      <c r="A176" s="67" t="s">
        <v>605</v>
      </c>
      <c r="B176" s="69">
        <v>78015119</v>
      </c>
      <c r="C176" s="69" t="s">
        <v>606</v>
      </c>
      <c r="D176" s="69">
        <v>0</v>
      </c>
      <c r="E176" s="70" t="s">
        <v>19</v>
      </c>
      <c r="F176" s="67" t="s">
        <v>1645</v>
      </c>
      <c r="G176" s="71">
        <v>39600</v>
      </c>
      <c r="H176" s="72">
        <v>44312</v>
      </c>
      <c r="I176" s="133">
        <v>0</v>
      </c>
      <c r="J176" s="134">
        <v>0</v>
      </c>
      <c r="K176" s="123" t="s">
        <v>1474</v>
      </c>
      <c r="L176" s="74">
        <v>0.15620000000000001</v>
      </c>
      <c r="M176" s="75">
        <v>292741</v>
      </c>
      <c r="N176" s="76">
        <v>13</v>
      </c>
      <c r="O176" s="76">
        <v>0</v>
      </c>
      <c r="P176" s="83">
        <v>1874144</v>
      </c>
      <c r="Q176" s="76">
        <v>0</v>
      </c>
      <c r="R176" s="67" t="s">
        <v>1512</v>
      </c>
      <c r="S176" s="68">
        <v>800103935</v>
      </c>
      <c r="T176" s="77"/>
      <c r="U176" s="78"/>
      <c r="V176" s="81"/>
      <c r="W176" s="80">
        <v>0</v>
      </c>
    </row>
    <row r="177" spans="1:23" ht="15.6" hidden="1" x14ac:dyDescent="0.3">
      <c r="A177" s="67" t="s">
        <v>528</v>
      </c>
      <c r="B177" s="69">
        <v>1683042</v>
      </c>
      <c r="C177" s="69" t="s">
        <v>529</v>
      </c>
      <c r="D177" s="69">
        <v>0</v>
      </c>
      <c r="E177" s="70" t="s">
        <v>19</v>
      </c>
      <c r="F177" s="67" t="s">
        <v>1645</v>
      </c>
      <c r="G177" s="71">
        <v>30317</v>
      </c>
      <c r="H177" s="72"/>
      <c r="I177" s="135">
        <v>0</v>
      </c>
      <c r="J177" s="134">
        <v>0</v>
      </c>
      <c r="K177" s="123" t="s">
        <v>1475</v>
      </c>
      <c r="L177" s="74">
        <v>0.2772</v>
      </c>
      <c r="M177" s="75">
        <v>141435</v>
      </c>
      <c r="N177" s="76">
        <v>14</v>
      </c>
      <c r="O177" s="76"/>
      <c r="P177" s="76"/>
      <c r="Q177" s="76"/>
      <c r="R177" s="67" t="s">
        <v>1509</v>
      </c>
      <c r="S177" s="68">
        <v>800103920</v>
      </c>
      <c r="T177" s="77">
        <v>26652229</v>
      </c>
      <c r="U177" s="78" t="s">
        <v>1661</v>
      </c>
      <c r="V177" s="81"/>
      <c r="W177" s="80">
        <v>0</v>
      </c>
    </row>
    <row r="178" spans="1:23" ht="15.6" x14ac:dyDescent="0.3">
      <c r="A178" s="67" t="s">
        <v>868</v>
      </c>
      <c r="B178" s="69">
        <v>13807899</v>
      </c>
      <c r="C178" s="69" t="s">
        <v>869</v>
      </c>
      <c r="D178" s="69">
        <v>0</v>
      </c>
      <c r="E178" s="70" t="s">
        <v>21</v>
      </c>
      <c r="F178" s="67" t="s">
        <v>1643</v>
      </c>
      <c r="G178" s="71">
        <v>38866</v>
      </c>
      <c r="H178" s="72"/>
      <c r="I178" s="133">
        <v>0</v>
      </c>
      <c r="J178" s="134">
        <v>0</v>
      </c>
      <c r="K178" s="125"/>
      <c r="L178" s="74">
        <v>0.13819999999999999</v>
      </c>
      <c r="M178" s="75">
        <v>253709</v>
      </c>
      <c r="N178" s="76">
        <v>1</v>
      </c>
      <c r="O178" s="76">
        <v>0</v>
      </c>
      <c r="P178" s="76">
        <v>0</v>
      </c>
      <c r="Q178" s="83">
        <v>2951253</v>
      </c>
      <c r="R178" s="67" t="s">
        <v>1542</v>
      </c>
      <c r="S178" s="68">
        <v>890201235</v>
      </c>
      <c r="T178" s="77"/>
      <c r="U178" s="78"/>
      <c r="V178" s="81"/>
      <c r="W178" s="80">
        <v>0</v>
      </c>
    </row>
    <row r="179" spans="1:23" ht="15.6" hidden="1" x14ac:dyDescent="0.3">
      <c r="A179" s="67" t="s">
        <v>480</v>
      </c>
      <c r="B179" s="69">
        <v>26049129</v>
      </c>
      <c r="C179" s="69" t="s">
        <v>481</v>
      </c>
      <c r="D179" s="69">
        <v>0</v>
      </c>
      <c r="E179" s="70" t="s">
        <v>19</v>
      </c>
      <c r="F179" s="67" t="s">
        <v>1645</v>
      </c>
      <c r="G179" s="71">
        <v>37653</v>
      </c>
      <c r="H179" s="72">
        <v>44516</v>
      </c>
      <c r="I179" s="133">
        <v>0</v>
      </c>
      <c r="J179" s="134">
        <v>0</v>
      </c>
      <c r="K179" s="123" t="s">
        <v>1474</v>
      </c>
      <c r="L179" s="74">
        <v>0.29320000000000002</v>
      </c>
      <c r="M179" s="96">
        <v>363502</v>
      </c>
      <c r="N179" s="76">
        <v>14</v>
      </c>
      <c r="O179" s="76"/>
      <c r="P179" s="76"/>
      <c r="Q179" s="76"/>
      <c r="R179" s="67" t="s">
        <v>1499</v>
      </c>
      <c r="S179" s="68">
        <v>800096807</v>
      </c>
      <c r="T179" s="77">
        <v>15610918</v>
      </c>
      <c r="U179" s="78" t="s">
        <v>1651</v>
      </c>
      <c r="V179" s="81"/>
      <c r="W179" s="80">
        <v>0</v>
      </c>
    </row>
    <row r="180" spans="1:23" ht="15.6" hidden="1" x14ac:dyDescent="0.3">
      <c r="A180" s="67" t="s">
        <v>1068</v>
      </c>
      <c r="B180" s="146">
        <v>1300373</v>
      </c>
      <c r="C180" s="69" t="s">
        <v>1069</v>
      </c>
      <c r="D180" s="69">
        <v>0</v>
      </c>
      <c r="E180" s="70" t="s">
        <v>19</v>
      </c>
      <c r="F180" s="67" t="s">
        <v>1645</v>
      </c>
      <c r="G180" s="71">
        <v>28856</v>
      </c>
      <c r="H180" s="72">
        <v>44343</v>
      </c>
      <c r="I180" s="133">
        <v>0</v>
      </c>
      <c r="J180" s="134">
        <v>0</v>
      </c>
      <c r="K180" s="125"/>
      <c r="L180" s="74">
        <v>0.22500000000000001</v>
      </c>
      <c r="M180" s="75">
        <v>1202</v>
      </c>
      <c r="N180" s="76">
        <v>14</v>
      </c>
      <c r="O180" s="76">
        <v>0</v>
      </c>
      <c r="P180" s="83">
        <v>5542</v>
      </c>
      <c r="Q180" s="111">
        <v>2340</v>
      </c>
      <c r="R180" s="67" t="s">
        <v>1571</v>
      </c>
      <c r="S180" s="68">
        <v>890801052</v>
      </c>
      <c r="T180" s="77">
        <v>24264491</v>
      </c>
      <c r="U180" s="78" t="s">
        <v>1731</v>
      </c>
      <c r="V180" s="81"/>
      <c r="W180" s="80">
        <v>0</v>
      </c>
    </row>
    <row r="181" spans="1:23" ht="15.6" hidden="1" x14ac:dyDescent="0.3">
      <c r="A181" s="67" t="s">
        <v>939</v>
      </c>
      <c r="B181" s="69">
        <v>6045882</v>
      </c>
      <c r="C181" s="69" t="s">
        <v>940</v>
      </c>
      <c r="D181" s="69">
        <v>0</v>
      </c>
      <c r="E181" s="70" t="s">
        <v>472</v>
      </c>
      <c r="F181" s="67" t="s">
        <v>1645</v>
      </c>
      <c r="G181" s="71">
        <v>31820</v>
      </c>
      <c r="H181" s="72">
        <v>45034</v>
      </c>
      <c r="I181" s="133">
        <v>0</v>
      </c>
      <c r="J181" s="134">
        <v>0</v>
      </c>
      <c r="K181" s="125"/>
      <c r="L181" s="74">
        <v>0.24210000000000001</v>
      </c>
      <c r="M181" s="75">
        <v>27116</v>
      </c>
      <c r="N181" s="76">
        <v>14</v>
      </c>
      <c r="O181" s="76"/>
      <c r="P181" s="76"/>
      <c r="Q181" s="76"/>
      <c r="R181" s="67" t="s">
        <v>1554</v>
      </c>
      <c r="S181" s="68">
        <v>890399011</v>
      </c>
      <c r="T181" s="77">
        <v>20328976</v>
      </c>
      <c r="U181" s="78" t="s">
        <v>1707</v>
      </c>
      <c r="V181" s="81"/>
      <c r="W181" s="80">
        <v>0</v>
      </c>
    </row>
    <row r="182" spans="1:23" ht="15.6" hidden="1" x14ac:dyDescent="0.3">
      <c r="A182" s="67" t="s">
        <v>870</v>
      </c>
      <c r="B182" s="69">
        <v>13813388</v>
      </c>
      <c r="C182" s="69" t="s">
        <v>871</v>
      </c>
      <c r="D182" s="69">
        <v>0</v>
      </c>
      <c r="E182" s="70" t="s">
        <v>21</v>
      </c>
      <c r="F182" s="67" t="s">
        <v>1645</v>
      </c>
      <c r="G182" s="71">
        <v>38866</v>
      </c>
      <c r="H182" s="72"/>
      <c r="I182" s="133">
        <v>0</v>
      </c>
      <c r="J182" s="134">
        <v>0</v>
      </c>
      <c r="K182" s="125"/>
      <c r="L182" s="74">
        <v>0.1101</v>
      </c>
      <c r="M182" s="75">
        <v>200727</v>
      </c>
      <c r="N182" s="76">
        <v>13</v>
      </c>
      <c r="O182" s="76">
        <v>0</v>
      </c>
      <c r="P182" s="83">
        <v>1823136</v>
      </c>
      <c r="Q182" s="76">
        <v>0</v>
      </c>
      <c r="R182" s="67" t="s">
        <v>1542</v>
      </c>
      <c r="S182" s="68">
        <v>890201235</v>
      </c>
      <c r="T182" s="77"/>
      <c r="U182" s="78"/>
      <c r="V182" s="81"/>
      <c r="W182" s="80">
        <v>0</v>
      </c>
    </row>
    <row r="183" spans="1:23" ht="15.6" x14ac:dyDescent="0.3">
      <c r="A183" s="67" t="s">
        <v>1045</v>
      </c>
      <c r="B183" s="69">
        <v>13347182</v>
      </c>
      <c r="C183" s="69" t="s">
        <v>1046</v>
      </c>
      <c r="D183" s="69">
        <v>0</v>
      </c>
      <c r="E183" s="70" t="s">
        <v>19</v>
      </c>
      <c r="F183" s="67" t="s">
        <v>1643</v>
      </c>
      <c r="G183" s="71">
        <v>39052</v>
      </c>
      <c r="H183" s="72"/>
      <c r="I183" s="133">
        <v>0</v>
      </c>
      <c r="J183" s="134">
        <v>0</v>
      </c>
      <c r="K183" s="125"/>
      <c r="L183" s="74">
        <v>7.6E-3</v>
      </c>
      <c r="M183" s="75">
        <v>15116</v>
      </c>
      <c r="N183" s="76">
        <v>1</v>
      </c>
      <c r="O183" s="76"/>
      <c r="P183" s="76"/>
      <c r="Q183" s="76"/>
      <c r="R183" s="67" t="s">
        <v>1564</v>
      </c>
      <c r="S183" s="68">
        <v>890501422</v>
      </c>
      <c r="T183" s="77"/>
      <c r="U183" s="78"/>
      <c r="V183" s="81"/>
      <c r="W183" s="80">
        <v>0</v>
      </c>
    </row>
    <row r="184" spans="1:23" ht="15.6" hidden="1" x14ac:dyDescent="0.3">
      <c r="A184" s="67" t="s">
        <v>1395</v>
      </c>
      <c r="B184" s="69">
        <v>2857421</v>
      </c>
      <c r="C184" s="69" t="s">
        <v>1396</v>
      </c>
      <c r="D184" s="69">
        <v>0</v>
      </c>
      <c r="E184" s="70" t="s">
        <v>472</v>
      </c>
      <c r="F184" s="67" t="s">
        <v>1645</v>
      </c>
      <c r="G184" s="71">
        <v>30682</v>
      </c>
      <c r="H184" s="119"/>
      <c r="I184" s="133">
        <v>0</v>
      </c>
      <c r="J184" s="134">
        <v>0</v>
      </c>
      <c r="K184" s="125"/>
      <c r="L184" s="74">
        <v>0.54790000000000005</v>
      </c>
      <c r="M184" s="75">
        <v>21110</v>
      </c>
      <c r="N184" s="76">
        <v>14</v>
      </c>
      <c r="O184" s="76"/>
      <c r="P184" s="76"/>
      <c r="Q184" s="76"/>
      <c r="R184" s="67" t="s">
        <v>1627</v>
      </c>
      <c r="S184" s="68">
        <v>899999082</v>
      </c>
      <c r="T184" s="77">
        <v>20032324</v>
      </c>
      <c r="U184" s="78" t="s">
        <v>1767</v>
      </c>
      <c r="V184" s="81"/>
      <c r="W184" s="80">
        <v>0</v>
      </c>
    </row>
    <row r="185" spans="1:23" ht="15.6" hidden="1" x14ac:dyDescent="0.3">
      <c r="A185" s="67" t="s">
        <v>1337</v>
      </c>
      <c r="B185" s="69">
        <v>2668605</v>
      </c>
      <c r="C185" s="69" t="s">
        <v>1338</v>
      </c>
      <c r="D185" s="69">
        <v>0</v>
      </c>
      <c r="E185" s="70" t="s">
        <v>19</v>
      </c>
      <c r="F185" s="67" t="s">
        <v>1645</v>
      </c>
      <c r="G185" s="71">
        <v>32709</v>
      </c>
      <c r="H185" s="119"/>
      <c r="I185" s="135">
        <v>0</v>
      </c>
      <c r="J185" s="134">
        <v>0</v>
      </c>
      <c r="K185" s="125"/>
      <c r="L185" s="74">
        <v>2.7099999999999999E-2</v>
      </c>
      <c r="M185" s="85"/>
      <c r="N185" s="76">
        <v>14</v>
      </c>
      <c r="O185" s="76"/>
      <c r="P185" s="76"/>
      <c r="Q185" s="76"/>
      <c r="R185" s="67" t="s">
        <v>1609</v>
      </c>
      <c r="S185" s="68">
        <v>891900268</v>
      </c>
      <c r="T185" s="77"/>
      <c r="U185" s="78"/>
      <c r="V185" s="81"/>
      <c r="W185" s="80">
        <v>0</v>
      </c>
    </row>
    <row r="186" spans="1:23" ht="15.6" hidden="1" x14ac:dyDescent="0.3">
      <c r="A186" s="67" t="s">
        <v>773</v>
      </c>
      <c r="B186" s="69">
        <v>19116751</v>
      </c>
      <c r="C186" s="69" t="s">
        <v>774</v>
      </c>
      <c r="D186" s="69">
        <v>0</v>
      </c>
      <c r="E186" s="70" t="s">
        <v>19</v>
      </c>
      <c r="F186" s="67" t="s">
        <v>1645</v>
      </c>
      <c r="G186" s="71">
        <v>39904</v>
      </c>
      <c r="H186" s="72">
        <v>40908</v>
      </c>
      <c r="I186" s="133">
        <v>0</v>
      </c>
      <c r="J186" s="134">
        <v>0</v>
      </c>
      <c r="K186" s="125"/>
      <c r="L186" s="74">
        <v>9.2100000000000001E-2</v>
      </c>
      <c r="M186" s="75">
        <v>923790</v>
      </c>
      <c r="N186" s="76">
        <v>13</v>
      </c>
      <c r="O186" s="76"/>
      <c r="P186" s="76"/>
      <c r="Q186" s="76"/>
      <c r="R186" s="67" t="s">
        <v>1528</v>
      </c>
      <c r="S186" s="68">
        <v>860041163</v>
      </c>
      <c r="T186" s="77"/>
      <c r="U186" s="78"/>
      <c r="V186" s="81"/>
      <c r="W186" s="80">
        <v>0</v>
      </c>
    </row>
    <row r="187" spans="1:23" ht="15.6" hidden="1" x14ac:dyDescent="0.3">
      <c r="A187" s="67" t="s">
        <v>706</v>
      </c>
      <c r="B187" s="69">
        <v>20041246</v>
      </c>
      <c r="C187" s="69" t="s">
        <v>707</v>
      </c>
      <c r="D187" s="69">
        <v>0</v>
      </c>
      <c r="E187" s="70" t="s">
        <v>472</v>
      </c>
      <c r="F187" s="67" t="s">
        <v>1645</v>
      </c>
      <c r="G187" s="71">
        <v>35065</v>
      </c>
      <c r="H187" s="72"/>
      <c r="I187" s="135">
        <v>0</v>
      </c>
      <c r="J187" s="134">
        <v>0</v>
      </c>
      <c r="K187" s="125"/>
      <c r="L187" s="74">
        <v>0.12920000000000001</v>
      </c>
      <c r="M187" s="75">
        <v>24996</v>
      </c>
      <c r="N187" s="76">
        <v>14</v>
      </c>
      <c r="O187" s="76"/>
      <c r="P187" s="76"/>
      <c r="Q187" s="76"/>
      <c r="R187" s="67" t="s">
        <v>1528</v>
      </c>
      <c r="S187" s="68">
        <v>860041163</v>
      </c>
      <c r="T187" s="77"/>
      <c r="U187" s="78"/>
      <c r="V187" s="81"/>
      <c r="W187" s="80">
        <v>0</v>
      </c>
    </row>
    <row r="188" spans="1:23" ht="15.6" hidden="1" x14ac:dyDescent="0.3">
      <c r="A188" s="67" t="s">
        <v>706</v>
      </c>
      <c r="B188" s="69">
        <v>20041246</v>
      </c>
      <c r="C188" s="69" t="s">
        <v>707</v>
      </c>
      <c r="D188" s="69">
        <v>0</v>
      </c>
      <c r="E188" s="70" t="s">
        <v>472</v>
      </c>
      <c r="F188" s="67" t="s">
        <v>1645</v>
      </c>
      <c r="G188" s="71">
        <v>35065</v>
      </c>
      <c r="H188" s="119"/>
      <c r="I188" s="133">
        <v>0</v>
      </c>
      <c r="J188" s="134">
        <v>0</v>
      </c>
      <c r="K188" s="125"/>
      <c r="L188" s="74">
        <v>0.12920000000000001</v>
      </c>
      <c r="M188" s="75">
        <v>45876</v>
      </c>
      <c r="N188" s="76">
        <v>14</v>
      </c>
      <c r="O188" s="76">
        <v>0</v>
      </c>
      <c r="P188" s="83">
        <v>173586</v>
      </c>
      <c r="Q188" s="83">
        <v>342337</v>
      </c>
      <c r="R188" s="67" t="s">
        <v>1628</v>
      </c>
      <c r="S188" s="68">
        <v>899999114</v>
      </c>
      <c r="T188" s="77"/>
      <c r="U188" s="78"/>
      <c r="V188" s="81"/>
      <c r="W188" s="80">
        <v>0</v>
      </c>
    </row>
    <row r="189" spans="1:23" ht="15.6" hidden="1" x14ac:dyDescent="0.3">
      <c r="A189" s="67" t="s">
        <v>696</v>
      </c>
      <c r="B189" s="69">
        <v>133315</v>
      </c>
      <c r="C189" s="69" t="s">
        <v>697</v>
      </c>
      <c r="D189" s="69">
        <v>0</v>
      </c>
      <c r="E189" s="70" t="s">
        <v>21</v>
      </c>
      <c r="F189" s="67" t="s">
        <v>1645</v>
      </c>
      <c r="G189" s="71">
        <v>33572</v>
      </c>
      <c r="H189" s="72">
        <v>45222</v>
      </c>
      <c r="I189" s="133">
        <v>0</v>
      </c>
      <c r="J189" s="134">
        <v>0</v>
      </c>
      <c r="K189" s="123" t="s">
        <v>1471</v>
      </c>
      <c r="L189" s="74">
        <v>0.3301</v>
      </c>
      <c r="M189" s="75">
        <v>51915</v>
      </c>
      <c r="N189" s="76">
        <v>14</v>
      </c>
      <c r="O189" s="76"/>
      <c r="P189" s="76"/>
      <c r="Q189" s="76"/>
      <c r="R189" s="67" t="s">
        <v>1528</v>
      </c>
      <c r="S189" s="68">
        <v>860041163</v>
      </c>
      <c r="T189" s="77">
        <v>20239370</v>
      </c>
      <c r="U189" s="78" t="s">
        <v>1683</v>
      </c>
      <c r="V189" s="81"/>
      <c r="W189" s="80">
        <v>0</v>
      </c>
    </row>
    <row r="190" spans="1:23" ht="15.6" hidden="1" x14ac:dyDescent="0.3">
      <c r="A190" s="67" t="s">
        <v>799</v>
      </c>
      <c r="B190" s="69">
        <v>807103</v>
      </c>
      <c r="C190" s="69" t="s">
        <v>22</v>
      </c>
      <c r="D190" s="69">
        <v>0</v>
      </c>
      <c r="E190" s="70" t="s">
        <v>21</v>
      </c>
      <c r="F190" s="67" t="s">
        <v>1645</v>
      </c>
      <c r="G190" s="71">
        <v>27516</v>
      </c>
      <c r="H190" s="72"/>
      <c r="I190" s="135">
        <v>0</v>
      </c>
      <c r="J190" s="134">
        <v>0</v>
      </c>
      <c r="K190" s="125"/>
      <c r="L190" s="74">
        <v>0.3372</v>
      </c>
      <c r="M190" s="75">
        <v>1366</v>
      </c>
      <c r="N190" s="76">
        <v>14</v>
      </c>
      <c r="O190" s="76"/>
      <c r="P190" s="76"/>
      <c r="Q190" s="76"/>
      <c r="R190" s="67" t="s">
        <v>46</v>
      </c>
      <c r="S190" s="68">
        <v>890102006</v>
      </c>
      <c r="T190" s="77">
        <v>22273740</v>
      </c>
      <c r="U190" s="78" t="s">
        <v>1691</v>
      </c>
      <c r="V190" s="81"/>
      <c r="W190" s="80">
        <v>0</v>
      </c>
    </row>
    <row r="191" spans="1:23" ht="15.6" hidden="1" x14ac:dyDescent="0.3">
      <c r="A191" s="67" t="s">
        <v>799</v>
      </c>
      <c r="B191" s="69">
        <v>807103</v>
      </c>
      <c r="C191" s="69" t="s">
        <v>22</v>
      </c>
      <c r="D191" s="69">
        <v>0</v>
      </c>
      <c r="E191" s="70" t="s">
        <v>19</v>
      </c>
      <c r="F191" s="67" t="s">
        <v>1645</v>
      </c>
      <c r="G191" s="71">
        <v>27516</v>
      </c>
      <c r="H191" s="72"/>
      <c r="I191" s="133">
        <v>0</v>
      </c>
      <c r="J191" s="134">
        <v>0</v>
      </c>
      <c r="K191" s="125"/>
      <c r="L191" s="74">
        <v>0.3372</v>
      </c>
      <c r="M191" s="85"/>
      <c r="N191" s="76">
        <v>14</v>
      </c>
      <c r="O191" s="76"/>
      <c r="P191" s="76"/>
      <c r="Q191" s="76"/>
      <c r="R191" s="67" t="s">
        <v>47</v>
      </c>
      <c r="S191" s="68">
        <v>890102018</v>
      </c>
      <c r="T191" s="77">
        <v>22273740</v>
      </c>
      <c r="U191" s="78" t="s">
        <v>1691</v>
      </c>
      <c r="V191" s="81"/>
      <c r="W191" s="80">
        <v>0</v>
      </c>
    </row>
    <row r="192" spans="1:23" ht="15.6" hidden="1" x14ac:dyDescent="0.3">
      <c r="A192" s="67" t="s">
        <v>1041</v>
      </c>
      <c r="B192" s="69">
        <v>17061815</v>
      </c>
      <c r="C192" s="69" t="s">
        <v>1042</v>
      </c>
      <c r="D192" s="69">
        <v>0</v>
      </c>
      <c r="E192" s="70" t="s">
        <v>592</v>
      </c>
      <c r="F192" s="67" t="s">
        <v>1643</v>
      </c>
      <c r="G192" s="71">
        <v>35431</v>
      </c>
      <c r="H192" s="72"/>
      <c r="I192" s="133">
        <v>2769659.78</v>
      </c>
      <c r="J192" s="134">
        <v>417010.48</v>
      </c>
      <c r="K192" s="125"/>
      <c r="L192" s="74">
        <v>7.9699999999999993E-2</v>
      </c>
      <c r="M192" s="75">
        <v>66448</v>
      </c>
      <c r="N192" s="76">
        <v>14</v>
      </c>
      <c r="O192" s="76"/>
      <c r="P192" s="76"/>
      <c r="Q192" s="76"/>
      <c r="R192" s="67" t="s">
        <v>1562</v>
      </c>
      <c r="S192" s="68">
        <v>890500622</v>
      </c>
      <c r="T192" s="77"/>
      <c r="U192" s="78"/>
      <c r="V192" s="81"/>
      <c r="W192" s="80">
        <v>840704</v>
      </c>
    </row>
    <row r="193" spans="1:23" ht="15.6" hidden="1" x14ac:dyDescent="0.3">
      <c r="A193" s="67" t="s">
        <v>987</v>
      </c>
      <c r="B193" s="69">
        <v>2514674</v>
      </c>
      <c r="C193" s="69" t="s">
        <v>988</v>
      </c>
      <c r="D193" s="69">
        <v>0</v>
      </c>
      <c r="E193" s="70" t="s">
        <v>472</v>
      </c>
      <c r="F193" s="67" t="s">
        <v>1643</v>
      </c>
      <c r="G193" s="71">
        <v>36494</v>
      </c>
      <c r="H193" s="72">
        <v>44889</v>
      </c>
      <c r="I193" s="133">
        <v>20067459.489999998</v>
      </c>
      <c r="J193" s="134">
        <v>3021432.83</v>
      </c>
      <c r="K193" s="125"/>
      <c r="L193" s="74">
        <v>0.67179999999999995</v>
      </c>
      <c r="M193" s="75">
        <v>29795</v>
      </c>
      <c r="N193" s="76">
        <v>14</v>
      </c>
      <c r="O193" s="76"/>
      <c r="P193" s="76"/>
      <c r="Q193" s="76"/>
      <c r="R193" s="67" t="s">
        <v>1557</v>
      </c>
      <c r="S193" s="68">
        <v>890399030</v>
      </c>
      <c r="T193" s="77"/>
      <c r="U193" s="78"/>
      <c r="V193" s="81"/>
      <c r="W193" s="80">
        <v>722649</v>
      </c>
    </row>
    <row r="194" spans="1:23" ht="15.6" hidden="1" x14ac:dyDescent="0.3">
      <c r="A194" s="158" t="s">
        <v>644</v>
      </c>
      <c r="B194" s="69">
        <v>4316056</v>
      </c>
      <c r="C194" s="69" t="s">
        <v>645</v>
      </c>
      <c r="D194" s="69">
        <v>0</v>
      </c>
      <c r="E194" s="70" t="s">
        <v>19</v>
      </c>
      <c r="F194" s="67" t="s">
        <v>1643</v>
      </c>
      <c r="G194" s="71">
        <v>32629</v>
      </c>
      <c r="H194" s="72">
        <v>45222</v>
      </c>
      <c r="I194" s="133">
        <v>32262688.390000001</v>
      </c>
      <c r="J194" s="134">
        <v>4612219.0999999996</v>
      </c>
      <c r="K194" s="123" t="s">
        <v>1489</v>
      </c>
      <c r="L194" s="74">
        <v>0.28439999999999999</v>
      </c>
      <c r="M194" s="75">
        <v>2027</v>
      </c>
      <c r="N194" s="76">
        <v>14</v>
      </c>
      <c r="O194" s="76"/>
      <c r="P194" s="76"/>
      <c r="Q194" s="76"/>
      <c r="R194" s="67" t="s">
        <v>1516</v>
      </c>
      <c r="S194" s="68">
        <v>800118954</v>
      </c>
      <c r="T194" s="77"/>
      <c r="U194" s="78"/>
      <c r="V194" s="81"/>
      <c r="W194" s="80">
        <v>2742268</v>
      </c>
    </row>
    <row r="195" spans="1:23" ht="15.6" hidden="1" x14ac:dyDescent="0.3">
      <c r="A195" s="158" t="s">
        <v>672</v>
      </c>
      <c r="B195" s="69">
        <v>76662</v>
      </c>
      <c r="C195" s="69" t="s">
        <v>673</v>
      </c>
      <c r="D195" s="69">
        <v>0</v>
      </c>
      <c r="E195" s="70" t="s">
        <v>21</v>
      </c>
      <c r="F195" s="67" t="s">
        <v>1643</v>
      </c>
      <c r="G195" s="71">
        <v>28185</v>
      </c>
      <c r="H195" s="72">
        <v>45222</v>
      </c>
      <c r="I195" s="133">
        <v>69028510.75</v>
      </c>
      <c r="J195" s="134">
        <v>9868198.5700000003</v>
      </c>
      <c r="K195" s="123" t="s">
        <v>1471</v>
      </c>
      <c r="L195" s="74">
        <v>0.72609999999999997</v>
      </c>
      <c r="M195" s="75">
        <v>14552</v>
      </c>
      <c r="N195" s="76">
        <v>14</v>
      </c>
      <c r="O195" s="76"/>
      <c r="P195" s="76"/>
      <c r="Q195" s="76"/>
      <c r="R195" s="67" t="s">
        <v>1528</v>
      </c>
      <c r="S195" s="68">
        <v>860041163</v>
      </c>
      <c r="T195" s="77"/>
      <c r="U195" s="78"/>
      <c r="V195" s="81"/>
      <c r="W195" s="80">
        <v>2298111</v>
      </c>
    </row>
    <row r="196" spans="1:23" ht="15.6" hidden="1" x14ac:dyDescent="0.3">
      <c r="A196" s="158" t="s">
        <v>674</v>
      </c>
      <c r="B196" s="69">
        <v>48463</v>
      </c>
      <c r="C196" s="69" t="s">
        <v>675</v>
      </c>
      <c r="D196" s="69">
        <v>0</v>
      </c>
      <c r="E196" s="70" t="s">
        <v>21</v>
      </c>
      <c r="F196" s="67" t="s">
        <v>1643</v>
      </c>
      <c r="G196" s="71">
        <v>28682</v>
      </c>
      <c r="H196" s="72">
        <v>45222</v>
      </c>
      <c r="I196" s="133">
        <v>6527079.5199999996</v>
      </c>
      <c r="J196" s="134">
        <v>933100.19</v>
      </c>
      <c r="K196" s="123" t="s">
        <v>1483</v>
      </c>
      <c r="L196" s="74">
        <v>0.1135</v>
      </c>
      <c r="M196" s="75">
        <v>5680</v>
      </c>
      <c r="N196" s="76">
        <v>14</v>
      </c>
      <c r="O196" s="76"/>
      <c r="P196" s="76"/>
      <c r="Q196" s="76"/>
      <c r="R196" s="67" t="s">
        <v>1528</v>
      </c>
      <c r="S196" s="68">
        <v>860041163</v>
      </c>
      <c r="T196" s="77">
        <v>41353549</v>
      </c>
      <c r="U196" s="78" t="s">
        <v>1676</v>
      </c>
      <c r="V196" s="81"/>
      <c r="W196" s="80">
        <v>1390151</v>
      </c>
    </row>
    <row r="197" spans="1:23" ht="15.6" hidden="1" x14ac:dyDescent="0.3">
      <c r="A197" s="158" t="s">
        <v>1801</v>
      </c>
      <c r="B197" s="69">
        <v>28505549</v>
      </c>
      <c r="C197" s="69" t="s">
        <v>614</v>
      </c>
      <c r="D197" s="69">
        <v>0</v>
      </c>
      <c r="E197" s="70" t="s">
        <v>21</v>
      </c>
      <c r="F197" s="67" t="s">
        <v>1643</v>
      </c>
      <c r="G197" s="71">
        <v>28897</v>
      </c>
      <c r="H197" s="72">
        <v>45222</v>
      </c>
      <c r="I197" s="133">
        <v>34938077.350000001</v>
      </c>
      <c r="J197" s="134">
        <v>4994688.16</v>
      </c>
      <c r="K197" s="123" t="s">
        <v>1471</v>
      </c>
      <c r="L197" s="74">
        <v>0.35099999999999998</v>
      </c>
      <c r="M197" s="75">
        <v>2357</v>
      </c>
      <c r="N197" s="76">
        <v>14</v>
      </c>
      <c r="O197" s="76"/>
      <c r="P197" s="76"/>
      <c r="Q197" s="76"/>
      <c r="R197" s="67" t="s">
        <v>1528</v>
      </c>
      <c r="S197" s="68">
        <v>860041163</v>
      </c>
      <c r="T197" s="77">
        <v>1796134</v>
      </c>
      <c r="U197" s="78" t="s">
        <v>1671</v>
      </c>
      <c r="V197" s="81"/>
      <c r="W197" s="80">
        <v>2406195</v>
      </c>
    </row>
    <row r="198" spans="1:23" ht="15.6" hidden="1" x14ac:dyDescent="0.3">
      <c r="A198" s="158" t="s">
        <v>678</v>
      </c>
      <c r="B198" s="69">
        <v>24781</v>
      </c>
      <c r="C198" s="69" t="s">
        <v>679</v>
      </c>
      <c r="D198" s="69">
        <v>0</v>
      </c>
      <c r="E198" s="70" t="s">
        <v>472</v>
      </c>
      <c r="F198" s="67" t="s">
        <v>1643</v>
      </c>
      <c r="G198" s="71">
        <v>29646</v>
      </c>
      <c r="H198" s="72">
        <v>45222</v>
      </c>
      <c r="I198" s="133">
        <v>12377853.939999999</v>
      </c>
      <c r="J198" s="134">
        <v>1769516.96</v>
      </c>
      <c r="K198" s="123" t="s">
        <v>20</v>
      </c>
      <c r="L198" s="74">
        <v>0.17080000000000001</v>
      </c>
      <c r="M198" s="75">
        <v>11836</v>
      </c>
      <c r="N198" s="76">
        <v>14</v>
      </c>
      <c r="O198" s="76"/>
      <c r="P198" s="76"/>
      <c r="Q198" s="76"/>
      <c r="R198" s="67" t="s">
        <v>1528</v>
      </c>
      <c r="S198" s="68">
        <v>860041163</v>
      </c>
      <c r="T198" s="77">
        <v>37940477</v>
      </c>
      <c r="U198" s="78" t="s">
        <v>1678</v>
      </c>
      <c r="V198" s="81"/>
      <c r="W198" s="80">
        <v>1751848</v>
      </c>
    </row>
    <row r="199" spans="1:23" ht="15.6" hidden="1" x14ac:dyDescent="0.3">
      <c r="A199" s="158" t="s">
        <v>684</v>
      </c>
      <c r="B199" s="69">
        <v>144109</v>
      </c>
      <c r="C199" s="69" t="s">
        <v>685</v>
      </c>
      <c r="D199" s="69">
        <v>0</v>
      </c>
      <c r="E199" s="70" t="s">
        <v>19</v>
      </c>
      <c r="F199" s="67" t="s">
        <v>1643</v>
      </c>
      <c r="G199" s="71">
        <v>30162</v>
      </c>
      <c r="H199" s="72">
        <v>45222</v>
      </c>
      <c r="I199" s="133">
        <v>3795939.97</v>
      </c>
      <c r="J199" s="134">
        <v>542661.13</v>
      </c>
      <c r="K199" s="123" t="s">
        <v>1471</v>
      </c>
      <c r="L199" s="74">
        <v>6.3200000000000006E-2</v>
      </c>
      <c r="M199" s="75">
        <v>7467</v>
      </c>
      <c r="N199" s="76">
        <v>14</v>
      </c>
      <c r="O199" s="76"/>
      <c r="P199" s="76"/>
      <c r="Q199" s="76"/>
      <c r="R199" s="67" t="s">
        <v>1528</v>
      </c>
      <c r="S199" s="68">
        <v>860041163</v>
      </c>
      <c r="T199" s="77">
        <v>20128658</v>
      </c>
      <c r="U199" s="78" t="s">
        <v>1680</v>
      </c>
      <c r="V199" s="81"/>
      <c r="W199" s="80">
        <v>1451915</v>
      </c>
    </row>
    <row r="200" spans="1:23" ht="16.2" hidden="1" thickBot="1" x14ac:dyDescent="0.35">
      <c r="A200" s="158" t="s">
        <v>690</v>
      </c>
      <c r="B200" s="148">
        <v>96868</v>
      </c>
      <c r="C200" s="69" t="s">
        <v>691</v>
      </c>
      <c r="D200" s="69">
        <v>0</v>
      </c>
      <c r="E200" s="95" t="s">
        <v>21</v>
      </c>
      <c r="F200" s="67" t="s">
        <v>1643</v>
      </c>
      <c r="G200" s="71">
        <v>31048</v>
      </c>
      <c r="H200" s="72">
        <v>45222</v>
      </c>
      <c r="I200" s="133">
        <v>24476928.149999999</v>
      </c>
      <c r="J200" s="134">
        <v>3499180.04</v>
      </c>
      <c r="K200" s="124" t="s">
        <v>1471</v>
      </c>
      <c r="L200" s="74">
        <v>0.27379999999999999</v>
      </c>
      <c r="M200" s="96">
        <v>16384</v>
      </c>
      <c r="N200" s="76">
        <v>14</v>
      </c>
      <c r="O200" s="76"/>
      <c r="P200" s="76"/>
      <c r="Q200" s="76"/>
      <c r="R200" s="67" t="s">
        <v>1528</v>
      </c>
      <c r="S200" s="68">
        <v>860041163</v>
      </c>
      <c r="T200" s="77"/>
      <c r="U200" s="78"/>
      <c r="V200" s="97"/>
      <c r="W200" s="80">
        <v>2161038</v>
      </c>
    </row>
    <row r="201" spans="1:23" ht="16.2" hidden="1" thickBot="1" x14ac:dyDescent="0.35">
      <c r="A201" s="158" t="s">
        <v>692</v>
      </c>
      <c r="B201" s="69">
        <v>14471</v>
      </c>
      <c r="C201" s="69" t="s">
        <v>693</v>
      </c>
      <c r="D201" s="69">
        <v>0</v>
      </c>
      <c r="E201" s="70" t="s">
        <v>21</v>
      </c>
      <c r="F201" s="67" t="s">
        <v>1643</v>
      </c>
      <c r="G201" s="71">
        <v>32509</v>
      </c>
      <c r="H201" s="86">
        <v>45222</v>
      </c>
      <c r="I201" s="133">
        <v>22792625.82</v>
      </c>
      <c r="J201" s="134">
        <v>3258395.05</v>
      </c>
      <c r="K201" s="124" t="s">
        <v>1483</v>
      </c>
      <c r="L201" s="74">
        <v>0.16789999999999999</v>
      </c>
      <c r="M201" s="75">
        <v>27860</v>
      </c>
      <c r="N201" s="76">
        <v>14</v>
      </c>
      <c r="O201" s="76"/>
      <c r="P201" s="76"/>
      <c r="Q201" s="76"/>
      <c r="R201" s="67" t="s">
        <v>1528</v>
      </c>
      <c r="S201" s="68">
        <v>860041163</v>
      </c>
      <c r="T201" s="77">
        <v>20004007</v>
      </c>
      <c r="U201" s="78" t="s">
        <v>1682</v>
      </c>
      <c r="V201" s="81"/>
      <c r="W201" s="80">
        <v>3281577</v>
      </c>
    </row>
    <row r="202" spans="1:23" ht="16.2" hidden="1" thickBot="1" x14ac:dyDescent="0.35">
      <c r="A202" s="158" t="s">
        <v>694</v>
      </c>
      <c r="B202" s="69">
        <v>20178678</v>
      </c>
      <c r="C202" s="69" t="s">
        <v>695</v>
      </c>
      <c r="D202" s="69">
        <v>0</v>
      </c>
      <c r="E202" s="70" t="s">
        <v>21</v>
      </c>
      <c r="F202" s="67" t="s">
        <v>1643</v>
      </c>
      <c r="G202" s="71">
        <v>33208</v>
      </c>
      <c r="H202" s="87">
        <v>45222</v>
      </c>
      <c r="I202" s="133">
        <v>19560886.09</v>
      </c>
      <c r="J202" s="134">
        <v>2796391.03</v>
      </c>
      <c r="K202" s="124" t="s">
        <v>1471</v>
      </c>
      <c r="L202" s="74">
        <v>0.32700000000000001</v>
      </c>
      <c r="M202" s="75">
        <v>39436</v>
      </c>
      <c r="N202" s="76">
        <v>14</v>
      </c>
      <c r="O202" s="76"/>
      <c r="P202" s="76"/>
      <c r="Q202" s="76"/>
      <c r="R202" s="67" t="s">
        <v>1528</v>
      </c>
      <c r="S202" s="68">
        <v>860041163</v>
      </c>
      <c r="T202" s="77"/>
      <c r="U202" s="78"/>
      <c r="V202" s="81"/>
      <c r="W202" s="80">
        <v>1446038</v>
      </c>
    </row>
    <row r="203" spans="1:23" ht="16.2" hidden="1" thickBot="1" x14ac:dyDescent="0.35">
      <c r="A203" s="158" t="s">
        <v>698</v>
      </c>
      <c r="B203" s="69">
        <v>2912607</v>
      </c>
      <c r="C203" s="69" t="s">
        <v>699</v>
      </c>
      <c r="D203" s="69">
        <v>0</v>
      </c>
      <c r="E203" s="70" t="s">
        <v>21</v>
      </c>
      <c r="F203" s="67" t="s">
        <v>1643</v>
      </c>
      <c r="G203" s="71">
        <v>33756</v>
      </c>
      <c r="H203" s="86"/>
      <c r="I203" s="133">
        <v>17339628.609999999</v>
      </c>
      <c r="J203" s="134">
        <v>2478843.84</v>
      </c>
      <c r="K203" s="124" t="s">
        <v>1483</v>
      </c>
      <c r="L203" s="74">
        <v>0.37740000000000001</v>
      </c>
      <c r="M203" s="75">
        <v>79556</v>
      </c>
      <c r="N203" s="76">
        <v>14</v>
      </c>
      <c r="O203" s="76"/>
      <c r="P203" s="76"/>
      <c r="Q203" s="76"/>
      <c r="R203" s="67" t="s">
        <v>1528</v>
      </c>
      <c r="S203" s="68">
        <v>860041163</v>
      </c>
      <c r="T203" s="77"/>
      <c r="U203" s="78"/>
      <c r="V203" s="82"/>
      <c r="W203" s="80">
        <v>1110649</v>
      </c>
    </row>
    <row r="204" spans="1:23" ht="16.2" hidden="1" thickBot="1" x14ac:dyDescent="0.35">
      <c r="A204" s="158" t="s">
        <v>700</v>
      </c>
      <c r="B204" s="69">
        <v>26938972</v>
      </c>
      <c r="C204" s="69" t="s">
        <v>701</v>
      </c>
      <c r="D204" s="69">
        <v>0</v>
      </c>
      <c r="E204" s="70" t="s">
        <v>472</v>
      </c>
      <c r="F204" s="67" t="s">
        <v>1643</v>
      </c>
      <c r="G204" s="71">
        <v>34703</v>
      </c>
      <c r="H204" s="72"/>
      <c r="I204" s="133">
        <v>5326545.1399999997</v>
      </c>
      <c r="J204" s="134">
        <v>761473.84</v>
      </c>
      <c r="K204" s="124" t="s">
        <v>1473</v>
      </c>
      <c r="L204" s="74">
        <v>0.121</v>
      </c>
      <c r="M204" s="75">
        <v>48789</v>
      </c>
      <c r="N204" s="76">
        <v>14</v>
      </c>
      <c r="O204" s="76"/>
      <c r="P204" s="76"/>
      <c r="Q204" s="76"/>
      <c r="R204" s="67" t="s">
        <v>1528</v>
      </c>
      <c r="S204" s="68">
        <v>860041163</v>
      </c>
      <c r="T204" s="77"/>
      <c r="U204" s="78"/>
      <c r="V204" s="98"/>
      <c r="W204" s="80">
        <v>1064141</v>
      </c>
    </row>
    <row r="205" spans="1:23" ht="16.2" hidden="1" thickBot="1" x14ac:dyDescent="0.35">
      <c r="A205" s="158" t="s">
        <v>702</v>
      </c>
      <c r="B205" s="69">
        <v>41320262</v>
      </c>
      <c r="C205" s="69" t="s">
        <v>703</v>
      </c>
      <c r="D205" s="69">
        <v>0</v>
      </c>
      <c r="E205" s="70" t="s">
        <v>21</v>
      </c>
      <c r="F205" s="67" t="s">
        <v>1643</v>
      </c>
      <c r="G205" s="71">
        <v>34700</v>
      </c>
      <c r="H205" s="72"/>
      <c r="I205" s="133">
        <v>8258167.3799999999</v>
      </c>
      <c r="J205" s="134">
        <v>1180573.57</v>
      </c>
      <c r="K205" s="124" t="s">
        <v>1483</v>
      </c>
      <c r="L205" s="74">
        <v>0.27289999999999998</v>
      </c>
      <c r="M205" s="75">
        <v>63837</v>
      </c>
      <c r="N205" s="76">
        <v>14</v>
      </c>
      <c r="O205" s="76"/>
      <c r="P205" s="76"/>
      <c r="Q205" s="76"/>
      <c r="R205" s="67" t="s">
        <v>1528</v>
      </c>
      <c r="S205" s="68">
        <v>860041163</v>
      </c>
      <c r="T205" s="77"/>
      <c r="U205" s="78"/>
      <c r="V205" s="98"/>
      <c r="W205" s="80">
        <v>731508</v>
      </c>
    </row>
    <row r="206" spans="1:23" ht="15.6" hidden="1" x14ac:dyDescent="0.3">
      <c r="A206" s="158" t="s">
        <v>704</v>
      </c>
      <c r="B206" s="69">
        <v>313427</v>
      </c>
      <c r="C206" s="69" t="s">
        <v>705</v>
      </c>
      <c r="D206" s="69">
        <v>0</v>
      </c>
      <c r="E206" s="70" t="s">
        <v>21</v>
      </c>
      <c r="F206" s="67" t="s">
        <v>1643</v>
      </c>
      <c r="G206" s="71">
        <v>34788</v>
      </c>
      <c r="H206" s="72"/>
      <c r="I206" s="133">
        <v>7539883.1900000004</v>
      </c>
      <c r="J206" s="134">
        <v>1077888.8899999999</v>
      </c>
      <c r="K206" s="123" t="s">
        <v>1471</v>
      </c>
      <c r="L206" s="74">
        <v>0.38740000000000002</v>
      </c>
      <c r="M206" s="75">
        <v>149402</v>
      </c>
      <c r="N206" s="76">
        <v>14</v>
      </c>
      <c r="O206" s="76"/>
      <c r="P206" s="76"/>
      <c r="Q206" s="76"/>
      <c r="R206" s="67" t="s">
        <v>1528</v>
      </c>
      <c r="S206" s="68">
        <v>860041163</v>
      </c>
      <c r="T206" s="77"/>
      <c r="U206" s="78"/>
      <c r="V206" s="82"/>
      <c r="W206" s="80">
        <v>470483</v>
      </c>
    </row>
    <row r="207" spans="1:23" ht="15.6" hidden="1" x14ac:dyDescent="0.3">
      <c r="A207" s="158" t="s">
        <v>627</v>
      </c>
      <c r="B207" s="69">
        <v>8236201</v>
      </c>
      <c r="C207" s="69" t="s">
        <v>628</v>
      </c>
      <c r="D207" s="69">
        <v>0</v>
      </c>
      <c r="E207" s="70" t="s">
        <v>592</v>
      </c>
      <c r="F207" s="67" t="s">
        <v>1643</v>
      </c>
      <c r="G207" s="71">
        <v>35431</v>
      </c>
      <c r="H207" s="72"/>
      <c r="I207" s="133">
        <v>4024883.15</v>
      </c>
      <c r="J207" s="134">
        <v>575390.44999999995</v>
      </c>
      <c r="K207" s="125"/>
      <c r="L207" s="74">
        <v>7.1599999999999997E-2</v>
      </c>
      <c r="M207" s="75">
        <v>94006</v>
      </c>
      <c r="N207" s="76">
        <v>14</v>
      </c>
      <c r="O207" s="76"/>
      <c r="P207" s="76"/>
      <c r="Q207" s="76"/>
      <c r="R207" s="67" t="s">
        <v>1528</v>
      </c>
      <c r="S207" s="68">
        <v>860041163</v>
      </c>
      <c r="T207" s="77"/>
      <c r="U207" s="78"/>
      <c r="V207" s="81"/>
      <c r="W207" s="80">
        <v>1358874</v>
      </c>
    </row>
    <row r="208" spans="1:23" ht="15.6" hidden="1" x14ac:dyDescent="0.3">
      <c r="A208" s="158" t="s">
        <v>1821</v>
      </c>
      <c r="B208" s="146">
        <v>41383803</v>
      </c>
      <c r="C208" s="69" t="s">
        <v>711</v>
      </c>
      <c r="D208" s="69">
        <v>0</v>
      </c>
      <c r="E208" s="70" t="s">
        <v>472</v>
      </c>
      <c r="F208" s="67" t="s">
        <v>1643</v>
      </c>
      <c r="G208" s="71">
        <v>35431</v>
      </c>
      <c r="H208" s="72"/>
      <c r="I208" s="133">
        <v>21631671.449999999</v>
      </c>
      <c r="J208" s="134">
        <v>3092426.98</v>
      </c>
      <c r="K208" s="125"/>
      <c r="L208" s="74">
        <v>0.34789999999999999</v>
      </c>
      <c r="M208" s="75">
        <v>268467</v>
      </c>
      <c r="N208" s="76">
        <v>14</v>
      </c>
      <c r="O208" s="76"/>
      <c r="P208" s="76"/>
      <c r="Q208" s="76"/>
      <c r="R208" s="67" t="s">
        <v>1528</v>
      </c>
      <c r="S208" s="68">
        <v>860041163</v>
      </c>
      <c r="T208" s="77"/>
      <c r="U208" s="78"/>
      <c r="V208" s="81"/>
      <c r="W208" s="80">
        <v>1503054</v>
      </c>
    </row>
    <row r="209" spans="1:23" ht="15.6" hidden="1" x14ac:dyDescent="0.3">
      <c r="A209" s="158" t="s">
        <v>712</v>
      </c>
      <c r="B209" s="69">
        <v>41392598</v>
      </c>
      <c r="C209" s="69" t="s">
        <v>713</v>
      </c>
      <c r="D209" s="69">
        <v>0</v>
      </c>
      <c r="E209" s="70" t="s">
        <v>21</v>
      </c>
      <c r="F209" s="67" t="s">
        <v>1643</v>
      </c>
      <c r="G209" s="71">
        <v>35431</v>
      </c>
      <c r="H209" s="72"/>
      <c r="I209" s="133">
        <v>632102.29</v>
      </c>
      <c r="J209" s="134">
        <v>90364.27</v>
      </c>
      <c r="K209" s="125"/>
      <c r="L209" s="74">
        <v>3.0499999999999999E-2</v>
      </c>
      <c r="M209" s="75">
        <v>18504</v>
      </c>
      <c r="N209" s="76">
        <v>14</v>
      </c>
      <c r="O209" s="76"/>
      <c r="P209" s="76"/>
      <c r="Q209" s="76"/>
      <c r="R209" s="67" t="s">
        <v>1528</v>
      </c>
      <c r="S209" s="68">
        <v>860041163</v>
      </c>
      <c r="T209" s="77"/>
      <c r="U209" s="78"/>
      <c r="V209" s="81"/>
      <c r="W209" s="80">
        <v>500987</v>
      </c>
    </row>
    <row r="210" spans="1:23" ht="15.6" hidden="1" x14ac:dyDescent="0.3">
      <c r="A210" s="158" t="s">
        <v>714</v>
      </c>
      <c r="B210" s="69">
        <v>41395057</v>
      </c>
      <c r="C210" s="69" t="s">
        <v>715</v>
      </c>
      <c r="D210" s="69">
        <v>0</v>
      </c>
      <c r="E210" s="70" t="s">
        <v>19</v>
      </c>
      <c r="F210" s="67" t="s">
        <v>1643</v>
      </c>
      <c r="G210" s="71">
        <v>35431</v>
      </c>
      <c r="H210" s="72"/>
      <c r="I210" s="133">
        <v>8786472.6699999999</v>
      </c>
      <c r="J210" s="134">
        <v>1256099.2</v>
      </c>
      <c r="K210" s="125"/>
      <c r="L210" s="74">
        <v>0.25490000000000002</v>
      </c>
      <c r="M210" s="75">
        <v>136298</v>
      </c>
      <c r="N210" s="76">
        <v>14</v>
      </c>
      <c r="O210" s="76"/>
      <c r="P210" s="76"/>
      <c r="Q210" s="76"/>
      <c r="R210" s="67" t="s">
        <v>1528</v>
      </c>
      <c r="S210" s="68">
        <v>860041163</v>
      </c>
      <c r="T210" s="77"/>
      <c r="U210" s="78"/>
      <c r="V210" s="82"/>
      <c r="W210" s="80">
        <v>833266</v>
      </c>
    </row>
    <row r="211" spans="1:23" ht="15.6" hidden="1" x14ac:dyDescent="0.3">
      <c r="A211" s="158" t="s">
        <v>716</v>
      </c>
      <c r="B211" s="69">
        <v>41314945</v>
      </c>
      <c r="C211" s="69" t="s">
        <v>717</v>
      </c>
      <c r="D211" s="69">
        <v>0</v>
      </c>
      <c r="E211" s="70" t="s">
        <v>472</v>
      </c>
      <c r="F211" s="67" t="s">
        <v>1643</v>
      </c>
      <c r="G211" s="71">
        <v>36586</v>
      </c>
      <c r="H211" s="72"/>
      <c r="I211" s="133">
        <v>9288515.5600000005</v>
      </c>
      <c r="J211" s="134">
        <v>1327870.3999999999</v>
      </c>
      <c r="K211" s="125"/>
      <c r="L211" s="74">
        <v>6.0900000000000003E-2</v>
      </c>
      <c r="M211" s="75">
        <v>797005</v>
      </c>
      <c r="N211" s="76">
        <v>14</v>
      </c>
      <c r="O211" s="76"/>
      <c r="P211" s="76"/>
      <c r="Q211" s="76"/>
      <c r="R211" s="67" t="s">
        <v>1528</v>
      </c>
      <c r="S211" s="68">
        <v>860041163</v>
      </c>
      <c r="T211" s="77"/>
      <c r="U211" s="78"/>
      <c r="V211" s="81"/>
      <c r="W211" s="80">
        <v>3686956</v>
      </c>
    </row>
    <row r="212" spans="1:23" ht="15.6" hidden="1" x14ac:dyDescent="0.3">
      <c r="A212" s="158" t="s">
        <v>1822</v>
      </c>
      <c r="B212" s="69">
        <v>17157686</v>
      </c>
      <c r="C212" s="69" t="s">
        <v>719</v>
      </c>
      <c r="D212" s="69">
        <v>0</v>
      </c>
      <c r="E212" s="70" t="s">
        <v>21</v>
      </c>
      <c r="F212" s="67" t="s">
        <v>1643</v>
      </c>
      <c r="G212" s="71">
        <v>37138</v>
      </c>
      <c r="H212" s="72"/>
      <c r="I212" s="133">
        <v>30930182.190000001</v>
      </c>
      <c r="J212" s="134">
        <v>4421726.28</v>
      </c>
      <c r="K212" s="125"/>
      <c r="L212" s="74">
        <v>0.26979999999999998</v>
      </c>
      <c r="M212" s="75">
        <v>681447</v>
      </c>
      <c r="N212" s="76">
        <v>14</v>
      </c>
      <c r="O212" s="76"/>
      <c r="P212" s="76"/>
      <c r="Q212" s="76"/>
      <c r="R212" s="67" t="s">
        <v>1528</v>
      </c>
      <c r="S212" s="68">
        <v>860041163</v>
      </c>
      <c r="T212" s="77"/>
      <c r="U212" s="78"/>
      <c r="V212" s="82"/>
      <c r="W212" s="80">
        <v>2771274</v>
      </c>
    </row>
    <row r="213" spans="1:23" ht="15.6" hidden="1" x14ac:dyDescent="0.3">
      <c r="A213" s="158" t="s">
        <v>720</v>
      </c>
      <c r="B213" s="69">
        <v>41433829</v>
      </c>
      <c r="C213" s="69" t="s">
        <v>721</v>
      </c>
      <c r="D213" s="69">
        <v>0</v>
      </c>
      <c r="E213" s="70" t="s">
        <v>722</v>
      </c>
      <c r="F213" s="67" t="s">
        <v>1643</v>
      </c>
      <c r="G213" s="71">
        <v>38427</v>
      </c>
      <c r="H213" s="72"/>
      <c r="I213" s="133">
        <v>1178311.1499999999</v>
      </c>
      <c r="J213" s="134">
        <v>168449.36</v>
      </c>
      <c r="K213" s="125"/>
      <c r="L213" s="74">
        <v>8.4900000000000003E-2</v>
      </c>
      <c r="M213" s="75">
        <v>159484</v>
      </c>
      <c r="N213" s="76">
        <v>14</v>
      </c>
      <c r="O213" s="76"/>
      <c r="P213" s="76"/>
      <c r="Q213" s="76"/>
      <c r="R213" s="67" t="s">
        <v>1528</v>
      </c>
      <c r="S213" s="68">
        <v>860041163</v>
      </c>
      <c r="T213" s="77"/>
      <c r="U213" s="78"/>
      <c r="V213" s="81"/>
      <c r="W213" s="80">
        <v>335499</v>
      </c>
    </row>
    <row r="214" spans="1:23" ht="15.6" hidden="1" x14ac:dyDescent="0.3">
      <c r="A214" s="158" t="s">
        <v>1823</v>
      </c>
      <c r="B214" s="69">
        <v>41521027</v>
      </c>
      <c r="C214" s="69" t="s">
        <v>724</v>
      </c>
      <c r="D214" s="69">
        <v>0</v>
      </c>
      <c r="E214" s="70" t="s">
        <v>19</v>
      </c>
      <c r="F214" s="67" t="s">
        <v>1643</v>
      </c>
      <c r="G214" s="71">
        <v>38502</v>
      </c>
      <c r="H214" s="72"/>
      <c r="I214" s="133">
        <v>411394.95</v>
      </c>
      <c r="J214" s="134">
        <v>58812.32</v>
      </c>
      <c r="K214" s="125"/>
      <c r="L214" s="74">
        <v>5.0900000000000001E-2</v>
      </c>
      <c r="M214" s="75">
        <v>75498</v>
      </c>
      <c r="N214" s="76">
        <v>14</v>
      </c>
      <c r="O214" s="76"/>
      <c r="P214" s="76"/>
      <c r="Q214" s="76"/>
      <c r="R214" s="67" t="s">
        <v>1528</v>
      </c>
      <c r="S214" s="68">
        <v>860041163</v>
      </c>
      <c r="T214" s="77"/>
      <c r="U214" s="78"/>
      <c r="V214" s="81"/>
      <c r="W214" s="80">
        <v>195380</v>
      </c>
    </row>
    <row r="215" spans="1:23" ht="15.6" hidden="1" x14ac:dyDescent="0.3">
      <c r="A215" s="158" t="s">
        <v>1824</v>
      </c>
      <c r="B215" s="69">
        <v>3296533</v>
      </c>
      <c r="C215" s="69" t="s">
        <v>726</v>
      </c>
      <c r="D215" s="69">
        <v>0</v>
      </c>
      <c r="E215" s="70" t="s">
        <v>19</v>
      </c>
      <c r="F215" s="67" t="s">
        <v>1643</v>
      </c>
      <c r="G215" s="71">
        <v>38741</v>
      </c>
      <c r="H215" s="72"/>
      <c r="I215" s="133">
        <v>6665639.9100000001</v>
      </c>
      <c r="J215" s="134">
        <v>952908.55</v>
      </c>
      <c r="K215" s="125"/>
      <c r="L215" s="74">
        <v>0.1149</v>
      </c>
      <c r="M215" s="75">
        <v>379520</v>
      </c>
      <c r="N215" s="76">
        <v>14</v>
      </c>
      <c r="O215" s="76"/>
      <c r="P215" s="76"/>
      <c r="Q215" s="76"/>
      <c r="R215" s="67" t="s">
        <v>1528</v>
      </c>
      <c r="S215" s="68">
        <v>860041163</v>
      </c>
      <c r="T215" s="77"/>
      <c r="U215" s="78"/>
      <c r="V215" s="82"/>
      <c r="W215" s="80">
        <v>1402364</v>
      </c>
    </row>
    <row r="216" spans="1:23" ht="15.6" hidden="1" x14ac:dyDescent="0.3">
      <c r="A216" s="158" t="s">
        <v>727</v>
      </c>
      <c r="B216" s="69">
        <v>19056672</v>
      </c>
      <c r="C216" s="69" t="s">
        <v>728</v>
      </c>
      <c r="D216" s="69">
        <v>0</v>
      </c>
      <c r="E216" s="70" t="s">
        <v>19</v>
      </c>
      <c r="F216" s="67" t="s">
        <v>1643</v>
      </c>
      <c r="G216" s="71">
        <v>38838</v>
      </c>
      <c r="H216" s="72"/>
      <c r="I216" s="133">
        <v>25685405.699999999</v>
      </c>
      <c r="J216" s="134">
        <v>3671941.94</v>
      </c>
      <c r="K216" s="125"/>
      <c r="L216" s="74">
        <v>0.35599999999999998</v>
      </c>
      <c r="M216" s="75">
        <v>686668</v>
      </c>
      <c r="N216" s="76">
        <v>14</v>
      </c>
      <c r="O216" s="76"/>
      <c r="P216" s="76"/>
      <c r="Q216" s="76"/>
      <c r="R216" s="67" t="s">
        <v>1528</v>
      </c>
      <c r="S216" s="68">
        <v>860041163</v>
      </c>
      <c r="T216" s="77"/>
      <c r="U216" s="78"/>
      <c r="V216" s="81"/>
      <c r="W216" s="80">
        <v>1744116</v>
      </c>
    </row>
    <row r="217" spans="1:23" ht="15.6" hidden="1" x14ac:dyDescent="0.3">
      <c r="A217" s="158" t="s">
        <v>1825</v>
      </c>
      <c r="B217" s="69">
        <v>19077266</v>
      </c>
      <c r="C217" s="69" t="s">
        <v>730</v>
      </c>
      <c r="D217" s="69">
        <v>0</v>
      </c>
      <c r="E217" s="70" t="s">
        <v>722</v>
      </c>
      <c r="F217" s="67" t="s">
        <v>1643</v>
      </c>
      <c r="G217" s="71">
        <v>38846</v>
      </c>
      <c r="H217" s="72"/>
      <c r="I217" s="133">
        <v>83778362.010000005</v>
      </c>
      <c r="J217" s="134">
        <v>11976812.24</v>
      </c>
      <c r="K217" s="125"/>
      <c r="L217" s="74">
        <v>0.4592</v>
      </c>
      <c r="M217" s="75">
        <v>820569</v>
      </c>
      <c r="N217" s="76">
        <v>14</v>
      </c>
      <c r="O217" s="76"/>
      <c r="P217" s="76"/>
      <c r="Q217" s="76"/>
      <c r="R217" s="67" t="s">
        <v>1528</v>
      </c>
      <c r="S217" s="68">
        <v>860041163</v>
      </c>
      <c r="T217" s="77"/>
      <c r="U217" s="78"/>
      <c r="V217" s="81"/>
      <c r="W217" s="80">
        <v>4410308</v>
      </c>
    </row>
    <row r="218" spans="1:23" ht="15.6" hidden="1" x14ac:dyDescent="0.3">
      <c r="A218" s="158" t="s">
        <v>731</v>
      </c>
      <c r="B218" s="69">
        <v>6747796</v>
      </c>
      <c r="C218" s="69" t="s">
        <v>732</v>
      </c>
      <c r="D218" s="69">
        <v>0</v>
      </c>
      <c r="E218" s="70" t="s">
        <v>722</v>
      </c>
      <c r="F218" s="67" t="s">
        <v>1643</v>
      </c>
      <c r="G218" s="71">
        <v>38899</v>
      </c>
      <c r="H218" s="72"/>
      <c r="I218" s="133">
        <v>28028677.760000002</v>
      </c>
      <c r="J218" s="134">
        <v>4006932.13</v>
      </c>
      <c r="K218" s="125"/>
      <c r="L218" s="74">
        <v>0.3931</v>
      </c>
      <c r="M218" s="75">
        <v>714168</v>
      </c>
      <c r="N218" s="76">
        <v>14</v>
      </c>
      <c r="O218" s="76"/>
      <c r="P218" s="76"/>
      <c r="Q218" s="76"/>
      <c r="R218" s="67" t="s">
        <v>1528</v>
      </c>
      <c r="S218" s="68">
        <v>860041163</v>
      </c>
      <c r="T218" s="77"/>
      <c r="U218" s="78"/>
      <c r="V218" s="81"/>
      <c r="W218" s="80">
        <v>1723608</v>
      </c>
    </row>
    <row r="219" spans="1:23" ht="15.6" hidden="1" x14ac:dyDescent="0.3">
      <c r="A219" s="158" t="s">
        <v>733</v>
      </c>
      <c r="B219" s="69">
        <v>17185776</v>
      </c>
      <c r="C219" s="69" t="s">
        <v>734</v>
      </c>
      <c r="D219" s="69">
        <v>0</v>
      </c>
      <c r="E219" s="70" t="s">
        <v>19</v>
      </c>
      <c r="F219" s="67" t="s">
        <v>1643</v>
      </c>
      <c r="G219" s="71">
        <v>38899</v>
      </c>
      <c r="H219" s="72">
        <v>45211</v>
      </c>
      <c r="I219" s="133">
        <v>13332568.210000001</v>
      </c>
      <c r="J219" s="134">
        <v>1906001.29</v>
      </c>
      <c r="K219" s="125"/>
      <c r="L219" s="74">
        <v>0.25340000000000001</v>
      </c>
      <c r="M219" s="75">
        <v>525070</v>
      </c>
      <c r="N219" s="76">
        <v>14</v>
      </c>
      <c r="O219" s="76"/>
      <c r="P219" s="76"/>
      <c r="Q219" s="76"/>
      <c r="R219" s="67" t="s">
        <v>1528</v>
      </c>
      <c r="S219" s="68">
        <v>860041163</v>
      </c>
      <c r="T219" s="77"/>
      <c r="U219" s="78"/>
      <c r="V219" s="81"/>
      <c r="W219" s="80">
        <v>1271880</v>
      </c>
    </row>
    <row r="220" spans="1:23" ht="15.6" hidden="1" x14ac:dyDescent="0.3">
      <c r="A220" s="158" t="s">
        <v>735</v>
      </c>
      <c r="B220" s="69">
        <v>41496199</v>
      </c>
      <c r="C220" s="69" t="s">
        <v>736</v>
      </c>
      <c r="D220" s="69">
        <v>0</v>
      </c>
      <c r="E220" s="70" t="s">
        <v>722</v>
      </c>
      <c r="F220" s="67" t="s">
        <v>1643</v>
      </c>
      <c r="G220" s="71">
        <v>38899</v>
      </c>
      <c r="H220" s="72">
        <v>45211</v>
      </c>
      <c r="I220" s="133">
        <v>398301.93</v>
      </c>
      <c r="J220" s="134">
        <v>56940.57</v>
      </c>
      <c r="K220" s="125"/>
      <c r="L220" s="74">
        <v>2.8400000000000002E-2</v>
      </c>
      <c r="M220" s="75">
        <v>51041</v>
      </c>
      <c r="N220" s="76">
        <v>14</v>
      </c>
      <c r="O220" s="76"/>
      <c r="P220" s="76"/>
      <c r="Q220" s="76"/>
      <c r="R220" s="67" t="s">
        <v>1528</v>
      </c>
      <c r="S220" s="68">
        <v>860041163</v>
      </c>
      <c r="T220" s="77"/>
      <c r="U220" s="78"/>
      <c r="V220" s="81"/>
      <c r="W220" s="80">
        <v>339026</v>
      </c>
    </row>
    <row r="221" spans="1:23" ht="15.6" hidden="1" x14ac:dyDescent="0.3">
      <c r="A221" s="158" t="s">
        <v>737</v>
      </c>
      <c r="B221" s="69">
        <v>11785192</v>
      </c>
      <c r="C221" s="69" t="s">
        <v>738</v>
      </c>
      <c r="D221" s="69">
        <v>0</v>
      </c>
      <c r="E221" s="70" t="s">
        <v>19</v>
      </c>
      <c r="F221" s="67" t="s">
        <v>1643</v>
      </c>
      <c r="G221" s="71">
        <v>38899</v>
      </c>
      <c r="H221" s="72">
        <v>44421</v>
      </c>
      <c r="I221" s="133">
        <v>10120270.289999999</v>
      </c>
      <c r="J221" s="134">
        <v>1446776.64</v>
      </c>
      <c r="K221" s="125"/>
      <c r="L221" s="74">
        <v>0.35020000000000001</v>
      </c>
      <c r="M221" s="75">
        <v>755235</v>
      </c>
      <c r="N221" s="76">
        <v>14</v>
      </c>
      <c r="O221" s="76"/>
      <c r="P221" s="76"/>
      <c r="Q221" s="76"/>
      <c r="R221" s="67" t="s">
        <v>1528</v>
      </c>
      <c r="S221" s="68">
        <v>860041163</v>
      </c>
      <c r="T221" s="77"/>
      <c r="U221" s="78"/>
      <c r="V221" s="81"/>
      <c r="W221" s="80">
        <v>698578</v>
      </c>
    </row>
    <row r="222" spans="1:23" ht="15.6" hidden="1" x14ac:dyDescent="0.3">
      <c r="A222" s="158" t="s">
        <v>1826</v>
      </c>
      <c r="B222" s="69">
        <v>19141125</v>
      </c>
      <c r="C222" s="69" t="s">
        <v>742</v>
      </c>
      <c r="D222" s="69">
        <v>0</v>
      </c>
      <c r="E222" s="70" t="s">
        <v>19</v>
      </c>
      <c r="F222" s="67" t="s">
        <v>1643</v>
      </c>
      <c r="G222" s="71">
        <v>41061</v>
      </c>
      <c r="H222" s="72">
        <v>44421</v>
      </c>
      <c r="I222" s="133">
        <v>9242553.0199999996</v>
      </c>
      <c r="J222" s="134">
        <v>1321299.67</v>
      </c>
      <c r="K222" s="125"/>
      <c r="L222" s="74">
        <v>0.23760000000000001</v>
      </c>
      <c r="M222" s="75">
        <v>489878</v>
      </c>
      <c r="N222" s="76">
        <v>13</v>
      </c>
      <c r="O222" s="76"/>
      <c r="P222" s="76"/>
      <c r="Q222" s="76"/>
      <c r="R222" s="67" t="s">
        <v>1528</v>
      </c>
      <c r="S222" s="68">
        <v>860041163</v>
      </c>
      <c r="T222" s="77"/>
      <c r="U222" s="78"/>
      <c r="V222" s="81"/>
      <c r="W222" s="80">
        <v>940339</v>
      </c>
    </row>
    <row r="223" spans="1:23" ht="15.6" hidden="1" x14ac:dyDescent="0.3">
      <c r="A223" s="158" t="s">
        <v>1809</v>
      </c>
      <c r="B223" s="69">
        <v>17174648</v>
      </c>
      <c r="C223" s="69" t="s">
        <v>746</v>
      </c>
      <c r="D223" s="69">
        <v>0</v>
      </c>
      <c r="E223" s="70" t="s">
        <v>722</v>
      </c>
      <c r="F223" s="67" t="s">
        <v>1643</v>
      </c>
      <c r="G223" s="71">
        <v>39052</v>
      </c>
      <c r="H223" s="72">
        <v>40908</v>
      </c>
      <c r="I223" s="133">
        <v>1090062.28</v>
      </c>
      <c r="J223" s="134">
        <v>155833.45000000001</v>
      </c>
      <c r="K223" s="125"/>
      <c r="L223" s="74">
        <v>2.4E-2</v>
      </c>
      <c r="M223" s="75">
        <v>403514</v>
      </c>
      <c r="N223" s="76">
        <v>14</v>
      </c>
      <c r="O223" s="76"/>
      <c r="P223" s="76"/>
      <c r="Q223" s="76"/>
      <c r="R223" s="67" t="s">
        <v>1528</v>
      </c>
      <c r="S223" s="68">
        <v>860041163</v>
      </c>
      <c r="T223" s="77"/>
      <c r="U223" s="78"/>
      <c r="V223" s="81"/>
      <c r="W223" s="80">
        <v>1097941</v>
      </c>
    </row>
    <row r="224" spans="1:23" ht="15.6" hidden="1" x14ac:dyDescent="0.3">
      <c r="A224" s="158" t="s">
        <v>749</v>
      </c>
      <c r="B224" s="69">
        <v>37810875</v>
      </c>
      <c r="C224" s="69" t="s">
        <v>750</v>
      </c>
      <c r="D224" s="69">
        <v>0</v>
      </c>
      <c r="E224" s="70" t="s">
        <v>751</v>
      </c>
      <c r="F224" s="67" t="s">
        <v>1643</v>
      </c>
      <c r="G224" s="71">
        <v>39051</v>
      </c>
      <c r="H224" s="72">
        <v>40908</v>
      </c>
      <c r="I224" s="133">
        <v>3940482.92</v>
      </c>
      <c r="J224" s="134">
        <v>563324.74</v>
      </c>
      <c r="K224" s="125"/>
      <c r="L224" s="74">
        <v>5.57E-2</v>
      </c>
      <c r="M224" s="75">
        <v>414341</v>
      </c>
      <c r="N224" s="76">
        <v>13</v>
      </c>
      <c r="O224" s="76"/>
      <c r="P224" s="76"/>
      <c r="Q224" s="76"/>
      <c r="R224" s="67" t="s">
        <v>1528</v>
      </c>
      <c r="S224" s="68">
        <v>860041163</v>
      </c>
      <c r="T224" s="77"/>
      <c r="U224" s="78"/>
      <c r="V224" s="81"/>
      <c r="W224" s="80">
        <v>1710146</v>
      </c>
    </row>
    <row r="225" spans="1:23" ht="15.6" hidden="1" x14ac:dyDescent="0.3">
      <c r="A225" s="158" t="s">
        <v>1827</v>
      </c>
      <c r="B225" s="69">
        <v>19116731</v>
      </c>
      <c r="C225" s="69" t="s">
        <v>753</v>
      </c>
      <c r="D225" s="69">
        <v>0</v>
      </c>
      <c r="E225" s="70" t="s">
        <v>592</v>
      </c>
      <c r="F225" s="67" t="s">
        <v>1643</v>
      </c>
      <c r="G225" s="71">
        <v>39114</v>
      </c>
      <c r="H225" s="72">
        <v>40908</v>
      </c>
      <c r="I225" s="133">
        <v>2971108.09</v>
      </c>
      <c r="J225" s="134">
        <v>424744.56</v>
      </c>
      <c r="K225" s="125"/>
      <c r="L225" s="74">
        <v>6.7699999999999996E-2</v>
      </c>
      <c r="M225" s="75">
        <v>109487</v>
      </c>
      <c r="N225" s="76">
        <v>14</v>
      </c>
      <c r="O225" s="76"/>
      <c r="P225" s="76"/>
      <c r="Q225" s="76"/>
      <c r="R225" s="67" t="s">
        <v>1528</v>
      </c>
      <c r="S225" s="68">
        <v>860041163</v>
      </c>
      <c r="T225" s="77"/>
      <c r="U225" s="78"/>
      <c r="V225" s="81"/>
      <c r="W225" s="80">
        <v>1060886</v>
      </c>
    </row>
    <row r="226" spans="1:23" ht="15.6" hidden="1" x14ac:dyDescent="0.3">
      <c r="A226" s="158" t="s">
        <v>1828</v>
      </c>
      <c r="B226" s="69">
        <v>41529792</v>
      </c>
      <c r="C226" s="69" t="s">
        <v>755</v>
      </c>
      <c r="D226" s="69">
        <v>0</v>
      </c>
      <c r="E226" s="70" t="s">
        <v>722</v>
      </c>
      <c r="F226" s="67" t="s">
        <v>1643</v>
      </c>
      <c r="G226" s="71">
        <v>39114</v>
      </c>
      <c r="H226" s="72">
        <v>40908</v>
      </c>
      <c r="I226" s="133">
        <v>38002978.009999998</v>
      </c>
      <c r="J226" s="134">
        <v>5432841.1399999997</v>
      </c>
      <c r="K226" s="125"/>
      <c r="L226" s="74">
        <v>0.43070000000000003</v>
      </c>
      <c r="M226" s="75">
        <v>820267</v>
      </c>
      <c r="N226" s="76">
        <v>14</v>
      </c>
      <c r="O226" s="76"/>
      <c r="P226" s="76"/>
      <c r="Q226" s="76"/>
      <c r="R226" s="67" t="s">
        <v>1528</v>
      </c>
      <c r="S226" s="68">
        <v>860041163</v>
      </c>
      <c r="T226" s="77"/>
      <c r="U226" s="78"/>
      <c r="V226" s="81"/>
      <c r="W226" s="80">
        <v>2132955</v>
      </c>
    </row>
    <row r="227" spans="1:23" ht="15.6" hidden="1" x14ac:dyDescent="0.3">
      <c r="A227" s="158" t="s">
        <v>756</v>
      </c>
      <c r="B227" s="69">
        <v>41458335</v>
      </c>
      <c r="C227" s="69" t="s">
        <v>757</v>
      </c>
      <c r="D227" s="69">
        <v>0</v>
      </c>
      <c r="E227" s="70" t="s">
        <v>758</v>
      </c>
      <c r="F227" s="67" t="s">
        <v>1643</v>
      </c>
      <c r="G227" s="71">
        <v>39129</v>
      </c>
      <c r="H227" s="72">
        <v>40908</v>
      </c>
      <c r="I227" s="133">
        <v>40684610.170000002</v>
      </c>
      <c r="J227" s="134">
        <v>5816202.7199999997</v>
      </c>
      <c r="K227" s="125"/>
      <c r="L227" s="74">
        <v>0.51349999999999996</v>
      </c>
      <c r="M227" s="75">
        <v>767483</v>
      </c>
      <c r="N227" s="76">
        <v>14</v>
      </c>
      <c r="O227" s="76"/>
      <c r="P227" s="76"/>
      <c r="Q227" s="76"/>
      <c r="R227" s="67" t="s">
        <v>1528</v>
      </c>
      <c r="S227" s="68">
        <v>860041163</v>
      </c>
      <c r="T227" s="77"/>
      <c r="U227" s="78"/>
      <c r="V227" s="81"/>
      <c r="W227" s="80">
        <v>1915264</v>
      </c>
    </row>
    <row r="228" spans="1:23" ht="15.6" hidden="1" x14ac:dyDescent="0.3">
      <c r="A228" s="158" t="s">
        <v>759</v>
      </c>
      <c r="B228" s="69">
        <v>19147220</v>
      </c>
      <c r="C228" s="69" t="s">
        <v>760</v>
      </c>
      <c r="D228" s="69">
        <v>0</v>
      </c>
      <c r="E228" s="70" t="s">
        <v>722</v>
      </c>
      <c r="F228" s="67" t="s">
        <v>1643</v>
      </c>
      <c r="G228" s="71">
        <v>39203</v>
      </c>
      <c r="H228" s="72">
        <v>40908</v>
      </c>
      <c r="I228" s="133">
        <v>8021888.1399999997</v>
      </c>
      <c r="J228" s="134">
        <v>1146795.49</v>
      </c>
      <c r="K228" s="125"/>
      <c r="L228" s="74">
        <v>0.17180000000000001</v>
      </c>
      <c r="M228" s="75">
        <v>338866</v>
      </c>
      <c r="N228" s="76">
        <v>13</v>
      </c>
      <c r="O228" s="76"/>
      <c r="P228" s="76"/>
      <c r="Q228" s="76"/>
      <c r="R228" s="67" t="s">
        <v>1528</v>
      </c>
      <c r="S228" s="68">
        <v>860041163</v>
      </c>
      <c r="T228" s="77"/>
      <c r="U228" s="78"/>
      <c r="V228" s="81"/>
      <c r="W228" s="80">
        <v>1128736</v>
      </c>
    </row>
    <row r="229" spans="1:23" ht="15.6" hidden="1" x14ac:dyDescent="0.3">
      <c r="A229" s="158" t="s">
        <v>761</v>
      </c>
      <c r="B229" s="69">
        <v>41528816</v>
      </c>
      <c r="C229" s="69" t="s">
        <v>762</v>
      </c>
      <c r="D229" s="69">
        <v>0</v>
      </c>
      <c r="E229" s="70" t="s">
        <v>19</v>
      </c>
      <c r="F229" s="67" t="s">
        <v>1643</v>
      </c>
      <c r="G229" s="71">
        <v>39264</v>
      </c>
      <c r="H229" s="72">
        <v>40908</v>
      </c>
      <c r="I229" s="133">
        <v>4737777.0599999996</v>
      </c>
      <c r="J229" s="134">
        <v>677304.55</v>
      </c>
      <c r="K229" s="125"/>
      <c r="L229" s="74">
        <v>0.1633</v>
      </c>
      <c r="M229" s="75">
        <v>296891</v>
      </c>
      <c r="N229" s="76">
        <v>14</v>
      </c>
      <c r="O229" s="76"/>
      <c r="P229" s="76"/>
      <c r="Q229" s="76"/>
      <c r="R229" s="67" t="s">
        <v>1528</v>
      </c>
      <c r="S229" s="68">
        <v>860041163</v>
      </c>
      <c r="T229" s="77">
        <v>19150420</v>
      </c>
      <c r="U229" s="78" t="s">
        <v>1685</v>
      </c>
      <c r="V229" s="81"/>
      <c r="W229" s="80">
        <v>701338</v>
      </c>
    </row>
    <row r="230" spans="1:23" ht="15.6" hidden="1" x14ac:dyDescent="0.3">
      <c r="A230" s="158" t="s">
        <v>1829</v>
      </c>
      <c r="B230" s="69">
        <v>19145116</v>
      </c>
      <c r="C230" s="69" t="s">
        <v>764</v>
      </c>
      <c r="D230" s="69">
        <v>0</v>
      </c>
      <c r="E230" s="70" t="s">
        <v>19</v>
      </c>
      <c r="F230" s="67" t="s">
        <v>1643</v>
      </c>
      <c r="G230" s="71">
        <v>39326</v>
      </c>
      <c r="H230" s="72">
        <v>40908</v>
      </c>
      <c r="I230" s="133">
        <v>9001112.7400000002</v>
      </c>
      <c r="J230" s="134">
        <v>1286783.78</v>
      </c>
      <c r="K230" s="125"/>
      <c r="L230" s="74">
        <v>0.1807</v>
      </c>
      <c r="M230" s="75">
        <v>308210</v>
      </c>
      <c r="N230" s="76">
        <v>13</v>
      </c>
      <c r="O230" s="76"/>
      <c r="P230" s="76"/>
      <c r="Q230" s="76"/>
      <c r="R230" s="67" t="s">
        <v>1528</v>
      </c>
      <c r="S230" s="68">
        <v>860041163</v>
      </c>
      <c r="T230" s="77"/>
      <c r="U230" s="78"/>
      <c r="V230" s="81"/>
      <c r="W230" s="80">
        <v>1204140</v>
      </c>
    </row>
    <row r="231" spans="1:23" ht="16.2" hidden="1" thickBot="1" x14ac:dyDescent="0.35">
      <c r="A231" s="158" t="s">
        <v>765</v>
      </c>
      <c r="B231" s="69">
        <v>41574977</v>
      </c>
      <c r="C231" s="69" t="s">
        <v>766</v>
      </c>
      <c r="D231" s="69">
        <v>0</v>
      </c>
      <c r="E231" s="70" t="s">
        <v>592</v>
      </c>
      <c r="F231" s="67" t="s">
        <v>1643</v>
      </c>
      <c r="G231" s="71">
        <v>39415</v>
      </c>
      <c r="H231" s="72">
        <v>40908</v>
      </c>
      <c r="I231" s="133">
        <v>1787809.73</v>
      </c>
      <c r="J231" s="134">
        <v>255582.24</v>
      </c>
      <c r="K231" s="126"/>
      <c r="L231" s="74">
        <v>0.10059999999999999</v>
      </c>
      <c r="M231" s="75">
        <v>181841</v>
      </c>
      <c r="N231" s="76">
        <v>13</v>
      </c>
      <c r="O231" s="76"/>
      <c r="P231" s="76"/>
      <c r="Q231" s="76"/>
      <c r="R231" s="67" t="s">
        <v>1528</v>
      </c>
      <c r="S231" s="68">
        <v>860041163</v>
      </c>
      <c r="T231" s="77"/>
      <c r="U231" s="78"/>
      <c r="V231" s="82"/>
      <c r="W231" s="80">
        <v>429598</v>
      </c>
    </row>
    <row r="232" spans="1:23" ht="15.6" hidden="1" x14ac:dyDescent="0.3">
      <c r="A232" s="158" t="s">
        <v>767</v>
      </c>
      <c r="B232" s="69">
        <v>41568037</v>
      </c>
      <c r="C232" s="69" t="s">
        <v>768</v>
      </c>
      <c r="D232" s="69">
        <v>0</v>
      </c>
      <c r="E232" s="70" t="s">
        <v>19</v>
      </c>
      <c r="F232" s="67" t="s">
        <v>1643</v>
      </c>
      <c r="G232" s="71">
        <v>39569</v>
      </c>
      <c r="H232" s="72">
        <v>40908</v>
      </c>
      <c r="I232" s="133">
        <v>403885.92</v>
      </c>
      <c r="J232" s="134">
        <v>57738.84</v>
      </c>
      <c r="K232" s="127"/>
      <c r="L232" s="74">
        <v>7.5300000000000006E-2</v>
      </c>
      <c r="M232" s="75">
        <v>167687</v>
      </c>
      <c r="N232" s="76">
        <v>13</v>
      </c>
      <c r="O232" s="76"/>
      <c r="P232" s="76"/>
      <c r="Q232" s="76"/>
      <c r="R232" s="67" t="s">
        <v>1528</v>
      </c>
      <c r="S232" s="68">
        <v>860041163</v>
      </c>
      <c r="T232" s="77"/>
      <c r="U232" s="78"/>
      <c r="V232" s="81"/>
      <c r="W232" s="80">
        <v>129659</v>
      </c>
    </row>
    <row r="233" spans="1:23" ht="15.6" hidden="1" x14ac:dyDescent="0.3">
      <c r="A233" s="158" t="s">
        <v>1830</v>
      </c>
      <c r="B233" s="69">
        <v>41576831</v>
      </c>
      <c r="C233" s="69" t="s">
        <v>770</v>
      </c>
      <c r="D233" s="69">
        <v>0</v>
      </c>
      <c r="E233" s="70" t="s">
        <v>592</v>
      </c>
      <c r="F233" s="67" t="s">
        <v>1643</v>
      </c>
      <c r="G233" s="71">
        <v>39602</v>
      </c>
      <c r="H233" s="72">
        <v>40908</v>
      </c>
      <c r="I233" s="133">
        <v>4308984.21</v>
      </c>
      <c r="J233" s="134">
        <v>616005.06000000006</v>
      </c>
      <c r="K233" s="125"/>
      <c r="L233" s="74">
        <v>0.94140000000000001</v>
      </c>
      <c r="M233" s="75">
        <v>542386</v>
      </c>
      <c r="N233" s="76">
        <v>13</v>
      </c>
      <c r="O233" s="76"/>
      <c r="P233" s="76"/>
      <c r="Q233" s="76"/>
      <c r="R233" s="67" t="s">
        <v>1528</v>
      </c>
      <c r="S233" s="68">
        <v>860041163</v>
      </c>
      <c r="T233" s="77"/>
      <c r="U233" s="78"/>
      <c r="V233" s="99"/>
      <c r="W233" s="80">
        <v>110647</v>
      </c>
    </row>
    <row r="234" spans="1:23" ht="16.2" hidden="1" thickBot="1" x14ac:dyDescent="0.35">
      <c r="A234" s="158" t="s">
        <v>771</v>
      </c>
      <c r="B234" s="69">
        <v>17196930</v>
      </c>
      <c r="C234" s="69" t="s">
        <v>772</v>
      </c>
      <c r="D234" s="69">
        <v>0</v>
      </c>
      <c r="E234" s="70" t="s">
        <v>592</v>
      </c>
      <c r="F234" s="67" t="s">
        <v>1643</v>
      </c>
      <c r="G234" s="71">
        <v>39753</v>
      </c>
      <c r="H234" s="72">
        <v>40908</v>
      </c>
      <c r="I234" s="133">
        <v>6040920.0199999996</v>
      </c>
      <c r="J234" s="134">
        <v>863599.66</v>
      </c>
      <c r="K234" s="128"/>
      <c r="L234" s="74">
        <v>0.1381</v>
      </c>
      <c r="M234" s="75">
        <v>39416</v>
      </c>
      <c r="N234" s="76">
        <v>14</v>
      </c>
      <c r="O234" s="76"/>
      <c r="P234" s="76"/>
      <c r="Q234" s="76"/>
      <c r="R234" s="67" t="s">
        <v>1528</v>
      </c>
      <c r="S234" s="68">
        <v>860041163</v>
      </c>
      <c r="T234" s="77">
        <v>41500005</v>
      </c>
      <c r="U234" s="78" t="s">
        <v>1788</v>
      </c>
      <c r="V234" s="81"/>
      <c r="W234" s="80">
        <v>1057422</v>
      </c>
    </row>
    <row r="235" spans="1:23" ht="15.6" hidden="1" x14ac:dyDescent="0.3">
      <c r="A235" s="158" t="s">
        <v>1831</v>
      </c>
      <c r="B235" s="69">
        <v>41605939</v>
      </c>
      <c r="C235" s="69" t="s">
        <v>776</v>
      </c>
      <c r="D235" s="69">
        <v>0</v>
      </c>
      <c r="E235" s="70" t="s">
        <v>592</v>
      </c>
      <c r="F235" s="67" t="s">
        <v>1643</v>
      </c>
      <c r="G235" s="71">
        <v>39934</v>
      </c>
      <c r="H235" s="72">
        <v>40908</v>
      </c>
      <c r="I235" s="133">
        <v>1427670.72</v>
      </c>
      <c r="J235" s="134">
        <v>204097.38</v>
      </c>
      <c r="K235" s="125"/>
      <c r="L235" s="74">
        <v>9.4799999999999995E-2</v>
      </c>
      <c r="M235" s="75">
        <v>175369</v>
      </c>
      <c r="N235" s="76">
        <v>13</v>
      </c>
      <c r="O235" s="76"/>
      <c r="P235" s="76"/>
      <c r="Q235" s="76"/>
      <c r="R235" s="67" t="s">
        <v>1528</v>
      </c>
      <c r="S235" s="68">
        <v>860041163</v>
      </c>
      <c r="T235" s="77"/>
      <c r="U235" s="78"/>
      <c r="V235" s="81"/>
      <c r="W235" s="80">
        <v>364048</v>
      </c>
    </row>
    <row r="236" spans="1:23" ht="15.6" hidden="1" x14ac:dyDescent="0.3">
      <c r="A236" s="158" t="s">
        <v>777</v>
      </c>
      <c r="B236" s="69">
        <v>17105216</v>
      </c>
      <c r="C236" s="69" t="s">
        <v>778</v>
      </c>
      <c r="D236" s="69">
        <v>0</v>
      </c>
      <c r="E236" s="70" t="s">
        <v>592</v>
      </c>
      <c r="F236" s="67" t="s">
        <v>1643</v>
      </c>
      <c r="G236" s="71">
        <v>39994</v>
      </c>
      <c r="H236" s="72">
        <v>40908</v>
      </c>
      <c r="I236" s="133">
        <v>1212548.72</v>
      </c>
      <c r="J236" s="134">
        <v>173343.91</v>
      </c>
      <c r="K236" s="125"/>
      <c r="L236" s="74">
        <v>4.9000000000000002E-2</v>
      </c>
      <c r="M236" s="75">
        <v>54071</v>
      </c>
      <c r="N236" s="76">
        <v>14</v>
      </c>
      <c r="O236" s="76"/>
      <c r="P236" s="76"/>
      <c r="Q236" s="76"/>
      <c r="R236" s="67" t="s">
        <v>1528</v>
      </c>
      <c r="S236" s="68">
        <v>860041163</v>
      </c>
      <c r="T236" s="77">
        <v>39640925</v>
      </c>
      <c r="U236" s="78" t="s">
        <v>1686</v>
      </c>
      <c r="V236" s="81"/>
      <c r="W236" s="80">
        <v>598194</v>
      </c>
    </row>
    <row r="237" spans="1:23" ht="16.2" hidden="1" thickBot="1" x14ac:dyDescent="0.35">
      <c r="A237" s="158" t="s">
        <v>779</v>
      </c>
      <c r="B237" s="147">
        <v>19217505</v>
      </c>
      <c r="C237" s="69" t="s">
        <v>780</v>
      </c>
      <c r="D237" s="69">
        <v>0</v>
      </c>
      <c r="E237" s="91" t="s">
        <v>592</v>
      </c>
      <c r="F237" s="67" t="s">
        <v>1643</v>
      </c>
      <c r="G237" s="71">
        <v>40146</v>
      </c>
      <c r="H237" s="72">
        <v>40908</v>
      </c>
      <c r="I237" s="133">
        <v>371975.45</v>
      </c>
      <c r="J237" s="134">
        <v>53176.98</v>
      </c>
      <c r="K237" s="125"/>
      <c r="L237" s="74">
        <v>2.6800000000000001E-2</v>
      </c>
      <c r="M237" s="100">
        <v>51869</v>
      </c>
      <c r="N237" s="76">
        <v>13</v>
      </c>
      <c r="O237" s="76"/>
      <c r="P237" s="76"/>
      <c r="Q237" s="76"/>
      <c r="R237" s="67" t="s">
        <v>1528</v>
      </c>
      <c r="S237" s="68">
        <v>860041163</v>
      </c>
      <c r="T237" s="77"/>
      <c r="U237" s="78"/>
      <c r="V237" s="81"/>
      <c r="W237" s="80">
        <v>335520</v>
      </c>
    </row>
    <row r="238" spans="1:23" ht="15.6" hidden="1" x14ac:dyDescent="0.3">
      <c r="A238" s="158" t="s">
        <v>578</v>
      </c>
      <c r="B238" s="148">
        <v>13345921</v>
      </c>
      <c r="C238" s="69" t="s">
        <v>579</v>
      </c>
      <c r="D238" s="69">
        <v>0</v>
      </c>
      <c r="E238" s="95" t="s">
        <v>592</v>
      </c>
      <c r="F238" s="67" t="s">
        <v>1643</v>
      </c>
      <c r="G238" s="71">
        <v>40147</v>
      </c>
      <c r="H238" s="72">
        <v>40908</v>
      </c>
      <c r="I238" s="133">
        <v>349296.65</v>
      </c>
      <c r="J238" s="134">
        <v>49934.85</v>
      </c>
      <c r="K238" s="125"/>
      <c r="L238" s="74">
        <v>2.5899999999999999E-2</v>
      </c>
      <c r="M238" s="96">
        <v>220634</v>
      </c>
      <c r="N238" s="76">
        <v>14</v>
      </c>
      <c r="O238" s="76"/>
      <c r="P238" s="76"/>
      <c r="Q238" s="76"/>
      <c r="R238" s="67" t="s">
        <v>1528</v>
      </c>
      <c r="S238" s="68">
        <v>860041163</v>
      </c>
      <c r="T238" s="77"/>
      <c r="U238" s="78"/>
      <c r="V238" s="82"/>
      <c r="W238" s="80">
        <v>326012</v>
      </c>
    </row>
    <row r="239" spans="1:23" ht="15.6" hidden="1" x14ac:dyDescent="0.3">
      <c r="A239" s="158" t="s">
        <v>1820</v>
      </c>
      <c r="B239" s="69">
        <v>37815104</v>
      </c>
      <c r="C239" s="69" t="s">
        <v>663</v>
      </c>
      <c r="D239" s="69">
        <v>0</v>
      </c>
      <c r="E239" s="70" t="s">
        <v>472</v>
      </c>
      <c r="F239" s="67" t="s">
        <v>1643</v>
      </c>
      <c r="G239" s="71">
        <v>39539</v>
      </c>
      <c r="H239" s="72">
        <v>40178</v>
      </c>
      <c r="I239" s="133">
        <v>2819607.33</v>
      </c>
      <c r="J239" s="134">
        <v>403086.27</v>
      </c>
      <c r="K239" s="125"/>
      <c r="L239" s="74">
        <v>0.1545</v>
      </c>
      <c r="M239" s="75">
        <v>265448</v>
      </c>
      <c r="N239" s="76">
        <v>13</v>
      </c>
      <c r="O239" s="76">
        <v>0</v>
      </c>
      <c r="P239" s="83">
        <v>288299</v>
      </c>
      <c r="Q239" s="83">
        <v>1429809</v>
      </c>
      <c r="R239" s="67" t="s">
        <v>1547</v>
      </c>
      <c r="S239" s="68">
        <v>890206167</v>
      </c>
      <c r="T239" s="77"/>
      <c r="U239" s="78"/>
      <c r="V239" s="81"/>
      <c r="W239" s="80">
        <v>441163</v>
      </c>
    </row>
    <row r="240" spans="1:23" ht="15.6" hidden="1" x14ac:dyDescent="0.3">
      <c r="A240" s="158" t="s">
        <v>891</v>
      </c>
      <c r="B240" s="69">
        <v>17060322</v>
      </c>
      <c r="C240" s="69" t="s">
        <v>892</v>
      </c>
      <c r="D240" s="69">
        <v>0</v>
      </c>
      <c r="E240" s="70" t="s">
        <v>19</v>
      </c>
      <c r="F240" s="67" t="s">
        <v>1643</v>
      </c>
      <c r="G240" s="71">
        <v>39965</v>
      </c>
      <c r="H240" s="72">
        <v>40178</v>
      </c>
      <c r="I240" s="133">
        <v>2852478.17</v>
      </c>
      <c r="J240" s="134">
        <v>407785.43</v>
      </c>
      <c r="K240" s="125"/>
      <c r="L240" s="74">
        <v>6.13E-2</v>
      </c>
      <c r="M240" s="75">
        <v>130213</v>
      </c>
      <c r="N240" s="76">
        <v>14</v>
      </c>
      <c r="O240" s="76"/>
      <c r="P240" s="76"/>
      <c r="Q240" s="76"/>
      <c r="R240" s="67" t="s">
        <v>1548</v>
      </c>
      <c r="S240" s="68">
        <v>890270833</v>
      </c>
      <c r="T240" s="77"/>
      <c r="U240" s="78"/>
      <c r="V240" s="81"/>
      <c r="W240" s="80">
        <v>1124866</v>
      </c>
    </row>
    <row r="241" spans="1:23" ht="15.6" hidden="1" x14ac:dyDescent="0.3">
      <c r="A241" s="158" t="s">
        <v>1251</v>
      </c>
      <c r="B241" s="69">
        <v>29279203</v>
      </c>
      <c r="C241" s="69" t="s">
        <v>1252</v>
      </c>
      <c r="D241" s="69">
        <v>0</v>
      </c>
      <c r="E241" s="70" t="s">
        <v>472</v>
      </c>
      <c r="F241" s="67" t="s">
        <v>1643</v>
      </c>
      <c r="G241" s="71">
        <v>34700</v>
      </c>
      <c r="H241" s="72"/>
      <c r="I241" s="133">
        <v>6337625.4800000004</v>
      </c>
      <c r="J241" s="134">
        <v>906016.17</v>
      </c>
      <c r="K241" s="125"/>
      <c r="L241" s="74">
        <v>0.17760000000000001</v>
      </c>
      <c r="M241" s="75">
        <v>108726</v>
      </c>
      <c r="N241" s="76">
        <v>14</v>
      </c>
      <c r="O241" s="76"/>
      <c r="P241" s="76"/>
      <c r="Q241" s="76"/>
      <c r="R241" s="67" t="s">
        <v>1589</v>
      </c>
      <c r="S241" s="68">
        <v>891380033</v>
      </c>
      <c r="T241" s="77"/>
      <c r="U241" s="78"/>
      <c r="V241" s="81"/>
      <c r="W241" s="80">
        <v>862626</v>
      </c>
    </row>
    <row r="242" spans="1:23" ht="15.6" hidden="1" x14ac:dyDescent="0.3">
      <c r="A242" s="158" t="s">
        <v>1253</v>
      </c>
      <c r="B242" s="69">
        <v>6183479</v>
      </c>
      <c r="C242" s="69" t="s">
        <v>1254</v>
      </c>
      <c r="D242" s="69">
        <v>0</v>
      </c>
      <c r="E242" s="70" t="s">
        <v>19</v>
      </c>
      <c r="F242" s="67" t="s">
        <v>1643</v>
      </c>
      <c r="G242" s="71">
        <v>35796</v>
      </c>
      <c r="H242" s="119"/>
      <c r="I242" s="133">
        <v>3781815.89</v>
      </c>
      <c r="J242" s="134">
        <v>540641.97</v>
      </c>
      <c r="K242" s="125"/>
      <c r="L242" s="74">
        <v>0.222</v>
      </c>
      <c r="M242" s="75">
        <v>181576</v>
      </c>
      <c r="N242" s="76">
        <v>14</v>
      </c>
      <c r="O242" s="76"/>
      <c r="P242" s="76"/>
      <c r="Q242" s="76"/>
      <c r="R242" s="67" t="s">
        <v>1589</v>
      </c>
      <c r="S242" s="68">
        <v>891380033</v>
      </c>
      <c r="T242" s="77"/>
      <c r="U242" s="78"/>
      <c r="V242" s="81"/>
      <c r="W242" s="80">
        <v>411800</v>
      </c>
    </row>
    <row r="243" spans="1:23" ht="15.6" hidden="1" x14ac:dyDescent="0.3">
      <c r="A243" s="158" t="s">
        <v>1370</v>
      </c>
      <c r="B243" s="69">
        <v>17127706</v>
      </c>
      <c r="C243" s="69" t="s">
        <v>1371</v>
      </c>
      <c r="D243" s="69">
        <v>0</v>
      </c>
      <c r="E243" s="70" t="s">
        <v>19</v>
      </c>
      <c r="F243" s="67" t="s">
        <v>1643</v>
      </c>
      <c r="G243" s="71">
        <v>35431</v>
      </c>
      <c r="H243" s="119"/>
      <c r="I243" s="133">
        <v>5018992.1100000003</v>
      </c>
      <c r="J243" s="134">
        <v>717506.58</v>
      </c>
      <c r="K243" s="127"/>
      <c r="L243" s="74">
        <v>0.122</v>
      </c>
      <c r="M243" s="75">
        <v>135947</v>
      </c>
      <c r="N243" s="76">
        <v>14</v>
      </c>
      <c r="O243" s="76"/>
      <c r="P243" s="76"/>
      <c r="Q243" s="76"/>
      <c r="R243" s="67" t="s">
        <v>1616</v>
      </c>
      <c r="S243" s="68">
        <v>892099324</v>
      </c>
      <c r="T243" s="77"/>
      <c r="U243" s="78"/>
      <c r="V243" s="81"/>
      <c r="W243" s="80">
        <v>994479</v>
      </c>
    </row>
    <row r="244" spans="1:23" ht="15.6" hidden="1" x14ac:dyDescent="0.3">
      <c r="A244" s="158" t="s">
        <v>498</v>
      </c>
      <c r="B244" s="69">
        <v>15240013</v>
      </c>
      <c r="C244" s="69" t="s">
        <v>499</v>
      </c>
      <c r="D244" s="69">
        <v>0</v>
      </c>
      <c r="E244" s="70" t="s">
        <v>19</v>
      </c>
      <c r="F244" s="67" t="s">
        <v>1643</v>
      </c>
      <c r="G244" s="71">
        <v>39569</v>
      </c>
      <c r="H244" s="119"/>
      <c r="I244" s="133">
        <v>13778276.57</v>
      </c>
      <c r="J244" s="134">
        <v>1969719</v>
      </c>
      <c r="K244" s="125"/>
      <c r="L244" s="74">
        <v>0.36099999999999999</v>
      </c>
      <c r="M244" s="75">
        <v>83579</v>
      </c>
      <c r="N244" s="76">
        <v>14</v>
      </c>
      <c r="O244" s="76"/>
      <c r="P244" s="76"/>
      <c r="Q244" s="76"/>
      <c r="R244" s="67" t="s">
        <v>1625</v>
      </c>
      <c r="S244" s="68">
        <v>892400038</v>
      </c>
      <c r="T244" s="77"/>
      <c r="U244" s="78"/>
      <c r="V244" s="81"/>
      <c r="W244" s="80">
        <v>922628</v>
      </c>
    </row>
    <row r="245" spans="1:23" ht="15.6" hidden="1" x14ac:dyDescent="0.3">
      <c r="A245" s="158" t="s">
        <v>1385</v>
      </c>
      <c r="B245" s="69">
        <v>23247979</v>
      </c>
      <c r="C245" s="69" t="s">
        <v>1386</v>
      </c>
      <c r="D245" s="69">
        <v>0</v>
      </c>
      <c r="E245" s="70" t="s">
        <v>19</v>
      </c>
      <c r="F245" s="67" t="s">
        <v>1643</v>
      </c>
      <c r="G245" s="71">
        <v>39569</v>
      </c>
      <c r="H245" s="119"/>
      <c r="I245" s="133">
        <v>7717171.2800000003</v>
      </c>
      <c r="J245" s="134">
        <v>1103233.69</v>
      </c>
      <c r="K245" s="125"/>
      <c r="L245" s="74">
        <v>0.24199999999999999</v>
      </c>
      <c r="M245" s="75">
        <v>278310</v>
      </c>
      <c r="N245" s="76">
        <v>14</v>
      </c>
      <c r="O245" s="76"/>
      <c r="P245" s="76"/>
      <c r="Q245" s="76"/>
      <c r="R245" s="67" t="s">
        <v>1625</v>
      </c>
      <c r="S245" s="68">
        <v>892400038</v>
      </c>
      <c r="T245" s="77"/>
      <c r="U245" s="78"/>
      <c r="V245" s="81"/>
      <c r="W245" s="80">
        <v>770871</v>
      </c>
    </row>
    <row r="246" spans="1:23" ht="15.6" hidden="1" x14ac:dyDescent="0.3">
      <c r="A246" s="158" t="s">
        <v>961</v>
      </c>
      <c r="B246" s="69">
        <v>2419662</v>
      </c>
      <c r="C246" s="69" t="s">
        <v>962</v>
      </c>
      <c r="D246" s="69">
        <v>0</v>
      </c>
      <c r="E246" s="70" t="s">
        <v>21</v>
      </c>
      <c r="F246" s="67" t="s">
        <v>1643</v>
      </c>
      <c r="G246" s="71">
        <v>26846</v>
      </c>
      <c r="H246" s="119">
        <v>44196</v>
      </c>
      <c r="I246" s="133">
        <v>28062460.460000001</v>
      </c>
      <c r="J246" s="134">
        <v>4011761.65</v>
      </c>
      <c r="K246" s="125"/>
      <c r="L246" s="74">
        <v>0.25140000000000001</v>
      </c>
      <c r="M246" s="75">
        <v>1270</v>
      </c>
      <c r="N246" s="76">
        <v>14</v>
      </c>
      <c r="O246" s="76">
        <v>0</v>
      </c>
      <c r="P246" s="83">
        <v>5052</v>
      </c>
      <c r="Q246" s="76">
        <v>0</v>
      </c>
      <c r="R246" s="67" t="s">
        <v>1626</v>
      </c>
      <c r="S246" s="68">
        <v>899999072</v>
      </c>
      <c r="T246" s="77">
        <v>29071625</v>
      </c>
      <c r="U246" s="78" t="s">
        <v>1712</v>
      </c>
      <c r="V246" s="81"/>
      <c r="W246" s="80">
        <v>2698357</v>
      </c>
    </row>
    <row r="247" spans="1:23" ht="15.6" hidden="1" x14ac:dyDescent="0.3">
      <c r="A247" s="158" t="s">
        <v>1194</v>
      </c>
      <c r="B247" s="69">
        <v>21264648</v>
      </c>
      <c r="C247" s="69" t="s">
        <v>1195</v>
      </c>
      <c r="D247" s="69">
        <v>0</v>
      </c>
      <c r="E247" s="70" t="s">
        <v>19</v>
      </c>
      <c r="F247" s="67" t="s">
        <v>1643</v>
      </c>
      <c r="G247" s="71">
        <v>30864</v>
      </c>
      <c r="H247" s="119">
        <v>44561</v>
      </c>
      <c r="I247" s="133">
        <v>18281351.699999999</v>
      </c>
      <c r="J247" s="134">
        <v>2613470.9700000002</v>
      </c>
      <c r="K247" s="125"/>
      <c r="L247" s="74">
        <v>0.26540000000000002</v>
      </c>
      <c r="M247" s="75">
        <v>12513</v>
      </c>
      <c r="N247" s="76">
        <v>14</v>
      </c>
      <c r="O247" s="76">
        <v>0</v>
      </c>
      <c r="P247" s="83">
        <v>27640</v>
      </c>
      <c r="Q247" s="83">
        <v>19505</v>
      </c>
      <c r="R247" s="67" t="s">
        <v>1626</v>
      </c>
      <c r="S247" s="68">
        <v>899999072</v>
      </c>
      <c r="T247" s="77">
        <v>3335726</v>
      </c>
      <c r="U247" s="78" t="s">
        <v>1792</v>
      </c>
      <c r="V247" s="81"/>
      <c r="W247" s="80">
        <v>1665123</v>
      </c>
    </row>
    <row r="248" spans="1:23" ht="15.6" hidden="1" x14ac:dyDescent="0.3">
      <c r="A248" s="158" t="s">
        <v>1799</v>
      </c>
      <c r="B248" s="69">
        <v>20333921</v>
      </c>
      <c r="C248" s="69" t="s">
        <v>1390</v>
      </c>
      <c r="D248" s="69">
        <v>0</v>
      </c>
      <c r="E248" s="70" t="s">
        <v>21</v>
      </c>
      <c r="F248" s="67" t="s">
        <v>1643</v>
      </c>
      <c r="G248" s="71">
        <v>34335</v>
      </c>
      <c r="H248" s="119">
        <v>44561</v>
      </c>
      <c r="I248" s="133">
        <v>2409818.5499999998</v>
      </c>
      <c r="J248" s="134">
        <v>344503.57</v>
      </c>
      <c r="K248" s="125"/>
      <c r="L248" s="74">
        <v>5.4600000000000003E-2</v>
      </c>
      <c r="M248" s="75">
        <v>30201</v>
      </c>
      <c r="N248" s="76">
        <v>14</v>
      </c>
      <c r="O248" s="76">
        <v>0</v>
      </c>
      <c r="P248" s="83">
        <v>160582</v>
      </c>
      <c r="Q248" s="83">
        <v>819529</v>
      </c>
      <c r="R248" s="67" t="s">
        <v>1626</v>
      </c>
      <c r="S248" s="68">
        <v>899999072</v>
      </c>
      <c r="T248" s="77"/>
      <c r="U248" s="78"/>
      <c r="V248" s="81"/>
      <c r="W248" s="80">
        <v>1066917</v>
      </c>
    </row>
    <row r="249" spans="1:23" ht="15.6" hidden="1" x14ac:dyDescent="0.3">
      <c r="A249" s="158" t="s">
        <v>1391</v>
      </c>
      <c r="B249" s="69">
        <v>41400678</v>
      </c>
      <c r="C249" s="69" t="s">
        <v>1392</v>
      </c>
      <c r="D249" s="69">
        <v>0</v>
      </c>
      <c r="E249" s="70" t="s">
        <v>21</v>
      </c>
      <c r="F249" s="67" t="s">
        <v>1643</v>
      </c>
      <c r="G249" s="71">
        <v>34700</v>
      </c>
      <c r="H249" s="119">
        <v>44561</v>
      </c>
      <c r="I249" s="133">
        <v>1204254.1000000001</v>
      </c>
      <c r="J249" s="134">
        <v>172158.12</v>
      </c>
      <c r="K249" s="125"/>
      <c r="L249" s="74">
        <v>7.7899999999999997E-2</v>
      </c>
      <c r="M249" s="75">
        <v>31981</v>
      </c>
      <c r="N249" s="76">
        <v>14</v>
      </c>
      <c r="O249" s="76">
        <v>0</v>
      </c>
      <c r="P249" s="83">
        <v>93950</v>
      </c>
      <c r="Q249" s="83">
        <v>910768</v>
      </c>
      <c r="R249" s="67" t="s">
        <v>1626</v>
      </c>
      <c r="S249" s="68">
        <v>899999072</v>
      </c>
      <c r="T249" s="77"/>
      <c r="U249" s="78"/>
      <c r="V249" s="81"/>
      <c r="W249" s="80">
        <v>373697</v>
      </c>
    </row>
    <row r="250" spans="1:23" ht="15.6" hidden="1" x14ac:dyDescent="0.3">
      <c r="A250" s="158" t="s">
        <v>1393</v>
      </c>
      <c r="B250" s="69">
        <v>98344</v>
      </c>
      <c r="C250" s="69" t="s">
        <v>1394</v>
      </c>
      <c r="D250" s="69">
        <v>0</v>
      </c>
      <c r="E250" s="70" t="s">
        <v>472</v>
      </c>
      <c r="F250" s="67" t="s">
        <v>1643</v>
      </c>
      <c r="G250" s="71">
        <v>29626</v>
      </c>
      <c r="H250" s="119"/>
      <c r="I250" s="133">
        <v>1783668.1</v>
      </c>
      <c r="J250" s="134">
        <v>254990.16</v>
      </c>
      <c r="K250" s="125"/>
      <c r="L250" s="74">
        <v>0.23469999999999999</v>
      </c>
      <c r="M250" s="75">
        <v>1703</v>
      </c>
      <c r="N250" s="76">
        <v>14</v>
      </c>
      <c r="O250" s="76"/>
      <c r="P250" s="76"/>
      <c r="Q250" s="76"/>
      <c r="R250" s="67" t="s">
        <v>1627</v>
      </c>
      <c r="S250" s="68">
        <v>899999082</v>
      </c>
      <c r="T250" s="77"/>
      <c r="U250" s="78"/>
      <c r="V250" s="81"/>
      <c r="W250" s="80">
        <v>183713</v>
      </c>
    </row>
    <row r="251" spans="1:23" ht="15.6" hidden="1" x14ac:dyDescent="0.3">
      <c r="A251" s="158" t="s">
        <v>1800</v>
      </c>
      <c r="B251" s="69">
        <v>467493</v>
      </c>
      <c r="C251" s="69" t="s">
        <v>1398</v>
      </c>
      <c r="D251" s="69">
        <v>0</v>
      </c>
      <c r="E251" s="70" t="s">
        <v>21</v>
      </c>
      <c r="F251" s="67" t="s">
        <v>1643</v>
      </c>
      <c r="G251" s="71">
        <v>27883</v>
      </c>
      <c r="H251" s="119">
        <v>44196</v>
      </c>
      <c r="I251" s="133">
        <v>126620414.26000001</v>
      </c>
      <c r="J251" s="134">
        <v>18101439.210000001</v>
      </c>
      <c r="K251" s="125"/>
      <c r="L251" s="74">
        <v>0.53349999999999997</v>
      </c>
      <c r="M251" s="75">
        <v>12544</v>
      </c>
      <c r="N251" s="76">
        <v>14</v>
      </c>
      <c r="O251" s="76">
        <v>0</v>
      </c>
      <c r="P251" s="83">
        <v>48698</v>
      </c>
      <c r="Q251" s="83">
        <v>37653</v>
      </c>
      <c r="R251" s="67" t="s">
        <v>1628</v>
      </c>
      <c r="S251" s="68">
        <v>899999114</v>
      </c>
      <c r="T251" s="77">
        <v>20150950</v>
      </c>
      <c r="U251" s="78" t="s">
        <v>1768</v>
      </c>
      <c r="V251" s="81"/>
      <c r="W251" s="80">
        <v>5737309</v>
      </c>
    </row>
    <row r="252" spans="1:23" ht="15.6" hidden="1" x14ac:dyDescent="0.3">
      <c r="A252" s="158" t="s">
        <v>674</v>
      </c>
      <c r="B252" s="69">
        <v>48463</v>
      </c>
      <c r="C252" s="69" t="s">
        <v>675</v>
      </c>
      <c r="D252" s="69">
        <v>0</v>
      </c>
      <c r="E252" s="70" t="s">
        <v>21</v>
      </c>
      <c r="F252" s="67" t="s">
        <v>1643</v>
      </c>
      <c r="G252" s="71">
        <v>28682</v>
      </c>
      <c r="H252" s="119">
        <v>44196</v>
      </c>
      <c r="I252" s="133">
        <v>6527079.5199999996</v>
      </c>
      <c r="J252" s="134">
        <v>933100.19</v>
      </c>
      <c r="K252" s="125"/>
      <c r="L252" s="74">
        <v>0.1135</v>
      </c>
      <c r="M252" s="75">
        <v>1153</v>
      </c>
      <c r="N252" s="76">
        <v>14</v>
      </c>
      <c r="O252" s="76">
        <v>0</v>
      </c>
      <c r="P252" s="83">
        <v>50047</v>
      </c>
      <c r="Q252" s="83">
        <v>51720</v>
      </c>
      <c r="R252" s="67" t="s">
        <v>1628</v>
      </c>
      <c r="S252" s="68">
        <v>899999114</v>
      </c>
      <c r="T252" s="77">
        <v>41353549</v>
      </c>
      <c r="U252" s="78" t="s">
        <v>1676</v>
      </c>
      <c r="V252" s="81"/>
      <c r="W252" s="80">
        <v>1390151</v>
      </c>
    </row>
    <row r="253" spans="1:23" ht="15.6" hidden="1" x14ac:dyDescent="0.3">
      <c r="A253" s="158" t="s">
        <v>1801</v>
      </c>
      <c r="B253" s="148">
        <v>28505549</v>
      </c>
      <c r="C253" s="69" t="s">
        <v>614</v>
      </c>
      <c r="D253" s="69">
        <v>0</v>
      </c>
      <c r="E253" s="95" t="s">
        <v>21</v>
      </c>
      <c r="F253" s="67" t="s">
        <v>1643</v>
      </c>
      <c r="G253" s="71">
        <v>28897</v>
      </c>
      <c r="H253" s="119">
        <v>41274</v>
      </c>
      <c r="I253" s="133">
        <v>34938077.350000001</v>
      </c>
      <c r="J253" s="134">
        <v>4994688.16</v>
      </c>
      <c r="K253" s="125"/>
      <c r="L253" s="74">
        <v>0.35099999999999998</v>
      </c>
      <c r="M253" s="96">
        <v>6692</v>
      </c>
      <c r="N253" s="76">
        <v>14</v>
      </c>
      <c r="O253" s="76">
        <v>0</v>
      </c>
      <c r="P253" s="83">
        <v>30507</v>
      </c>
      <c r="Q253" s="83">
        <v>11298</v>
      </c>
      <c r="R253" s="67" t="s">
        <v>1628</v>
      </c>
      <c r="S253" s="68">
        <v>899999114</v>
      </c>
      <c r="T253" s="77">
        <v>1796134</v>
      </c>
      <c r="U253" s="78" t="s">
        <v>1671</v>
      </c>
      <c r="V253" s="81"/>
      <c r="W253" s="80">
        <v>2406195</v>
      </c>
    </row>
    <row r="254" spans="1:23" ht="15.6" hidden="1" x14ac:dyDescent="0.3">
      <c r="A254" s="158" t="s">
        <v>1796</v>
      </c>
      <c r="B254" s="69">
        <v>48483</v>
      </c>
      <c r="C254" s="69" t="s">
        <v>1404</v>
      </c>
      <c r="D254" s="69">
        <v>0</v>
      </c>
      <c r="E254" s="70" t="s">
        <v>472</v>
      </c>
      <c r="F254" s="67" t="s">
        <v>1643</v>
      </c>
      <c r="G254" s="71">
        <v>30317</v>
      </c>
      <c r="H254" s="119">
        <v>44196</v>
      </c>
      <c r="I254" s="133">
        <v>6640975.2300000004</v>
      </c>
      <c r="J254" s="134">
        <v>949382.53</v>
      </c>
      <c r="K254" s="125"/>
      <c r="L254" s="74">
        <v>0.1479</v>
      </c>
      <c r="M254" s="75">
        <v>3497</v>
      </c>
      <c r="N254" s="76">
        <v>14</v>
      </c>
      <c r="O254" s="76">
        <v>0</v>
      </c>
      <c r="P254" s="83">
        <v>82637</v>
      </c>
      <c r="Q254" s="83">
        <v>81510</v>
      </c>
      <c r="R254" s="67" t="s">
        <v>1628</v>
      </c>
      <c r="S254" s="68">
        <v>899999114</v>
      </c>
      <c r="T254" s="77">
        <v>20119888</v>
      </c>
      <c r="U254" s="78" t="s">
        <v>1771</v>
      </c>
      <c r="V254" s="81"/>
      <c r="W254" s="80">
        <v>1085432</v>
      </c>
    </row>
    <row r="255" spans="1:23" ht="15.6" hidden="1" x14ac:dyDescent="0.3">
      <c r="A255" s="158" t="s">
        <v>1411</v>
      </c>
      <c r="B255" s="69">
        <v>29022287</v>
      </c>
      <c r="C255" s="69" t="s">
        <v>1412</v>
      </c>
      <c r="D255" s="69">
        <v>0</v>
      </c>
      <c r="E255" s="70" t="s">
        <v>21</v>
      </c>
      <c r="F255" s="67" t="s">
        <v>1643</v>
      </c>
      <c r="G255" s="71">
        <v>32143</v>
      </c>
      <c r="H255" s="119">
        <v>44196</v>
      </c>
      <c r="I255" s="133">
        <v>34768304.289999999</v>
      </c>
      <c r="J255" s="134">
        <v>4970417.6900000004</v>
      </c>
      <c r="K255" s="125"/>
      <c r="L255" s="74">
        <v>0.2606</v>
      </c>
      <c r="M255" s="75">
        <v>26065</v>
      </c>
      <c r="N255" s="76">
        <v>14</v>
      </c>
      <c r="O255" s="76">
        <v>0</v>
      </c>
      <c r="P255" s="83">
        <v>331467</v>
      </c>
      <c r="Q255" s="83">
        <v>98700</v>
      </c>
      <c r="R255" s="67" t="s">
        <v>1628</v>
      </c>
      <c r="S255" s="68">
        <v>899999114</v>
      </c>
      <c r="T255" s="77"/>
      <c r="U255" s="78"/>
      <c r="V255" s="81"/>
      <c r="W255" s="80">
        <v>3225136</v>
      </c>
    </row>
    <row r="256" spans="1:23" ht="15.6" hidden="1" x14ac:dyDescent="0.3">
      <c r="A256" s="158" t="s">
        <v>1413</v>
      </c>
      <c r="B256" s="69">
        <v>23251569</v>
      </c>
      <c r="C256" s="69" t="s">
        <v>1414</v>
      </c>
      <c r="D256" s="69">
        <v>0</v>
      </c>
      <c r="E256" s="70" t="s">
        <v>21</v>
      </c>
      <c r="F256" s="67" t="s">
        <v>1643</v>
      </c>
      <c r="G256" s="71">
        <v>32509</v>
      </c>
      <c r="H256" s="119">
        <v>44196</v>
      </c>
      <c r="I256" s="133">
        <v>2993750.91</v>
      </c>
      <c r="J256" s="134">
        <v>427981.54</v>
      </c>
      <c r="K256" s="125"/>
      <c r="L256" s="74">
        <v>3.7499999999999999E-2</v>
      </c>
      <c r="M256" s="75">
        <v>3526</v>
      </c>
      <c r="N256" s="76">
        <v>14</v>
      </c>
      <c r="O256" s="76">
        <v>0</v>
      </c>
      <c r="P256" s="83">
        <v>51528</v>
      </c>
      <c r="Q256" s="83">
        <v>59179</v>
      </c>
      <c r="R256" s="67" t="s">
        <v>1628</v>
      </c>
      <c r="S256" s="68">
        <v>899999114</v>
      </c>
      <c r="T256" s="77"/>
      <c r="U256" s="78"/>
      <c r="V256" s="81"/>
      <c r="W256" s="80">
        <v>1929849</v>
      </c>
    </row>
    <row r="257" spans="1:23" ht="15.6" hidden="1" x14ac:dyDescent="0.3">
      <c r="A257" s="158" t="s">
        <v>1415</v>
      </c>
      <c r="B257" s="69">
        <v>20288423</v>
      </c>
      <c r="C257" s="69" t="s">
        <v>1416</v>
      </c>
      <c r="D257" s="69">
        <v>0</v>
      </c>
      <c r="E257" s="70" t="s">
        <v>818</v>
      </c>
      <c r="F257" s="67" t="s">
        <v>1643</v>
      </c>
      <c r="G257" s="71">
        <v>33207</v>
      </c>
      <c r="H257" s="119"/>
      <c r="I257" s="133">
        <v>12989523</v>
      </c>
      <c r="J257" s="134">
        <v>1856960.13</v>
      </c>
      <c r="K257" s="125"/>
      <c r="L257" s="74">
        <v>0.12529999999999999</v>
      </c>
      <c r="M257" s="75">
        <v>19600</v>
      </c>
      <c r="N257" s="76">
        <v>14</v>
      </c>
      <c r="O257" s="76"/>
      <c r="P257" s="76"/>
      <c r="Q257" s="76"/>
      <c r="R257" s="67" t="s">
        <v>1628</v>
      </c>
      <c r="S257" s="68">
        <v>899999114</v>
      </c>
      <c r="T257" s="77"/>
      <c r="U257" s="78"/>
      <c r="V257" s="81"/>
      <c r="W257" s="80">
        <v>2506000</v>
      </c>
    </row>
    <row r="258" spans="1:23" ht="15.6" hidden="1" x14ac:dyDescent="0.3">
      <c r="A258" s="158" t="s">
        <v>1802</v>
      </c>
      <c r="B258" s="69">
        <v>21286792</v>
      </c>
      <c r="C258" s="69" t="s">
        <v>1418</v>
      </c>
      <c r="D258" s="69">
        <v>0</v>
      </c>
      <c r="E258" s="70" t="s">
        <v>19</v>
      </c>
      <c r="F258" s="67" t="s">
        <v>1643</v>
      </c>
      <c r="G258" s="71">
        <v>33207</v>
      </c>
      <c r="H258" s="119"/>
      <c r="I258" s="133">
        <v>4756322.25</v>
      </c>
      <c r="J258" s="134">
        <v>679955.74</v>
      </c>
      <c r="K258" s="125"/>
      <c r="L258" s="74">
        <v>2.7799999999999998E-2</v>
      </c>
      <c r="M258" s="75">
        <v>50167</v>
      </c>
      <c r="N258" s="76">
        <v>14</v>
      </c>
      <c r="O258" s="76"/>
      <c r="P258" s="76"/>
      <c r="Q258" s="76"/>
      <c r="R258" s="67" t="s">
        <v>1628</v>
      </c>
      <c r="S258" s="68">
        <v>899999114</v>
      </c>
      <c r="T258" s="77"/>
      <c r="U258" s="78"/>
      <c r="V258" s="81"/>
      <c r="W258" s="80">
        <v>4135856</v>
      </c>
    </row>
    <row r="259" spans="1:23" ht="15.6" hidden="1" x14ac:dyDescent="0.3">
      <c r="A259" s="158" t="s">
        <v>1803</v>
      </c>
      <c r="B259" s="69">
        <v>20334626</v>
      </c>
      <c r="C259" s="69" t="s">
        <v>1420</v>
      </c>
      <c r="D259" s="69">
        <v>0</v>
      </c>
      <c r="E259" s="70" t="s">
        <v>21</v>
      </c>
      <c r="F259" s="67" t="s">
        <v>1643</v>
      </c>
      <c r="G259" s="71">
        <v>76308</v>
      </c>
      <c r="H259" s="119"/>
      <c r="I259" s="133">
        <v>8111381.0899999999</v>
      </c>
      <c r="J259" s="134">
        <v>1159589.26</v>
      </c>
      <c r="K259" s="125"/>
      <c r="L259" s="74">
        <v>0.1103</v>
      </c>
      <c r="M259" s="75">
        <v>35083</v>
      </c>
      <c r="N259" s="76">
        <v>14</v>
      </c>
      <c r="O259" s="76">
        <v>0</v>
      </c>
      <c r="P259" s="76">
        <v>0</v>
      </c>
      <c r="Q259" s="76">
        <v>0</v>
      </c>
      <c r="R259" s="67" t="s">
        <v>1628</v>
      </c>
      <c r="S259" s="68">
        <v>899999114</v>
      </c>
      <c r="T259" s="77"/>
      <c r="U259" s="78"/>
      <c r="V259" s="81"/>
      <c r="W259" s="80">
        <v>1777699</v>
      </c>
    </row>
    <row r="260" spans="1:23" ht="15.6" hidden="1" x14ac:dyDescent="0.3">
      <c r="A260" s="158" t="s">
        <v>1421</v>
      </c>
      <c r="B260" s="69">
        <v>13213283</v>
      </c>
      <c r="C260" s="69" t="s">
        <v>1422</v>
      </c>
      <c r="D260" s="69">
        <v>0</v>
      </c>
      <c r="E260" s="70" t="s">
        <v>472</v>
      </c>
      <c r="F260" s="67" t="s">
        <v>1643</v>
      </c>
      <c r="G260" s="71">
        <v>34700</v>
      </c>
      <c r="H260" s="119">
        <v>44196</v>
      </c>
      <c r="I260" s="133">
        <v>6870471.3499999996</v>
      </c>
      <c r="J260" s="134">
        <v>982190.9</v>
      </c>
      <c r="K260" s="125"/>
      <c r="L260" s="74">
        <v>0.2273</v>
      </c>
      <c r="M260" s="75">
        <v>66436</v>
      </c>
      <c r="N260" s="76">
        <v>14</v>
      </c>
      <c r="O260" s="76">
        <v>0</v>
      </c>
      <c r="P260" s="83">
        <v>218212</v>
      </c>
      <c r="Q260" s="83">
        <v>744283</v>
      </c>
      <c r="R260" s="67" t="s">
        <v>1628</v>
      </c>
      <c r="S260" s="68">
        <v>899999114</v>
      </c>
      <c r="T260" s="77"/>
      <c r="U260" s="78"/>
      <c r="V260" s="81"/>
      <c r="W260" s="80">
        <v>730678</v>
      </c>
    </row>
    <row r="261" spans="1:23" ht="15.6" hidden="1" x14ac:dyDescent="0.3">
      <c r="A261" s="158" t="s">
        <v>1804</v>
      </c>
      <c r="B261" s="69">
        <v>3011821</v>
      </c>
      <c r="C261" s="69" t="s">
        <v>1424</v>
      </c>
      <c r="D261" s="69">
        <v>0</v>
      </c>
      <c r="E261" s="70" t="s">
        <v>472</v>
      </c>
      <c r="F261" s="67" t="s">
        <v>1643</v>
      </c>
      <c r="G261" s="71">
        <v>35431</v>
      </c>
      <c r="H261" s="119">
        <v>44196</v>
      </c>
      <c r="I261" s="133">
        <v>8836829.5099999998</v>
      </c>
      <c r="J261" s="134">
        <v>1263298.1299999999</v>
      </c>
      <c r="K261" s="131"/>
      <c r="L261" s="74">
        <v>0.2331</v>
      </c>
      <c r="M261" s="75">
        <v>290590</v>
      </c>
      <c r="N261" s="76">
        <v>14</v>
      </c>
      <c r="O261" s="76">
        <v>0</v>
      </c>
      <c r="P261" s="83">
        <v>294619</v>
      </c>
      <c r="Q261" s="83">
        <v>952014</v>
      </c>
      <c r="R261" s="67" t="s">
        <v>1628</v>
      </c>
      <c r="S261" s="68">
        <v>899999114</v>
      </c>
      <c r="T261" s="77"/>
      <c r="U261" s="78"/>
      <c r="V261" s="63"/>
      <c r="W261" s="80">
        <v>916417</v>
      </c>
    </row>
    <row r="262" spans="1:23" ht="15.6" hidden="1" x14ac:dyDescent="0.3">
      <c r="A262" s="158" t="s">
        <v>985</v>
      </c>
      <c r="B262" s="69">
        <v>20161316</v>
      </c>
      <c r="C262" s="69" t="s">
        <v>986</v>
      </c>
      <c r="D262" s="69">
        <v>0</v>
      </c>
      <c r="E262" s="70" t="s">
        <v>472</v>
      </c>
      <c r="F262" s="67" t="s">
        <v>1643</v>
      </c>
      <c r="G262" s="71">
        <v>73815</v>
      </c>
      <c r="H262" s="119">
        <v>44196</v>
      </c>
      <c r="I262" s="133">
        <v>5297342.04</v>
      </c>
      <c r="J262" s="134">
        <v>757299.01</v>
      </c>
      <c r="K262" s="125"/>
      <c r="L262" s="74">
        <v>0.1244</v>
      </c>
      <c r="M262" s="75">
        <v>65140</v>
      </c>
      <c r="N262" s="76">
        <v>14</v>
      </c>
      <c r="O262" s="76">
        <v>0</v>
      </c>
      <c r="P262" s="83">
        <v>188445</v>
      </c>
      <c r="Q262" s="83">
        <v>1169054</v>
      </c>
      <c r="R262" s="67" t="s">
        <v>1628</v>
      </c>
      <c r="S262" s="68">
        <v>899999114</v>
      </c>
      <c r="T262" s="77"/>
      <c r="U262" s="78"/>
      <c r="V262" s="81"/>
      <c r="W262" s="80">
        <v>1029382</v>
      </c>
    </row>
    <row r="263" spans="1:23" ht="15.6" hidden="1" x14ac:dyDescent="0.3">
      <c r="A263" s="158" t="s">
        <v>1425</v>
      </c>
      <c r="B263" s="69">
        <v>17008660</v>
      </c>
      <c r="C263" s="69" t="s">
        <v>1426</v>
      </c>
      <c r="D263" s="69">
        <v>0</v>
      </c>
      <c r="E263" s="70" t="s">
        <v>21</v>
      </c>
      <c r="F263" s="67" t="s">
        <v>1643</v>
      </c>
      <c r="G263" s="71">
        <v>35796</v>
      </c>
      <c r="H263" s="119">
        <v>44196</v>
      </c>
      <c r="I263" s="133">
        <v>8203159.9800000004</v>
      </c>
      <c r="J263" s="134">
        <v>1172709.81</v>
      </c>
      <c r="K263" s="125"/>
      <c r="L263" s="74">
        <v>0.29909999999999998</v>
      </c>
      <c r="M263" s="75">
        <v>151722</v>
      </c>
      <c r="N263" s="76">
        <v>14</v>
      </c>
      <c r="O263" s="76">
        <v>0</v>
      </c>
      <c r="P263" s="83">
        <v>166682</v>
      </c>
      <c r="Q263" s="83">
        <v>862807</v>
      </c>
      <c r="R263" s="67" t="s">
        <v>1628</v>
      </c>
      <c r="S263" s="68">
        <v>899999114</v>
      </c>
      <c r="T263" s="77">
        <v>32401935</v>
      </c>
      <c r="U263" s="78" t="s">
        <v>1630</v>
      </c>
      <c r="V263" s="81"/>
      <c r="W263" s="80">
        <v>662985</v>
      </c>
    </row>
    <row r="264" spans="1:23" ht="15.6" hidden="1" x14ac:dyDescent="0.3">
      <c r="A264" s="158" t="s">
        <v>716</v>
      </c>
      <c r="B264" s="69">
        <v>41314945</v>
      </c>
      <c r="C264" s="69" t="s">
        <v>717</v>
      </c>
      <c r="D264" s="69">
        <v>0</v>
      </c>
      <c r="E264" s="70" t="s">
        <v>19</v>
      </c>
      <c r="F264" s="67" t="s">
        <v>1643</v>
      </c>
      <c r="G264" s="71">
        <v>36586</v>
      </c>
      <c r="H264" s="119">
        <v>44196</v>
      </c>
      <c r="I264" s="133">
        <v>9288515.5600000005</v>
      </c>
      <c r="J264" s="134">
        <v>1327870.3999999999</v>
      </c>
      <c r="K264" s="125"/>
      <c r="L264" s="74">
        <v>6.0900000000000003E-2</v>
      </c>
      <c r="M264" s="75">
        <v>132354</v>
      </c>
      <c r="N264" s="76">
        <v>14</v>
      </c>
      <c r="O264" s="76">
        <v>0</v>
      </c>
      <c r="P264" s="83">
        <v>1012501</v>
      </c>
      <c r="Q264" s="83">
        <v>1161879</v>
      </c>
      <c r="R264" s="67" t="s">
        <v>1628</v>
      </c>
      <c r="S264" s="68">
        <v>899999114</v>
      </c>
      <c r="T264" s="77"/>
      <c r="U264" s="78"/>
      <c r="V264" s="81"/>
      <c r="W264" s="80">
        <v>3686956</v>
      </c>
    </row>
    <row r="265" spans="1:23" ht="15.6" hidden="1" x14ac:dyDescent="0.3">
      <c r="A265" s="158" t="s">
        <v>1805</v>
      </c>
      <c r="B265" s="69">
        <v>17135950</v>
      </c>
      <c r="C265" s="69" t="s">
        <v>1430</v>
      </c>
      <c r="D265" s="69">
        <v>0</v>
      </c>
      <c r="E265" s="70" t="s">
        <v>21</v>
      </c>
      <c r="F265" s="67" t="s">
        <v>1643</v>
      </c>
      <c r="G265" s="71">
        <v>36831</v>
      </c>
      <c r="H265" s="119">
        <v>44196</v>
      </c>
      <c r="I265" s="133">
        <v>2514112.94</v>
      </c>
      <c r="J265" s="134">
        <v>359413.31</v>
      </c>
      <c r="K265" s="125"/>
      <c r="L265" s="74">
        <v>0.23749999999999999</v>
      </c>
      <c r="M265" s="75">
        <v>176543</v>
      </c>
      <c r="N265" s="76">
        <v>14</v>
      </c>
      <c r="O265" s="76">
        <v>0</v>
      </c>
      <c r="P265" s="83">
        <v>347637</v>
      </c>
      <c r="Q265" s="83">
        <v>848299</v>
      </c>
      <c r="R265" s="67" t="s">
        <v>1628</v>
      </c>
      <c r="S265" s="68">
        <v>899999114</v>
      </c>
      <c r="T265" s="77">
        <v>41386340</v>
      </c>
      <c r="U265" s="78" t="s">
        <v>1774</v>
      </c>
      <c r="V265" s="81"/>
      <c r="W265" s="80">
        <v>255894</v>
      </c>
    </row>
    <row r="266" spans="1:23" ht="15.6" hidden="1" x14ac:dyDescent="0.3">
      <c r="A266" s="158" t="s">
        <v>1806</v>
      </c>
      <c r="B266" s="69">
        <v>41339522</v>
      </c>
      <c r="C266" s="69" t="s">
        <v>1432</v>
      </c>
      <c r="D266" s="69">
        <v>0</v>
      </c>
      <c r="E266" s="70" t="s">
        <v>592</v>
      </c>
      <c r="F266" s="67" t="s">
        <v>1643</v>
      </c>
      <c r="G266" s="71">
        <v>37041</v>
      </c>
      <c r="H266" s="119">
        <v>44196</v>
      </c>
      <c r="I266" s="133">
        <v>18407524.739999998</v>
      </c>
      <c r="J266" s="134">
        <v>2631508.4500000002</v>
      </c>
      <c r="K266" s="125"/>
      <c r="L266" s="74">
        <v>0.30280000000000001</v>
      </c>
      <c r="M266" s="75">
        <v>572074</v>
      </c>
      <c r="N266" s="76">
        <v>14</v>
      </c>
      <c r="O266" s="76">
        <v>0</v>
      </c>
      <c r="P266" s="83">
        <v>1889281</v>
      </c>
      <c r="Q266" s="76">
        <v>0</v>
      </c>
      <c r="R266" s="67" t="s">
        <v>1628</v>
      </c>
      <c r="S266" s="68">
        <v>899999114</v>
      </c>
      <c r="T266" s="77"/>
      <c r="U266" s="78"/>
      <c r="V266" s="81"/>
      <c r="W266" s="80">
        <v>1469530</v>
      </c>
    </row>
    <row r="267" spans="1:23" ht="15.6" hidden="1" x14ac:dyDescent="0.3">
      <c r="A267" s="158" t="s">
        <v>1433</v>
      </c>
      <c r="B267" s="69">
        <v>17178348</v>
      </c>
      <c r="C267" s="69" t="s">
        <v>1434</v>
      </c>
      <c r="D267" s="69">
        <v>0</v>
      </c>
      <c r="E267" s="70" t="s">
        <v>472</v>
      </c>
      <c r="F267" s="67" t="s">
        <v>1643</v>
      </c>
      <c r="G267" s="71">
        <v>37100</v>
      </c>
      <c r="H267" s="119">
        <v>44196</v>
      </c>
      <c r="I267" s="133">
        <v>22147862.780000001</v>
      </c>
      <c r="J267" s="134">
        <v>3166220.82</v>
      </c>
      <c r="K267" s="125"/>
      <c r="L267" s="74">
        <v>0.31019999999999998</v>
      </c>
      <c r="M267" s="75">
        <v>613418</v>
      </c>
      <c r="N267" s="76">
        <v>14</v>
      </c>
      <c r="O267" s="76">
        <v>0</v>
      </c>
      <c r="P267" s="83">
        <v>831445</v>
      </c>
      <c r="Q267" s="83">
        <v>1955365</v>
      </c>
      <c r="R267" s="67" t="s">
        <v>1628</v>
      </c>
      <c r="S267" s="68">
        <v>899999114</v>
      </c>
      <c r="T267" s="77"/>
      <c r="U267" s="78"/>
      <c r="V267" s="81"/>
      <c r="W267" s="80">
        <v>1725953</v>
      </c>
    </row>
    <row r="268" spans="1:23" ht="15.6" hidden="1" x14ac:dyDescent="0.3">
      <c r="A268" s="158" t="s">
        <v>1807</v>
      </c>
      <c r="B268" s="69">
        <v>41448731</v>
      </c>
      <c r="C268" s="69" t="s">
        <v>1436</v>
      </c>
      <c r="D268" s="69">
        <v>0</v>
      </c>
      <c r="E268" s="70" t="s">
        <v>21</v>
      </c>
      <c r="F268" s="67" t="s">
        <v>1643</v>
      </c>
      <c r="G268" s="71">
        <v>38534</v>
      </c>
      <c r="H268" s="119">
        <v>44196</v>
      </c>
      <c r="I268" s="133">
        <v>2430656.12</v>
      </c>
      <c r="J268" s="134">
        <v>347482.47</v>
      </c>
      <c r="K268" s="125"/>
      <c r="L268" s="74">
        <v>0.1118</v>
      </c>
      <c r="M268" s="75">
        <v>185376</v>
      </c>
      <c r="N268" s="76">
        <v>14</v>
      </c>
      <c r="O268" s="76">
        <v>0</v>
      </c>
      <c r="P268" s="83">
        <v>194367</v>
      </c>
      <c r="Q268" s="83">
        <v>1562706</v>
      </c>
      <c r="R268" s="67" t="s">
        <v>1628</v>
      </c>
      <c r="S268" s="68">
        <v>899999114</v>
      </c>
      <c r="T268" s="77"/>
      <c r="U268" s="78"/>
      <c r="V268" s="81"/>
      <c r="W268" s="80">
        <v>525558</v>
      </c>
    </row>
    <row r="269" spans="1:23" ht="15.6" hidden="1" x14ac:dyDescent="0.3">
      <c r="A269" s="158" t="s">
        <v>1437</v>
      </c>
      <c r="B269" s="69">
        <v>41491714</v>
      </c>
      <c r="C269" s="69" t="s">
        <v>1438</v>
      </c>
      <c r="D269" s="69">
        <v>0</v>
      </c>
      <c r="E269" s="70" t="s">
        <v>722</v>
      </c>
      <c r="F269" s="67" t="s">
        <v>1643</v>
      </c>
      <c r="G269" s="71">
        <v>38749</v>
      </c>
      <c r="H269" s="119">
        <v>44196</v>
      </c>
      <c r="I269" s="133">
        <v>3368713.75</v>
      </c>
      <c r="J269" s="134">
        <v>481585.59</v>
      </c>
      <c r="K269" s="125"/>
      <c r="L269" s="74">
        <v>0.14419999999999999</v>
      </c>
      <c r="M269" s="75">
        <v>245759</v>
      </c>
      <c r="N269" s="76">
        <v>14</v>
      </c>
      <c r="O269" s="76">
        <v>0</v>
      </c>
      <c r="P269" s="83">
        <v>318092</v>
      </c>
      <c r="Q269" s="83">
        <v>1923171</v>
      </c>
      <c r="R269" s="67" t="s">
        <v>1628</v>
      </c>
      <c r="S269" s="68">
        <v>899999114</v>
      </c>
      <c r="T269" s="77"/>
      <c r="U269" s="78"/>
      <c r="V269" s="81"/>
      <c r="W269" s="80">
        <v>564726</v>
      </c>
    </row>
    <row r="270" spans="1:23" ht="15.6" hidden="1" x14ac:dyDescent="0.3">
      <c r="A270" s="158" t="s">
        <v>1439</v>
      </c>
      <c r="B270" s="69">
        <v>17182518</v>
      </c>
      <c r="C270" s="69" t="s">
        <v>1440</v>
      </c>
      <c r="D270" s="69">
        <v>0</v>
      </c>
      <c r="E270" s="70" t="s">
        <v>21</v>
      </c>
      <c r="F270" s="67" t="s">
        <v>1643</v>
      </c>
      <c r="G270" s="71">
        <v>38800</v>
      </c>
      <c r="H270" s="119">
        <v>44196</v>
      </c>
      <c r="I270" s="133">
        <v>15514934.07</v>
      </c>
      <c r="J270" s="134">
        <v>2217988.6</v>
      </c>
      <c r="K270" s="125"/>
      <c r="L270" s="74">
        <v>9.5000000000000001E-2</v>
      </c>
      <c r="M270" s="75">
        <v>359298</v>
      </c>
      <c r="N270" s="76">
        <v>14</v>
      </c>
      <c r="O270" s="76">
        <v>0</v>
      </c>
      <c r="P270" s="83">
        <v>1671254</v>
      </c>
      <c r="Q270" s="83">
        <v>2110827</v>
      </c>
      <c r="R270" s="67" t="s">
        <v>1628</v>
      </c>
      <c r="S270" s="68">
        <v>899999114</v>
      </c>
      <c r="T270" s="77"/>
      <c r="U270" s="78"/>
      <c r="V270" s="81"/>
      <c r="W270" s="80">
        <v>3947892</v>
      </c>
    </row>
    <row r="271" spans="1:23" ht="15.6" hidden="1" x14ac:dyDescent="0.3">
      <c r="A271" s="158" t="s">
        <v>1441</v>
      </c>
      <c r="B271" s="69">
        <v>11292350</v>
      </c>
      <c r="C271" s="69" t="s">
        <v>1442</v>
      </c>
      <c r="D271" s="69">
        <v>0</v>
      </c>
      <c r="E271" s="70" t="s">
        <v>472</v>
      </c>
      <c r="F271" s="67" t="s">
        <v>1643</v>
      </c>
      <c r="G271" s="71">
        <v>38838</v>
      </c>
      <c r="H271" s="119">
        <v>44196</v>
      </c>
      <c r="I271" s="133">
        <v>4787228.5599999996</v>
      </c>
      <c r="J271" s="134">
        <v>684374.06</v>
      </c>
      <c r="K271" s="125"/>
      <c r="L271" s="74">
        <v>7.6600000000000001E-2</v>
      </c>
      <c r="M271" s="75">
        <v>201121</v>
      </c>
      <c r="N271" s="76">
        <v>14</v>
      </c>
      <c r="O271" s="76">
        <v>0</v>
      </c>
      <c r="P271" s="83">
        <v>727776</v>
      </c>
      <c r="Q271" s="83">
        <v>2445962</v>
      </c>
      <c r="R271" s="67" t="s">
        <v>1628</v>
      </c>
      <c r="S271" s="68">
        <v>899999114</v>
      </c>
      <c r="T271" s="77"/>
      <c r="U271" s="78"/>
      <c r="V271" s="81"/>
      <c r="W271" s="80">
        <v>1510756</v>
      </c>
    </row>
    <row r="272" spans="1:23" ht="15.6" hidden="1" x14ac:dyDescent="0.3">
      <c r="A272" s="158" t="s">
        <v>1808</v>
      </c>
      <c r="B272" s="69">
        <v>41443975</v>
      </c>
      <c r="C272" s="69" t="s">
        <v>1444</v>
      </c>
      <c r="D272" s="69">
        <v>0</v>
      </c>
      <c r="E272" s="70" t="s">
        <v>21</v>
      </c>
      <c r="F272" s="67" t="s">
        <v>1643</v>
      </c>
      <c r="G272" s="71">
        <v>38867</v>
      </c>
      <c r="H272" s="119">
        <v>44196</v>
      </c>
      <c r="I272" s="133">
        <v>7583166.2400000002</v>
      </c>
      <c r="J272" s="134">
        <v>1084076.56</v>
      </c>
      <c r="K272" s="125"/>
      <c r="L272" s="74">
        <v>0.2364</v>
      </c>
      <c r="M272" s="75">
        <v>417407</v>
      </c>
      <c r="N272" s="76">
        <v>14</v>
      </c>
      <c r="O272" s="76">
        <v>0</v>
      </c>
      <c r="P272" s="83">
        <v>417707</v>
      </c>
      <c r="Q272" s="83">
        <v>2000638</v>
      </c>
      <c r="R272" s="67" t="s">
        <v>1628</v>
      </c>
      <c r="S272" s="68">
        <v>899999114</v>
      </c>
      <c r="T272" s="77"/>
      <c r="U272" s="78"/>
      <c r="V272" s="81"/>
      <c r="W272" s="80">
        <v>775429</v>
      </c>
    </row>
    <row r="273" spans="1:23" ht="15.6" hidden="1" x14ac:dyDescent="0.3">
      <c r="A273" s="158" t="s">
        <v>1445</v>
      </c>
      <c r="B273" s="69">
        <v>41485099</v>
      </c>
      <c r="C273" s="69" t="s">
        <v>1446</v>
      </c>
      <c r="D273" s="69">
        <v>0</v>
      </c>
      <c r="E273" s="70" t="s">
        <v>19</v>
      </c>
      <c r="F273" s="67" t="s">
        <v>1643</v>
      </c>
      <c r="G273" s="71">
        <v>39037</v>
      </c>
      <c r="H273" s="119"/>
      <c r="I273" s="133">
        <v>13224879.060000001</v>
      </c>
      <c r="J273" s="134">
        <v>1890606.23</v>
      </c>
      <c r="K273" s="125"/>
      <c r="L273" s="74">
        <v>0.25059999999999999</v>
      </c>
      <c r="M273" s="75">
        <v>523218</v>
      </c>
      <c r="N273" s="76">
        <v>13</v>
      </c>
      <c r="O273" s="76"/>
      <c r="P273" s="76"/>
      <c r="Q273" s="76"/>
      <c r="R273" s="67" t="s">
        <v>1628</v>
      </c>
      <c r="S273" s="68">
        <v>899999114</v>
      </c>
      <c r="T273" s="77"/>
      <c r="U273" s="78"/>
      <c r="V273" s="81"/>
      <c r="W273" s="80">
        <v>1275703</v>
      </c>
    </row>
    <row r="274" spans="1:23" ht="15.6" hidden="1" x14ac:dyDescent="0.3">
      <c r="A274" s="158" t="s">
        <v>1809</v>
      </c>
      <c r="B274" s="69">
        <v>17174648</v>
      </c>
      <c r="C274" s="69" t="s">
        <v>746</v>
      </c>
      <c r="D274" s="69">
        <v>0</v>
      </c>
      <c r="E274" s="70" t="s">
        <v>21</v>
      </c>
      <c r="F274" s="67" t="s">
        <v>1643</v>
      </c>
      <c r="G274" s="71">
        <v>39052</v>
      </c>
      <c r="H274" s="119">
        <v>44196</v>
      </c>
      <c r="I274" s="133">
        <v>1090062.28</v>
      </c>
      <c r="J274" s="134">
        <v>155833.45000000001</v>
      </c>
      <c r="K274" s="125"/>
      <c r="L274" s="74">
        <v>2.4E-2</v>
      </c>
      <c r="M274" s="75">
        <v>50624</v>
      </c>
      <c r="N274" s="76">
        <v>14</v>
      </c>
      <c r="O274" s="76">
        <v>0</v>
      </c>
      <c r="P274" s="83">
        <v>464786</v>
      </c>
      <c r="Q274" s="83">
        <v>4178696</v>
      </c>
      <c r="R274" s="67" t="s">
        <v>1628</v>
      </c>
      <c r="S274" s="68">
        <v>899999114</v>
      </c>
      <c r="T274" s="77"/>
      <c r="U274" s="78"/>
      <c r="V274" s="81"/>
      <c r="W274" s="80">
        <v>1097941</v>
      </c>
    </row>
    <row r="275" spans="1:23" ht="15.6" hidden="1" x14ac:dyDescent="0.3">
      <c r="A275" s="158" t="s">
        <v>1449</v>
      </c>
      <c r="B275" s="69">
        <v>3013490</v>
      </c>
      <c r="C275" s="69" t="s">
        <v>1450</v>
      </c>
      <c r="D275" s="69">
        <v>0</v>
      </c>
      <c r="E275" s="70" t="s">
        <v>19</v>
      </c>
      <c r="F275" s="67" t="s">
        <v>1643</v>
      </c>
      <c r="G275" s="71">
        <v>39059</v>
      </c>
      <c r="H275" s="119">
        <v>44196</v>
      </c>
      <c r="I275" s="133">
        <v>13952710.529999999</v>
      </c>
      <c r="J275" s="134">
        <v>1994655.78</v>
      </c>
      <c r="K275" s="125"/>
      <c r="L275" s="74">
        <v>0.17979999999999999</v>
      </c>
      <c r="M275" s="75">
        <v>387336</v>
      </c>
      <c r="N275" s="76">
        <v>14</v>
      </c>
      <c r="O275" s="76">
        <v>0</v>
      </c>
      <c r="P275" s="83">
        <v>903674</v>
      </c>
      <c r="Q275" s="83">
        <v>1657623</v>
      </c>
      <c r="R275" s="67" t="s">
        <v>1628</v>
      </c>
      <c r="S275" s="68">
        <v>899999114</v>
      </c>
      <c r="T275" s="77"/>
      <c r="U275" s="78"/>
      <c r="V275" s="81"/>
      <c r="W275" s="80">
        <v>1875892</v>
      </c>
    </row>
    <row r="276" spans="1:23" ht="15.6" hidden="1" x14ac:dyDescent="0.3">
      <c r="A276" s="158" t="s">
        <v>1451</v>
      </c>
      <c r="B276" s="69">
        <v>41549095</v>
      </c>
      <c r="C276" s="69" t="s">
        <v>1452</v>
      </c>
      <c r="D276" s="69">
        <v>0</v>
      </c>
      <c r="E276" s="70" t="s">
        <v>472</v>
      </c>
      <c r="F276" s="67" t="s">
        <v>1643</v>
      </c>
      <c r="G276" s="71">
        <v>39173</v>
      </c>
      <c r="H276" s="119">
        <v>44196</v>
      </c>
      <c r="I276" s="133">
        <v>1681106.18</v>
      </c>
      <c r="J276" s="134">
        <v>240328.08</v>
      </c>
      <c r="K276" s="125"/>
      <c r="L276" s="74">
        <v>5.8000000000000003E-2</v>
      </c>
      <c r="M276" s="75">
        <v>92331</v>
      </c>
      <c r="N276" s="76">
        <v>13</v>
      </c>
      <c r="O276" s="76">
        <v>0</v>
      </c>
      <c r="P276" s="83">
        <v>162943</v>
      </c>
      <c r="Q276" s="83">
        <v>1699821</v>
      </c>
      <c r="R276" s="67" t="s">
        <v>1628</v>
      </c>
      <c r="S276" s="68">
        <v>899999114</v>
      </c>
      <c r="T276" s="77"/>
      <c r="U276" s="78"/>
      <c r="V276" s="81"/>
      <c r="W276" s="80">
        <v>700658</v>
      </c>
    </row>
    <row r="277" spans="1:23" ht="15.6" hidden="1" x14ac:dyDescent="0.3">
      <c r="A277" s="158" t="s">
        <v>771</v>
      </c>
      <c r="B277" s="69">
        <v>17196930</v>
      </c>
      <c r="C277" s="69" t="s">
        <v>772</v>
      </c>
      <c r="D277" s="69">
        <v>0</v>
      </c>
      <c r="E277" s="70" t="s">
        <v>472</v>
      </c>
      <c r="F277" s="67" t="s">
        <v>1643</v>
      </c>
      <c r="G277" s="71">
        <v>39753</v>
      </c>
      <c r="H277" s="119"/>
      <c r="I277" s="133">
        <v>6040920.0199999996</v>
      </c>
      <c r="J277" s="134">
        <v>863599.66</v>
      </c>
      <c r="K277" s="125"/>
      <c r="L277" s="74">
        <v>0.1381</v>
      </c>
      <c r="M277" s="75">
        <v>248632</v>
      </c>
      <c r="N277" s="76">
        <v>14</v>
      </c>
      <c r="O277" s="76">
        <v>0</v>
      </c>
      <c r="P277" s="83">
        <v>473106</v>
      </c>
      <c r="Q277" s="83">
        <v>1570233</v>
      </c>
      <c r="R277" s="67" t="s">
        <v>1628</v>
      </c>
      <c r="S277" s="68">
        <v>899999114</v>
      </c>
      <c r="T277" s="77">
        <v>41500005</v>
      </c>
      <c r="U277" s="78" t="s">
        <v>1788</v>
      </c>
      <c r="V277" s="81"/>
      <c r="W277" s="80">
        <v>1057422</v>
      </c>
    </row>
    <row r="278" spans="1:23" ht="15.6" hidden="1" x14ac:dyDescent="0.3">
      <c r="A278" s="158" t="s">
        <v>1455</v>
      </c>
      <c r="B278" s="69">
        <v>41621038</v>
      </c>
      <c r="C278" s="69" t="s">
        <v>1456</v>
      </c>
      <c r="D278" s="69">
        <v>0</v>
      </c>
      <c r="E278" s="70" t="s">
        <v>472</v>
      </c>
      <c r="F278" s="67" t="s">
        <v>1643</v>
      </c>
      <c r="G278" s="71">
        <v>40120</v>
      </c>
      <c r="H278" s="119"/>
      <c r="I278" s="133">
        <v>3732272.86</v>
      </c>
      <c r="J278" s="134">
        <v>533559.38</v>
      </c>
      <c r="K278" s="125"/>
      <c r="L278" s="74">
        <v>0.1137</v>
      </c>
      <c r="M278" s="75">
        <v>225638</v>
      </c>
      <c r="N278" s="76">
        <v>13</v>
      </c>
      <c r="O278" s="76">
        <v>0</v>
      </c>
      <c r="P278" s="83">
        <v>399663</v>
      </c>
      <c r="Q278" s="83">
        <v>2139229</v>
      </c>
      <c r="R278" s="67" t="s">
        <v>1628</v>
      </c>
      <c r="S278" s="68">
        <v>899999114</v>
      </c>
      <c r="T278" s="77"/>
      <c r="U278" s="78"/>
      <c r="V278" s="81"/>
      <c r="W278" s="80">
        <v>793509</v>
      </c>
    </row>
    <row r="279" spans="1:23" ht="15.6" hidden="1" x14ac:dyDescent="0.3">
      <c r="A279" s="158" t="s">
        <v>1457</v>
      </c>
      <c r="B279" s="69">
        <v>3226873</v>
      </c>
      <c r="C279" s="69" t="s">
        <v>1458</v>
      </c>
      <c r="D279" s="69">
        <v>0</v>
      </c>
      <c r="E279" s="70" t="s">
        <v>21</v>
      </c>
      <c r="F279" s="67" t="s">
        <v>1643</v>
      </c>
      <c r="G279" s="71">
        <v>40147</v>
      </c>
      <c r="H279" s="119"/>
      <c r="I279" s="133">
        <v>722852.68</v>
      </c>
      <c r="J279" s="134">
        <v>103337.79</v>
      </c>
      <c r="K279" s="125"/>
      <c r="L279" s="74">
        <v>1.7500000000000002E-2</v>
      </c>
      <c r="M279" s="75">
        <v>60559</v>
      </c>
      <c r="N279" s="76">
        <v>13</v>
      </c>
      <c r="O279" s="76">
        <v>0</v>
      </c>
      <c r="P279" s="83">
        <v>537877</v>
      </c>
      <c r="Q279" s="83">
        <v>3331747</v>
      </c>
      <c r="R279" s="67" t="s">
        <v>1628</v>
      </c>
      <c r="S279" s="68">
        <v>899999114</v>
      </c>
      <c r="T279" s="77"/>
      <c r="U279" s="78"/>
      <c r="V279" s="81"/>
      <c r="W279" s="80">
        <v>998506</v>
      </c>
    </row>
    <row r="280" spans="1:23" ht="15.6" hidden="1" x14ac:dyDescent="0.3">
      <c r="A280" s="158" t="s">
        <v>1460</v>
      </c>
      <c r="B280" s="69">
        <v>17110172</v>
      </c>
      <c r="C280" s="69" t="s">
        <v>1461</v>
      </c>
      <c r="D280" s="69">
        <v>0</v>
      </c>
      <c r="E280" s="70" t="s">
        <v>722</v>
      </c>
      <c r="F280" s="67" t="s">
        <v>1643</v>
      </c>
      <c r="G280" s="71">
        <v>40210</v>
      </c>
      <c r="H280" s="119"/>
      <c r="I280" s="133">
        <v>257890.07</v>
      </c>
      <c r="J280" s="134">
        <v>36867.53</v>
      </c>
      <c r="K280" s="125"/>
      <c r="L280" s="74">
        <v>2.53E-2</v>
      </c>
      <c r="M280" s="75">
        <v>44442</v>
      </c>
      <c r="N280" s="76">
        <v>14</v>
      </c>
      <c r="O280" s="76">
        <v>0</v>
      </c>
      <c r="P280" s="83">
        <v>121072</v>
      </c>
      <c r="Q280" s="83">
        <v>1609133</v>
      </c>
      <c r="R280" s="67" t="s">
        <v>1628</v>
      </c>
      <c r="S280" s="68">
        <v>899999114</v>
      </c>
      <c r="T280" s="77"/>
      <c r="U280" s="78"/>
      <c r="V280" s="81"/>
      <c r="W280" s="80">
        <v>246407</v>
      </c>
    </row>
    <row r="281" spans="1:23" ht="15.6" hidden="1" x14ac:dyDescent="0.3">
      <c r="A281" s="158" t="s">
        <v>1796</v>
      </c>
      <c r="B281" s="69">
        <v>48483</v>
      </c>
      <c r="C281" s="69" t="s">
        <v>1404</v>
      </c>
      <c r="D281" s="69">
        <v>0</v>
      </c>
      <c r="E281" s="70" t="s">
        <v>472</v>
      </c>
      <c r="F281" s="67" t="s">
        <v>1643</v>
      </c>
      <c r="G281" s="71">
        <v>30317</v>
      </c>
      <c r="H281" s="119"/>
      <c r="I281" s="133">
        <v>6640975.2300000004</v>
      </c>
      <c r="J281" s="134">
        <v>949382.53</v>
      </c>
      <c r="K281" s="125"/>
      <c r="L281" s="74">
        <v>0.1479</v>
      </c>
      <c r="M281" s="85"/>
      <c r="N281" s="76">
        <v>14</v>
      </c>
      <c r="O281" s="76"/>
      <c r="P281" s="76"/>
      <c r="Q281" s="76"/>
      <c r="R281" s="67" t="s">
        <v>1631</v>
      </c>
      <c r="S281" s="68">
        <v>899999115</v>
      </c>
      <c r="T281" s="77">
        <v>20119888</v>
      </c>
      <c r="U281" s="78" t="s">
        <v>1771</v>
      </c>
      <c r="V281" s="81"/>
      <c r="W281" s="80">
        <v>1085432</v>
      </c>
    </row>
    <row r="282" spans="1:23" ht="15.6" hidden="1" x14ac:dyDescent="0.3">
      <c r="A282" s="158" t="s">
        <v>1462</v>
      </c>
      <c r="B282" s="69">
        <v>17161853</v>
      </c>
      <c r="C282" s="69" t="s">
        <v>1463</v>
      </c>
      <c r="D282" s="69">
        <v>0</v>
      </c>
      <c r="E282" s="70" t="s">
        <v>19</v>
      </c>
      <c r="F282" s="67" t="s">
        <v>1643</v>
      </c>
      <c r="G282" s="71">
        <v>37225</v>
      </c>
      <c r="H282" s="119"/>
      <c r="I282" s="135">
        <v>10313155.92</v>
      </c>
      <c r="J282" s="134">
        <v>1474351.24</v>
      </c>
      <c r="K282" s="125"/>
      <c r="L282" s="74">
        <v>0.24429999999999999</v>
      </c>
      <c r="M282" s="75">
        <v>309265</v>
      </c>
      <c r="N282" s="76">
        <v>14</v>
      </c>
      <c r="O282" s="76"/>
      <c r="P282" s="76"/>
      <c r="Q282" s="76"/>
      <c r="R282" s="67" t="s">
        <v>1631</v>
      </c>
      <c r="S282" s="68">
        <v>899999115</v>
      </c>
      <c r="T282" s="77"/>
      <c r="U282" s="78"/>
      <c r="V282" s="81"/>
      <c r="W282" s="80">
        <v>1020486</v>
      </c>
    </row>
    <row r="283" spans="1:23" ht="15.6" hidden="1" x14ac:dyDescent="0.3">
      <c r="A283" s="158" t="s">
        <v>1464</v>
      </c>
      <c r="B283" s="69">
        <v>19091072</v>
      </c>
      <c r="C283" s="69" t="s">
        <v>1465</v>
      </c>
      <c r="D283" s="69">
        <v>0</v>
      </c>
      <c r="E283" s="70" t="s">
        <v>592</v>
      </c>
      <c r="F283" s="67" t="s">
        <v>1643</v>
      </c>
      <c r="G283" s="71">
        <v>39028</v>
      </c>
      <c r="H283" s="119"/>
      <c r="I283" s="135">
        <v>6108094.3300000001</v>
      </c>
      <c r="J283" s="134">
        <v>873202.78</v>
      </c>
      <c r="K283" s="125"/>
      <c r="L283" s="74">
        <v>0.16039999999999999</v>
      </c>
      <c r="M283" s="75">
        <v>382044</v>
      </c>
      <c r="N283" s="76">
        <v>14</v>
      </c>
      <c r="O283" s="76"/>
      <c r="P283" s="76"/>
      <c r="Q283" s="76"/>
      <c r="R283" s="67" t="s">
        <v>1631</v>
      </c>
      <c r="S283" s="68">
        <v>899999115</v>
      </c>
      <c r="T283" s="77"/>
      <c r="U283" s="78"/>
      <c r="V283" s="81"/>
      <c r="W283" s="80">
        <v>920535</v>
      </c>
    </row>
    <row r="284" spans="1:23" ht="15.6" hidden="1" x14ac:dyDescent="0.3">
      <c r="A284" s="158" t="s">
        <v>1797</v>
      </c>
      <c r="B284" s="69">
        <v>2904614</v>
      </c>
      <c r="C284" s="69" t="s">
        <v>1467</v>
      </c>
      <c r="D284" s="69">
        <v>0</v>
      </c>
      <c r="E284" s="70" t="s">
        <v>472</v>
      </c>
      <c r="F284" s="67" t="s">
        <v>1643</v>
      </c>
      <c r="G284" s="71">
        <v>33572</v>
      </c>
      <c r="H284" s="119">
        <v>44944</v>
      </c>
      <c r="I284" s="133">
        <v>7086094.8200000003</v>
      </c>
      <c r="J284" s="133">
        <v>1013016.07</v>
      </c>
      <c r="K284" s="73"/>
      <c r="L284" s="74">
        <v>0.18090000000000001</v>
      </c>
      <c r="M284" s="75">
        <v>44291</v>
      </c>
      <c r="N284" s="76">
        <v>14</v>
      </c>
      <c r="O284" s="76"/>
      <c r="P284" s="76"/>
      <c r="Q284" s="76"/>
      <c r="R284" s="67" t="s">
        <v>1632</v>
      </c>
      <c r="S284" s="68">
        <v>899999230</v>
      </c>
      <c r="T284" s="77">
        <v>20321820</v>
      </c>
      <c r="U284" s="78" t="s">
        <v>1775</v>
      </c>
      <c r="V284" s="73"/>
      <c r="W284" s="80">
        <v>946907</v>
      </c>
    </row>
    <row r="285" spans="1:23" ht="15.6" hidden="1" x14ac:dyDescent="0.3">
      <c r="A285" s="158" t="s">
        <v>1796</v>
      </c>
      <c r="B285" s="69">
        <v>48483</v>
      </c>
      <c r="C285" s="69" t="s">
        <v>1404</v>
      </c>
      <c r="D285" s="69">
        <v>0</v>
      </c>
      <c r="E285" s="70" t="s">
        <v>19</v>
      </c>
      <c r="F285" s="67" t="s">
        <v>1643</v>
      </c>
      <c r="G285" s="71">
        <v>30317</v>
      </c>
      <c r="H285" s="119">
        <v>43621</v>
      </c>
      <c r="I285" s="133">
        <v>6640975.2300000004</v>
      </c>
      <c r="J285" s="133">
        <v>949382.53</v>
      </c>
      <c r="K285" s="73"/>
      <c r="L285" s="74">
        <v>0.1479</v>
      </c>
      <c r="M285" s="85"/>
      <c r="N285" s="76">
        <v>14</v>
      </c>
      <c r="O285" s="76"/>
      <c r="P285" s="76"/>
      <c r="Q285" s="76"/>
      <c r="R285" s="67" t="s">
        <v>1633</v>
      </c>
      <c r="S285" s="68">
        <v>899999318</v>
      </c>
      <c r="T285" s="77">
        <v>20119888</v>
      </c>
      <c r="U285" s="78" t="s">
        <v>1771</v>
      </c>
      <c r="V285" s="73"/>
      <c r="W285" s="80">
        <v>1085432</v>
      </c>
    </row>
    <row r="286" spans="1:23" ht="15.6" hidden="1" x14ac:dyDescent="0.3">
      <c r="A286" s="158" t="s">
        <v>1468</v>
      </c>
      <c r="B286" s="69">
        <v>41454822</v>
      </c>
      <c r="C286" s="69" t="s">
        <v>1469</v>
      </c>
      <c r="D286" s="69">
        <v>0</v>
      </c>
      <c r="E286" s="70" t="s">
        <v>472</v>
      </c>
      <c r="F286" s="67" t="s">
        <v>1643</v>
      </c>
      <c r="G286" s="71">
        <v>38899</v>
      </c>
      <c r="H286" s="119"/>
      <c r="I286" s="133">
        <v>1815765.62</v>
      </c>
      <c r="J286" s="133">
        <v>259578.77</v>
      </c>
      <c r="K286" s="73"/>
      <c r="L286" s="74">
        <v>0.1023</v>
      </c>
      <c r="M286" s="75">
        <v>170795</v>
      </c>
      <c r="N286" s="76">
        <v>14</v>
      </c>
      <c r="O286" s="76"/>
      <c r="P286" s="76"/>
      <c r="Q286" s="76"/>
      <c r="R286" s="67" t="s">
        <v>1634</v>
      </c>
      <c r="S286" s="68">
        <v>899999450</v>
      </c>
      <c r="T286" s="77"/>
      <c r="U286" s="78"/>
      <c r="V286" s="73"/>
      <c r="W286" s="80">
        <v>429065</v>
      </c>
    </row>
    <row r="287" spans="1:23" ht="15.6" hidden="1" x14ac:dyDescent="0.3">
      <c r="A287" s="158" t="s">
        <v>700</v>
      </c>
      <c r="B287" s="69">
        <v>26938972</v>
      </c>
      <c r="C287" s="69" t="s">
        <v>701</v>
      </c>
      <c r="D287" s="69">
        <v>0</v>
      </c>
      <c r="E287" s="70" t="s">
        <v>19</v>
      </c>
      <c r="F287" s="67" t="s">
        <v>1643</v>
      </c>
      <c r="G287" s="71">
        <v>34703</v>
      </c>
      <c r="H287" s="121">
        <v>40543</v>
      </c>
      <c r="I287" s="135">
        <v>5326545.1399999997</v>
      </c>
      <c r="J287" s="134">
        <v>761473.84</v>
      </c>
      <c r="K287" s="125"/>
      <c r="L287" s="74">
        <v>0.121</v>
      </c>
      <c r="M287" s="75">
        <v>44376</v>
      </c>
      <c r="N287" s="76">
        <v>14</v>
      </c>
      <c r="O287" s="76">
        <v>0</v>
      </c>
      <c r="P287" s="83">
        <v>449462</v>
      </c>
      <c r="Q287" s="76">
        <v>0</v>
      </c>
      <c r="R287" s="67" t="s">
        <v>1622</v>
      </c>
      <c r="S287" s="68">
        <v>892399999</v>
      </c>
      <c r="T287" s="77"/>
      <c r="U287" s="78"/>
      <c r="V287" s="81"/>
      <c r="W287" s="80">
        <v>1064141</v>
      </c>
    </row>
    <row r="288" spans="1:23" ht="15.6" hidden="1" x14ac:dyDescent="0.3">
      <c r="A288" s="158" t="s">
        <v>1798</v>
      </c>
      <c r="B288" s="69">
        <v>9129659</v>
      </c>
      <c r="C288" s="69" t="s">
        <v>1384</v>
      </c>
      <c r="D288" s="69">
        <v>0</v>
      </c>
      <c r="E288" s="70" t="s">
        <v>592</v>
      </c>
      <c r="F288" s="67" t="s">
        <v>1643</v>
      </c>
      <c r="G288" s="71">
        <v>38796</v>
      </c>
      <c r="H288" s="121">
        <v>40543</v>
      </c>
      <c r="I288" s="133">
        <v>11287877.970000001</v>
      </c>
      <c r="J288" s="134">
        <v>1613695.85</v>
      </c>
      <c r="K288" s="125"/>
      <c r="L288" s="74">
        <v>0.28920000000000001</v>
      </c>
      <c r="M288" s="75">
        <v>427894</v>
      </c>
      <c r="N288" s="76">
        <v>14</v>
      </c>
      <c r="O288" s="76">
        <v>0</v>
      </c>
      <c r="P288" s="83">
        <v>1321886</v>
      </c>
      <c r="Q288" s="76"/>
      <c r="R288" s="67" t="s">
        <v>1622</v>
      </c>
      <c r="S288" s="68">
        <v>892399999</v>
      </c>
      <c r="T288" s="77">
        <v>36527388</v>
      </c>
      <c r="U288" s="78" t="s">
        <v>1766</v>
      </c>
      <c r="V288" s="81"/>
      <c r="W288" s="80">
        <v>943524</v>
      </c>
    </row>
    <row r="289" spans="1:23" ht="15.6" hidden="1" x14ac:dyDescent="0.3">
      <c r="A289" s="158" t="s">
        <v>498</v>
      </c>
      <c r="B289" s="69">
        <v>15240013</v>
      </c>
      <c r="C289" s="69" t="s">
        <v>499</v>
      </c>
      <c r="D289" s="69">
        <v>0</v>
      </c>
      <c r="E289" s="70" t="s">
        <v>19</v>
      </c>
      <c r="F289" s="67" t="s">
        <v>1643</v>
      </c>
      <c r="G289" s="71">
        <v>39569</v>
      </c>
      <c r="H289" s="119"/>
      <c r="I289" s="133">
        <v>13778276.57</v>
      </c>
      <c r="J289" s="134">
        <v>1969719</v>
      </c>
      <c r="K289" s="125"/>
      <c r="L289" s="74">
        <v>0.36099999999999999</v>
      </c>
      <c r="M289" s="75">
        <v>83579</v>
      </c>
      <c r="N289" s="76">
        <v>14</v>
      </c>
      <c r="O289" s="76"/>
      <c r="P289" s="76"/>
      <c r="Q289" s="76"/>
      <c r="R289" s="67" t="s">
        <v>1625</v>
      </c>
      <c r="S289" s="68">
        <v>892400038</v>
      </c>
      <c r="T289" s="77"/>
      <c r="U289" s="78"/>
      <c r="V289" s="81"/>
      <c r="W289" s="80">
        <v>922628</v>
      </c>
    </row>
    <row r="290" spans="1:23" ht="15.6" hidden="1" x14ac:dyDescent="0.3">
      <c r="A290" s="158" t="s">
        <v>1385</v>
      </c>
      <c r="B290" s="69">
        <v>23247979</v>
      </c>
      <c r="C290" s="69" t="s">
        <v>1386</v>
      </c>
      <c r="D290" s="69">
        <v>0</v>
      </c>
      <c r="E290" s="70" t="s">
        <v>19</v>
      </c>
      <c r="F290" s="67" t="s">
        <v>1643</v>
      </c>
      <c r="G290" s="71">
        <v>39569</v>
      </c>
      <c r="H290" s="119"/>
      <c r="I290" s="133">
        <v>7717171.2800000003</v>
      </c>
      <c r="J290" s="134">
        <v>1103233.69</v>
      </c>
      <c r="K290" s="125"/>
      <c r="L290" s="74">
        <v>0.24199999999999999</v>
      </c>
      <c r="M290" s="75">
        <v>278310</v>
      </c>
      <c r="N290" s="76">
        <v>14</v>
      </c>
      <c r="O290" s="76"/>
      <c r="P290" s="76"/>
      <c r="Q290" s="76"/>
      <c r="R290" s="67" t="s">
        <v>1625</v>
      </c>
      <c r="S290" s="68">
        <v>892400038</v>
      </c>
      <c r="T290" s="77"/>
      <c r="U290" s="78"/>
      <c r="V290" s="81"/>
      <c r="W290" s="80">
        <v>770871</v>
      </c>
    </row>
    <row r="291" spans="1:23" ht="15.6" hidden="1" x14ac:dyDescent="0.3">
      <c r="A291" s="158" t="s">
        <v>1393</v>
      </c>
      <c r="B291" s="69">
        <v>98344</v>
      </c>
      <c r="C291" s="69" t="s">
        <v>1394</v>
      </c>
      <c r="D291" s="69">
        <v>0</v>
      </c>
      <c r="E291" s="70" t="s">
        <v>472</v>
      </c>
      <c r="F291" s="67" t="s">
        <v>1643</v>
      </c>
      <c r="G291" s="71">
        <v>29626</v>
      </c>
      <c r="H291" s="119"/>
      <c r="I291" s="133">
        <v>1783668.1</v>
      </c>
      <c r="J291" s="134">
        <v>254990.16</v>
      </c>
      <c r="K291" s="125"/>
      <c r="L291" s="74">
        <v>0.23469999999999999</v>
      </c>
      <c r="M291" s="75">
        <v>1703</v>
      </c>
      <c r="N291" s="76">
        <v>14</v>
      </c>
      <c r="O291" s="76"/>
      <c r="P291" s="76"/>
      <c r="Q291" s="76"/>
      <c r="R291" s="67" t="s">
        <v>1627</v>
      </c>
      <c r="S291" s="68">
        <v>899999082</v>
      </c>
      <c r="T291" s="77"/>
      <c r="U291" s="78"/>
      <c r="V291" s="81"/>
      <c r="W291" s="80">
        <v>183713</v>
      </c>
    </row>
    <row r="292" spans="1:23" ht="15.6" x14ac:dyDescent="0.3">
      <c r="A292" s="67"/>
      <c r="B292" s="68"/>
      <c r="C292" s="69"/>
      <c r="D292" s="69"/>
      <c r="E292" s="70"/>
      <c r="F292" s="67"/>
      <c r="G292" s="71"/>
      <c r="H292" s="72"/>
      <c r="I292" s="135"/>
      <c r="J292" s="134"/>
      <c r="K292" s="125"/>
      <c r="L292" s="74"/>
      <c r="M292" s="75"/>
      <c r="N292" s="76"/>
      <c r="O292" s="76"/>
      <c r="P292" s="83"/>
      <c r="Q292" s="76"/>
      <c r="R292" s="67"/>
      <c r="S292" s="68"/>
      <c r="T292" s="77"/>
      <c r="U292" s="78"/>
      <c r="V292" s="81"/>
      <c r="W292" s="80"/>
    </row>
    <row r="293" spans="1:23" ht="15.6" x14ac:dyDescent="0.3">
      <c r="A293" s="67"/>
      <c r="B293" s="68"/>
      <c r="C293" s="69"/>
      <c r="D293" s="69"/>
      <c r="E293" s="70"/>
      <c r="F293" s="67"/>
      <c r="G293" s="71"/>
      <c r="H293" s="72"/>
      <c r="I293" s="135"/>
      <c r="J293" s="134"/>
      <c r="K293" s="125"/>
      <c r="L293" s="74"/>
      <c r="M293" s="75"/>
      <c r="N293" s="76"/>
      <c r="O293" s="76"/>
      <c r="P293" s="83"/>
      <c r="Q293" s="76"/>
      <c r="R293" s="67"/>
      <c r="S293" s="68"/>
      <c r="T293" s="77"/>
      <c r="U293" s="78"/>
      <c r="V293" s="118"/>
      <c r="W293" s="80"/>
    </row>
    <row r="294" spans="1:23" ht="15.6" x14ac:dyDescent="0.3">
      <c r="A294" s="67"/>
      <c r="B294" s="68"/>
      <c r="C294" s="69"/>
      <c r="D294" s="69"/>
      <c r="E294" s="70"/>
      <c r="F294" s="67"/>
      <c r="G294" s="71"/>
      <c r="H294" s="72"/>
      <c r="I294" s="135"/>
      <c r="J294" s="134"/>
      <c r="K294" s="125"/>
      <c r="L294" s="74"/>
      <c r="M294" s="75"/>
      <c r="N294" s="76"/>
      <c r="O294" s="105"/>
      <c r="P294" s="83"/>
      <c r="Q294" s="76"/>
      <c r="R294" s="67"/>
      <c r="S294" s="68"/>
      <c r="T294" s="77"/>
      <c r="U294" s="78"/>
      <c r="V294" s="118"/>
      <c r="W294" s="80"/>
    </row>
    <row r="295" spans="1:23" ht="15.6" x14ac:dyDescent="0.3">
      <c r="A295" s="67"/>
      <c r="B295" s="68"/>
      <c r="C295" s="69"/>
      <c r="D295" s="69"/>
      <c r="E295" s="70"/>
      <c r="F295" s="67"/>
      <c r="G295" s="71"/>
      <c r="H295" s="72"/>
      <c r="I295" s="135"/>
      <c r="J295" s="134"/>
      <c r="K295" s="125"/>
      <c r="L295" s="74"/>
      <c r="M295" s="75"/>
      <c r="N295" s="76"/>
      <c r="O295" s="76"/>
      <c r="P295" s="83"/>
      <c r="Q295" s="76"/>
      <c r="R295" s="67"/>
      <c r="S295" s="68"/>
      <c r="T295" s="77"/>
      <c r="U295" s="78"/>
      <c r="V295" s="81"/>
      <c r="W295" s="80"/>
    </row>
    <row r="296" spans="1:23" ht="15.6" x14ac:dyDescent="0.3">
      <c r="A296" s="67"/>
      <c r="B296" s="68"/>
      <c r="C296" s="69"/>
      <c r="D296" s="69"/>
      <c r="E296" s="70"/>
      <c r="F296" s="67"/>
      <c r="G296" s="71"/>
      <c r="H296" s="87"/>
      <c r="I296" s="133"/>
      <c r="J296" s="134"/>
      <c r="K296" s="125"/>
      <c r="L296" s="74"/>
      <c r="M296" s="75"/>
      <c r="N296" s="76"/>
      <c r="O296" s="76"/>
      <c r="P296" s="83"/>
      <c r="Q296" s="76"/>
      <c r="R296" s="67"/>
      <c r="S296" s="68"/>
      <c r="T296" s="77"/>
      <c r="U296" s="78"/>
      <c r="V296" s="81"/>
      <c r="W296" s="80"/>
    </row>
    <row r="297" spans="1:23" ht="15.6" x14ac:dyDescent="0.3">
      <c r="A297" s="67"/>
      <c r="B297" s="68"/>
      <c r="C297" s="69"/>
      <c r="D297" s="69"/>
      <c r="E297" s="70"/>
      <c r="F297" s="67"/>
      <c r="G297" s="71"/>
      <c r="H297" s="72"/>
      <c r="I297" s="135"/>
      <c r="J297" s="134"/>
      <c r="K297" s="125"/>
      <c r="L297" s="74"/>
      <c r="M297" s="75"/>
      <c r="N297" s="76"/>
      <c r="O297" s="76"/>
      <c r="P297" s="83"/>
      <c r="Q297" s="76"/>
      <c r="R297" s="67"/>
      <c r="S297" s="68"/>
      <c r="T297" s="77"/>
      <c r="U297" s="78"/>
      <c r="V297" s="81"/>
      <c r="W297" s="80"/>
    </row>
    <row r="298" spans="1:23" ht="15.6" x14ac:dyDescent="0.3">
      <c r="A298" s="67"/>
      <c r="B298" s="68"/>
      <c r="C298" s="69"/>
      <c r="D298" s="69"/>
      <c r="E298" s="70"/>
      <c r="F298" s="67"/>
      <c r="G298" s="71"/>
      <c r="H298" s="72"/>
      <c r="I298" s="133"/>
      <c r="J298" s="134"/>
      <c r="K298" s="125"/>
      <c r="L298" s="74"/>
      <c r="M298" s="75"/>
      <c r="N298" s="76"/>
      <c r="O298" s="76"/>
      <c r="P298" s="83"/>
      <c r="Q298" s="83"/>
      <c r="R298" s="67"/>
      <c r="S298" s="68"/>
      <c r="T298" s="77"/>
      <c r="U298" s="78"/>
      <c r="V298" s="81"/>
      <c r="W298" s="80"/>
    </row>
    <row r="299" spans="1:23" ht="15.6" x14ac:dyDescent="0.3">
      <c r="A299" s="67"/>
      <c r="B299" s="68"/>
      <c r="C299" s="69"/>
      <c r="D299" s="69"/>
      <c r="E299" s="70"/>
      <c r="F299" s="67"/>
      <c r="G299" s="71"/>
      <c r="H299" s="72"/>
      <c r="I299" s="135"/>
      <c r="J299" s="134"/>
      <c r="K299" s="125"/>
      <c r="L299" s="74"/>
      <c r="M299" s="75"/>
      <c r="N299" s="76"/>
      <c r="O299" s="76"/>
      <c r="P299" s="83"/>
      <c r="Q299" s="76"/>
      <c r="R299" s="67"/>
      <c r="S299" s="68"/>
      <c r="T299" s="77"/>
      <c r="U299" s="78"/>
      <c r="V299" s="81"/>
      <c r="W299" s="80"/>
    </row>
    <row r="300" spans="1:23" ht="15.6" x14ac:dyDescent="0.3">
      <c r="A300" s="67"/>
      <c r="B300" s="68"/>
      <c r="C300" s="69"/>
      <c r="D300" s="69"/>
      <c r="E300" s="70"/>
      <c r="F300" s="67"/>
      <c r="G300" s="71"/>
      <c r="H300" s="72"/>
      <c r="I300" s="133"/>
      <c r="J300" s="134"/>
      <c r="K300" s="125"/>
      <c r="L300" s="74"/>
      <c r="M300" s="75"/>
      <c r="N300" s="76"/>
      <c r="O300" s="76"/>
      <c r="P300" s="83"/>
      <c r="Q300" s="76"/>
      <c r="R300" s="67"/>
      <c r="S300" s="68"/>
      <c r="T300" s="77"/>
      <c r="U300" s="78"/>
      <c r="V300" s="81"/>
      <c r="W300" s="80"/>
    </row>
    <row r="301" spans="1:23" ht="15.6" x14ac:dyDescent="0.3">
      <c r="A301" s="67"/>
      <c r="B301" s="68"/>
      <c r="C301" s="69"/>
      <c r="D301" s="69"/>
      <c r="E301" s="70"/>
      <c r="F301" s="67"/>
      <c r="G301" s="71"/>
      <c r="H301" s="72"/>
      <c r="I301" s="133"/>
      <c r="J301" s="134"/>
      <c r="K301" s="125"/>
      <c r="L301" s="74"/>
      <c r="M301" s="75"/>
      <c r="N301" s="76"/>
      <c r="O301" s="76"/>
      <c r="P301" s="76"/>
      <c r="Q301" s="76"/>
      <c r="R301" s="67"/>
      <c r="S301" s="68"/>
      <c r="T301" s="77"/>
      <c r="U301" s="78"/>
      <c r="V301" s="81"/>
      <c r="W301" s="80"/>
    </row>
    <row r="302" spans="1:23" ht="15.6" x14ac:dyDescent="0.3">
      <c r="A302" s="67"/>
      <c r="B302" s="68"/>
      <c r="C302" s="69"/>
      <c r="D302" s="69"/>
      <c r="E302" s="70"/>
      <c r="F302" s="67"/>
      <c r="G302" s="71"/>
      <c r="H302" s="72"/>
      <c r="I302" s="133"/>
      <c r="J302" s="134"/>
      <c r="K302" s="125"/>
      <c r="L302" s="74"/>
      <c r="M302" s="75"/>
      <c r="N302" s="76"/>
      <c r="O302" s="76"/>
      <c r="P302" s="83"/>
      <c r="Q302" s="76"/>
      <c r="R302" s="67"/>
      <c r="S302" s="68"/>
      <c r="T302" s="77"/>
      <c r="U302" s="78"/>
      <c r="V302" s="81"/>
      <c r="W302" s="80"/>
    </row>
    <row r="303" spans="1:23" ht="15.6" x14ac:dyDescent="0.3">
      <c r="A303" s="67"/>
      <c r="B303" s="68"/>
      <c r="C303" s="69"/>
      <c r="D303" s="69"/>
      <c r="E303" s="70"/>
      <c r="F303" s="67"/>
      <c r="G303" s="71"/>
      <c r="H303" s="72"/>
      <c r="I303" s="135"/>
      <c r="J303" s="134"/>
      <c r="K303" s="125"/>
      <c r="L303" s="74"/>
      <c r="M303" s="75"/>
      <c r="N303" s="76"/>
      <c r="O303" s="76"/>
      <c r="P303" s="83"/>
      <c r="Q303" s="83"/>
      <c r="R303" s="67"/>
      <c r="S303" s="68"/>
      <c r="T303" s="77"/>
      <c r="U303" s="78"/>
      <c r="V303" s="81"/>
      <c r="W303" s="80"/>
    </row>
    <row r="304" spans="1:23" ht="15.6" x14ac:dyDescent="0.3">
      <c r="A304" s="67"/>
      <c r="B304" s="68"/>
      <c r="C304" s="69"/>
      <c r="D304" s="69"/>
      <c r="E304" s="70"/>
      <c r="F304" s="67"/>
      <c r="G304" s="71"/>
      <c r="H304" s="72"/>
      <c r="I304" s="133"/>
      <c r="J304" s="134"/>
      <c r="K304" s="125"/>
      <c r="L304" s="74"/>
      <c r="M304" s="75"/>
      <c r="N304" s="76"/>
      <c r="O304" s="76"/>
      <c r="P304" s="83"/>
      <c r="Q304" s="83"/>
      <c r="R304" s="67"/>
      <c r="S304" s="68"/>
      <c r="T304" s="77"/>
      <c r="U304" s="78"/>
      <c r="V304" s="81"/>
      <c r="W304" s="80"/>
    </row>
    <row r="305" spans="1:23" ht="15.6" x14ac:dyDescent="0.3">
      <c r="A305" s="67"/>
      <c r="B305" s="68"/>
      <c r="C305" s="69"/>
      <c r="D305" s="69"/>
      <c r="E305" s="70"/>
      <c r="F305" s="67"/>
      <c r="G305" s="71"/>
      <c r="H305" s="72"/>
      <c r="I305" s="133"/>
      <c r="J305" s="134"/>
      <c r="K305" s="125"/>
      <c r="L305" s="74"/>
      <c r="M305" s="75"/>
      <c r="N305" s="76"/>
      <c r="O305" s="76"/>
      <c r="P305" s="76"/>
      <c r="Q305" s="76"/>
      <c r="R305" s="67"/>
      <c r="S305" s="68"/>
      <c r="T305" s="77"/>
      <c r="U305" s="78"/>
      <c r="V305" s="81"/>
      <c r="W305" s="80"/>
    </row>
    <row r="306" spans="1:23" ht="15.6" x14ac:dyDescent="0.3">
      <c r="A306" s="67"/>
      <c r="B306" s="68"/>
      <c r="C306" s="69"/>
      <c r="D306" s="69"/>
      <c r="E306" s="70"/>
      <c r="F306" s="67"/>
      <c r="G306" s="71"/>
      <c r="H306" s="72"/>
      <c r="I306" s="133"/>
      <c r="J306" s="134"/>
      <c r="K306" s="125"/>
      <c r="L306" s="74"/>
      <c r="M306" s="75"/>
      <c r="N306" s="76"/>
      <c r="O306" s="76"/>
      <c r="P306" s="76"/>
      <c r="Q306" s="76"/>
      <c r="R306" s="67"/>
      <c r="S306" s="68"/>
      <c r="T306" s="77"/>
      <c r="U306" s="78"/>
      <c r="V306" s="81"/>
      <c r="W306" s="80"/>
    </row>
    <row r="307" spans="1:23" ht="15.6" x14ac:dyDescent="0.3">
      <c r="A307" s="67"/>
      <c r="B307" s="68"/>
      <c r="C307" s="69"/>
      <c r="D307" s="69"/>
      <c r="E307" s="70"/>
      <c r="F307" s="67"/>
      <c r="G307" s="71"/>
      <c r="H307" s="72"/>
      <c r="I307" s="133"/>
      <c r="J307" s="134"/>
      <c r="K307" s="125"/>
      <c r="L307" s="74"/>
      <c r="M307" s="96"/>
      <c r="N307" s="76"/>
      <c r="O307" s="76"/>
      <c r="P307" s="76"/>
      <c r="Q307" s="76"/>
      <c r="R307" s="67"/>
      <c r="S307" s="68"/>
      <c r="T307" s="77"/>
      <c r="U307" s="78"/>
      <c r="V307" s="81"/>
      <c r="W307" s="80"/>
    </row>
    <row r="308" spans="1:23" ht="15.6" x14ac:dyDescent="0.3">
      <c r="A308" s="67"/>
      <c r="B308" s="68"/>
      <c r="C308" s="69"/>
      <c r="D308" s="69"/>
      <c r="E308" s="70"/>
      <c r="F308" s="67"/>
      <c r="G308" s="71"/>
      <c r="H308" s="72"/>
      <c r="I308" s="135"/>
      <c r="J308" s="134"/>
      <c r="K308" s="125"/>
      <c r="L308" s="74"/>
      <c r="M308" s="96"/>
      <c r="N308" s="76"/>
      <c r="O308" s="76"/>
      <c r="P308" s="76"/>
      <c r="Q308" s="76"/>
      <c r="R308" s="67"/>
      <c r="S308" s="68"/>
      <c r="T308" s="77"/>
      <c r="U308" s="78"/>
      <c r="V308" s="81"/>
      <c r="W308" s="80"/>
    </row>
    <row r="309" spans="1:23" ht="15.6" x14ac:dyDescent="0.3">
      <c r="A309" s="67"/>
      <c r="B309" s="68"/>
      <c r="C309" s="69"/>
      <c r="D309" s="69"/>
      <c r="E309" s="70"/>
      <c r="F309" s="67"/>
      <c r="G309" s="71"/>
      <c r="H309" s="72"/>
      <c r="I309" s="133"/>
      <c r="J309" s="134"/>
      <c r="K309" s="125"/>
      <c r="L309" s="74"/>
      <c r="M309" s="75"/>
      <c r="N309" s="76"/>
      <c r="O309" s="76"/>
      <c r="P309" s="76"/>
      <c r="Q309" s="76"/>
      <c r="R309" s="67"/>
      <c r="S309" s="68"/>
      <c r="T309" s="77"/>
      <c r="U309" s="78"/>
      <c r="V309" s="81"/>
      <c r="W309" s="80"/>
    </row>
    <row r="310" spans="1:23" ht="15.6" x14ac:dyDescent="0.3">
      <c r="A310" s="67"/>
      <c r="B310" s="68"/>
      <c r="C310" s="69"/>
      <c r="D310" s="69"/>
      <c r="E310" s="70"/>
      <c r="F310" s="67"/>
      <c r="G310" s="71"/>
      <c r="H310" s="72"/>
      <c r="I310" s="133"/>
      <c r="J310" s="134"/>
      <c r="K310" s="125"/>
      <c r="L310" s="74"/>
      <c r="M310" s="75"/>
      <c r="N310" s="76"/>
      <c r="O310" s="76"/>
      <c r="P310" s="76"/>
      <c r="Q310" s="76"/>
      <c r="R310" s="67"/>
      <c r="S310" s="68"/>
      <c r="T310" s="77"/>
      <c r="U310" s="78"/>
      <c r="V310" s="81"/>
      <c r="W310" s="80"/>
    </row>
    <row r="311" spans="1:23" ht="15.6" x14ac:dyDescent="0.3">
      <c r="A311" s="67"/>
      <c r="B311" s="68"/>
      <c r="C311" s="69"/>
      <c r="D311" s="69"/>
      <c r="E311" s="70"/>
      <c r="F311" s="67"/>
      <c r="G311" s="71"/>
      <c r="H311" s="72"/>
      <c r="I311" s="133"/>
      <c r="J311" s="134"/>
      <c r="K311" s="125"/>
      <c r="L311" s="74"/>
      <c r="M311" s="75"/>
      <c r="N311" s="76"/>
      <c r="O311" s="76"/>
      <c r="P311" s="76"/>
      <c r="Q311" s="76"/>
      <c r="R311" s="67"/>
      <c r="S311" s="68"/>
      <c r="T311" s="77"/>
      <c r="U311" s="78"/>
      <c r="V311" s="81"/>
      <c r="W311" s="80"/>
    </row>
    <row r="312" spans="1:23" ht="15.6" x14ac:dyDescent="0.3">
      <c r="A312" s="67"/>
      <c r="B312" s="68"/>
      <c r="C312" s="69"/>
      <c r="D312" s="69"/>
      <c r="E312" s="70"/>
      <c r="F312" s="67"/>
      <c r="G312" s="71"/>
      <c r="H312" s="72"/>
      <c r="I312" s="135"/>
      <c r="J312" s="134"/>
      <c r="K312" s="125"/>
      <c r="L312" s="74"/>
      <c r="M312" s="75"/>
      <c r="N312" s="76"/>
      <c r="O312" s="76"/>
      <c r="P312" s="76"/>
      <c r="Q312" s="76"/>
      <c r="R312" s="67"/>
      <c r="S312" s="68"/>
      <c r="T312" s="77"/>
      <c r="U312" s="78"/>
      <c r="V312" s="81"/>
      <c r="W312" s="80"/>
    </row>
    <row r="313" spans="1:23" ht="15.6" x14ac:dyDescent="0.3">
      <c r="A313" s="67"/>
      <c r="B313" s="68"/>
      <c r="C313" s="69"/>
      <c r="D313" s="69"/>
      <c r="E313" s="70"/>
      <c r="F313" s="67"/>
      <c r="G313" s="71"/>
      <c r="H313" s="87"/>
      <c r="I313" s="133"/>
      <c r="J313" s="134"/>
      <c r="K313" s="125"/>
      <c r="L313" s="74"/>
      <c r="M313" s="75"/>
      <c r="N313" s="76"/>
      <c r="O313" s="76"/>
      <c r="P313" s="76"/>
      <c r="Q313" s="76"/>
      <c r="R313" s="67"/>
      <c r="S313" s="68"/>
      <c r="T313" s="77"/>
      <c r="U313" s="78"/>
      <c r="V313" s="81"/>
      <c r="W313" s="80"/>
    </row>
    <row r="314" spans="1:23" ht="15.6" x14ac:dyDescent="0.3">
      <c r="A314" s="67"/>
      <c r="B314" s="68"/>
      <c r="C314" s="69"/>
      <c r="D314" s="69"/>
      <c r="E314" s="70"/>
      <c r="F314" s="67"/>
      <c r="G314" s="71"/>
      <c r="H314" s="72"/>
      <c r="I314" s="135"/>
      <c r="J314" s="134"/>
      <c r="K314" s="125"/>
      <c r="L314" s="74"/>
      <c r="M314" s="75"/>
      <c r="N314" s="76"/>
      <c r="O314" s="76"/>
      <c r="P314" s="76"/>
      <c r="Q314" s="76"/>
      <c r="R314" s="67"/>
      <c r="S314" s="68"/>
      <c r="T314" s="77"/>
      <c r="U314" s="78"/>
      <c r="V314" s="81"/>
      <c r="W314" s="80"/>
    </row>
    <row r="315" spans="1:23" ht="15.6" x14ac:dyDescent="0.3">
      <c r="A315" s="67"/>
      <c r="B315" s="68"/>
      <c r="C315" s="69"/>
      <c r="D315" s="69"/>
      <c r="E315" s="70"/>
      <c r="F315" s="67"/>
      <c r="G315" s="71"/>
      <c r="H315" s="72"/>
      <c r="I315" s="135"/>
      <c r="J315" s="134"/>
      <c r="K315" s="125"/>
      <c r="L315" s="74"/>
      <c r="M315" s="75"/>
      <c r="N315" s="76"/>
      <c r="O315" s="76"/>
      <c r="P315" s="76"/>
      <c r="Q315" s="76"/>
      <c r="R315" s="67"/>
      <c r="S315" s="68"/>
      <c r="T315" s="77"/>
      <c r="U315" s="78"/>
      <c r="V315" s="81"/>
      <c r="W315" s="80"/>
    </row>
    <row r="316" spans="1:23" ht="15.6" x14ac:dyDescent="0.3">
      <c r="A316" s="67"/>
      <c r="B316" s="68"/>
      <c r="C316" s="69"/>
      <c r="D316" s="69"/>
      <c r="E316" s="70"/>
      <c r="F316" s="67"/>
      <c r="G316" s="71"/>
      <c r="H316" s="72"/>
      <c r="I316" s="133"/>
      <c r="J316" s="134"/>
      <c r="K316" s="125"/>
      <c r="L316" s="74"/>
      <c r="M316" s="75"/>
      <c r="N316" s="76"/>
      <c r="O316" s="76"/>
      <c r="P316" s="76"/>
      <c r="Q316" s="76"/>
      <c r="R316" s="67"/>
      <c r="S316" s="68"/>
      <c r="T316" s="77"/>
      <c r="U316" s="78"/>
      <c r="V316" s="81"/>
      <c r="W316" s="80"/>
    </row>
    <row r="317" spans="1:23" ht="15.6" x14ac:dyDescent="0.3">
      <c r="A317" s="67"/>
      <c r="B317" s="68"/>
      <c r="C317" s="69"/>
      <c r="D317" s="69"/>
      <c r="E317" s="70"/>
      <c r="F317" s="67"/>
      <c r="G317" s="71"/>
      <c r="H317" s="72"/>
      <c r="I317" s="135"/>
      <c r="J317" s="134"/>
      <c r="K317" s="125"/>
      <c r="L317" s="74"/>
      <c r="M317" s="75"/>
      <c r="N317" s="76"/>
      <c r="O317" s="76"/>
      <c r="P317" s="76"/>
      <c r="Q317" s="76"/>
      <c r="R317" s="67"/>
      <c r="S317" s="68"/>
      <c r="T317" s="77"/>
      <c r="U317" s="78"/>
      <c r="V317" s="63"/>
      <c r="W317" s="80"/>
    </row>
    <row r="318" spans="1:23" ht="15.6" x14ac:dyDescent="0.3">
      <c r="A318" s="67"/>
      <c r="B318" s="68"/>
      <c r="C318" s="69"/>
      <c r="D318" s="69"/>
      <c r="E318" s="70"/>
      <c r="F318" s="67"/>
      <c r="G318" s="71"/>
      <c r="H318" s="72"/>
      <c r="I318" s="135"/>
      <c r="J318" s="134"/>
      <c r="K318" s="125"/>
      <c r="L318" s="74"/>
      <c r="M318" s="75"/>
      <c r="N318" s="76"/>
      <c r="O318" s="76"/>
      <c r="P318" s="76"/>
      <c r="Q318" s="76"/>
      <c r="R318" s="67"/>
      <c r="S318" s="68"/>
      <c r="T318" s="77"/>
      <c r="U318" s="78"/>
      <c r="V318" s="81"/>
      <c r="W318" s="80"/>
    </row>
    <row r="319" spans="1:23" ht="15.6" x14ac:dyDescent="0.3">
      <c r="A319" s="158" t="s">
        <v>1820</v>
      </c>
      <c r="B319" s="69">
        <v>37815104</v>
      </c>
      <c r="C319" s="69" t="s">
        <v>663</v>
      </c>
      <c r="D319" s="69">
        <v>0</v>
      </c>
      <c r="E319" s="70" t="s">
        <v>19</v>
      </c>
      <c r="F319" s="67" t="s">
        <v>1643</v>
      </c>
      <c r="G319" s="71">
        <v>39539</v>
      </c>
      <c r="H319" s="72">
        <v>45222</v>
      </c>
      <c r="I319" s="133">
        <v>2819607.33</v>
      </c>
      <c r="J319" s="134">
        <v>403086.27</v>
      </c>
      <c r="K319" s="123" t="s">
        <v>20</v>
      </c>
      <c r="L319" s="74">
        <v>0.1545</v>
      </c>
      <c r="M319" s="75">
        <v>178855</v>
      </c>
      <c r="N319" s="76">
        <v>13</v>
      </c>
      <c r="O319" s="76"/>
      <c r="P319" s="76"/>
      <c r="Q319" s="76"/>
      <c r="R319" s="67" t="s">
        <v>1524</v>
      </c>
      <c r="S319" s="68">
        <v>814002561</v>
      </c>
      <c r="T319" s="77"/>
      <c r="U319" s="78"/>
      <c r="V319" s="82"/>
      <c r="W319" s="80">
        <v>441163</v>
      </c>
    </row>
    <row r="320" spans="1:23" ht="15.6" x14ac:dyDescent="0.3">
      <c r="A320" s="158" t="s">
        <v>1835</v>
      </c>
      <c r="B320" s="69">
        <v>28372879</v>
      </c>
      <c r="C320" s="69" t="s">
        <v>844</v>
      </c>
      <c r="D320" s="69">
        <v>0</v>
      </c>
      <c r="E320" s="70" t="s">
        <v>21</v>
      </c>
      <c r="F320" s="67" t="s">
        <v>1643</v>
      </c>
      <c r="G320" s="71">
        <v>33239</v>
      </c>
      <c r="H320" s="72">
        <v>45568</v>
      </c>
      <c r="I320" s="133">
        <v>35663469.960000001</v>
      </c>
      <c r="J320" s="134">
        <v>5098389.05</v>
      </c>
      <c r="K320" s="125"/>
      <c r="L320" s="74">
        <v>0.25590000000000002</v>
      </c>
      <c r="M320" s="75">
        <v>70534</v>
      </c>
      <c r="N320" s="76">
        <v>14</v>
      </c>
      <c r="O320" s="105">
        <v>0.08</v>
      </c>
      <c r="P320" s="83">
        <v>424464</v>
      </c>
      <c r="Q320" s="83">
        <v>388544</v>
      </c>
      <c r="R320" s="67" t="s">
        <v>1542</v>
      </c>
      <c r="S320" s="68">
        <v>890201235</v>
      </c>
      <c r="T320" s="77"/>
      <c r="U320" s="78"/>
      <c r="V320" s="81"/>
      <c r="W320" s="80">
        <v>3368932</v>
      </c>
    </row>
    <row r="321" spans="1:23" ht="15.6" x14ac:dyDescent="0.3">
      <c r="A321" s="158" t="s">
        <v>845</v>
      </c>
      <c r="B321" s="69">
        <v>324258</v>
      </c>
      <c r="C321" s="69" t="s">
        <v>846</v>
      </c>
      <c r="D321" s="69">
        <v>0</v>
      </c>
      <c r="E321" s="70" t="s">
        <v>21</v>
      </c>
      <c r="F321" s="67" t="s">
        <v>1643</v>
      </c>
      <c r="G321" s="71">
        <v>33970</v>
      </c>
      <c r="H321" s="72">
        <v>45568</v>
      </c>
      <c r="I321" s="133">
        <v>11113481.890000001</v>
      </c>
      <c r="J321" s="134">
        <v>1588764.48</v>
      </c>
      <c r="K321" s="125"/>
      <c r="L321" s="74">
        <v>7.6999999999999999E-2</v>
      </c>
      <c r="M321" s="75">
        <v>31953</v>
      </c>
      <c r="N321" s="76">
        <v>14</v>
      </c>
      <c r="O321" s="105">
        <v>0.08</v>
      </c>
      <c r="P321" s="83">
        <v>958135</v>
      </c>
      <c r="Q321" s="83">
        <v>720694</v>
      </c>
      <c r="R321" s="67" t="s">
        <v>1542</v>
      </c>
      <c r="S321" s="68">
        <v>890201235</v>
      </c>
      <c r="T321" s="77">
        <v>26764695</v>
      </c>
      <c r="U321" s="78" t="s">
        <v>1698</v>
      </c>
      <c r="V321" s="81"/>
      <c r="W321" s="80">
        <v>3488979</v>
      </c>
    </row>
    <row r="322" spans="1:23" ht="15.6" x14ac:dyDescent="0.3">
      <c r="A322" s="158" t="s">
        <v>494</v>
      </c>
      <c r="B322" s="69">
        <v>1918635</v>
      </c>
      <c r="C322" s="69" t="s">
        <v>495</v>
      </c>
      <c r="D322" s="69">
        <v>0</v>
      </c>
      <c r="E322" s="70" t="s">
        <v>472</v>
      </c>
      <c r="F322" s="67" t="s">
        <v>1643</v>
      </c>
      <c r="G322" s="71">
        <v>34060</v>
      </c>
      <c r="H322" s="72"/>
      <c r="I322" s="133">
        <v>1020611.66</v>
      </c>
      <c r="J322" s="134">
        <v>145904.91</v>
      </c>
      <c r="K322" s="125"/>
      <c r="L322" s="74">
        <v>3.6700000000000003E-2</v>
      </c>
      <c r="M322" s="75">
        <v>9028</v>
      </c>
      <c r="N322" s="76">
        <v>14</v>
      </c>
      <c r="O322" s="105">
        <v>0.08</v>
      </c>
      <c r="P322" s="83">
        <v>246135</v>
      </c>
      <c r="Q322" s="83">
        <v>284894</v>
      </c>
      <c r="R322" s="67" t="s">
        <v>1542</v>
      </c>
      <c r="S322" s="68">
        <v>890201235</v>
      </c>
      <c r="T322" s="77">
        <v>27576342</v>
      </c>
      <c r="U322" s="78" t="s">
        <v>1657</v>
      </c>
      <c r="V322" s="63"/>
      <c r="W322" s="80">
        <v>672254</v>
      </c>
    </row>
    <row r="323" spans="1:23" ht="15.6" x14ac:dyDescent="0.3">
      <c r="A323" s="158" t="s">
        <v>1836</v>
      </c>
      <c r="B323" s="69">
        <v>27953706</v>
      </c>
      <c r="C323" s="69" t="s">
        <v>848</v>
      </c>
      <c r="D323" s="69">
        <v>0</v>
      </c>
      <c r="E323" s="70" t="s">
        <v>21</v>
      </c>
      <c r="F323" s="67" t="s">
        <v>1643</v>
      </c>
      <c r="G323" s="71">
        <v>34547</v>
      </c>
      <c r="H323" s="72"/>
      <c r="I323" s="133">
        <v>1321743.1000000001</v>
      </c>
      <c r="J323" s="134">
        <v>188954.15</v>
      </c>
      <c r="K323" s="125"/>
      <c r="L323" s="74">
        <v>9.3399999999999997E-2</v>
      </c>
      <c r="M323" s="75">
        <v>37940</v>
      </c>
      <c r="N323" s="76">
        <v>14</v>
      </c>
      <c r="O323" s="105">
        <v>0.08</v>
      </c>
      <c r="P323" s="83">
        <v>86005</v>
      </c>
      <c r="Q323" s="83">
        <v>907202</v>
      </c>
      <c r="R323" s="67" t="s">
        <v>1542</v>
      </c>
      <c r="S323" s="68">
        <v>890201235</v>
      </c>
      <c r="T323" s="77"/>
      <c r="U323" s="78"/>
      <c r="V323" s="81"/>
      <c r="W323" s="80">
        <v>342089</v>
      </c>
    </row>
    <row r="324" spans="1:23" ht="15.6" x14ac:dyDescent="0.3">
      <c r="A324" s="158" t="s">
        <v>849</v>
      </c>
      <c r="B324" s="69">
        <v>3791097</v>
      </c>
      <c r="C324" s="69" t="s">
        <v>850</v>
      </c>
      <c r="D324" s="69">
        <v>0</v>
      </c>
      <c r="E324" s="70" t="s">
        <v>21</v>
      </c>
      <c r="F324" s="67" t="s">
        <v>1643</v>
      </c>
      <c r="G324" s="71">
        <v>34667</v>
      </c>
      <c r="H324" s="72"/>
      <c r="I324" s="133">
        <v>6924271.5599999996</v>
      </c>
      <c r="J324" s="134">
        <v>989882.1</v>
      </c>
      <c r="K324" s="125"/>
      <c r="L324" s="74">
        <v>0.21560000000000001</v>
      </c>
      <c r="M324" s="75">
        <v>101209</v>
      </c>
      <c r="N324" s="76">
        <v>14</v>
      </c>
      <c r="O324" s="76">
        <v>0</v>
      </c>
      <c r="P324" s="83">
        <v>247534</v>
      </c>
      <c r="Q324" s="83">
        <v>952931</v>
      </c>
      <c r="R324" s="67" t="s">
        <v>1542</v>
      </c>
      <c r="S324" s="68">
        <v>890201235</v>
      </c>
      <c r="T324" s="77">
        <v>37792443</v>
      </c>
      <c r="U324" s="78" t="s">
        <v>1789</v>
      </c>
      <c r="V324" s="81"/>
      <c r="W324" s="80">
        <v>776362</v>
      </c>
    </row>
    <row r="325" spans="1:23" ht="15.6" x14ac:dyDescent="0.3">
      <c r="A325" s="158" t="s">
        <v>827</v>
      </c>
      <c r="B325" s="69">
        <v>5556311</v>
      </c>
      <c r="C325" s="69" t="s">
        <v>828</v>
      </c>
      <c r="D325" s="69">
        <v>0</v>
      </c>
      <c r="E325" s="70" t="s">
        <v>19</v>
      </c>
      <c r="F325" s="67" t="s">
        <v>1643</v>
      </c>
      <c r="G325" s="71">
        <v>36404</v>
      </c>
      <c r="H325" s="72"/>
      <c r="I325" s="133">
        <v>8211124.0800000001</v>
      </c>
      <c r="J325" s="134">
        <v>1173848.3400000001</v>
      </c>
      <c r="K325" s="125"/>
      <c r="L325" s="74">
        <v>8.9399999999999993E-2</v>
      </c>
      <c r="M325" s="75">
        <v>113322</v>
      </c>
      <c r="N325" s="76">
        <v>14</v>
      </c>
      <c r="O325" s="76">
        <v>0</v>
      </c>
      <c r="P325" s="83">
        <v>763691</v>
      </c>
      <c r="Q325" s="83">
        <v>970163</v>
      </c>
      <c r="R325" s="67" t="s">
        <v>1542</v>
      </c>
      <c r="S325" s="68">
        <v>890201235</v>
      </c>
      <c r="T325" s="77"/>
      <c r="U325" s="78"/>
      <c r="V325" s="81"/>
      <c r="W325" s="80">
        <v>2220261</v>
      </c>
    </row>
    <row r="326" spans="1:23" ht="15.6" x14ac:dyDescent="0.3">
      <c r="A326" s="158" t="s">
        <v>851</v>
      </c>
      <c r="B326" s="69">
        <v>17137559</v>
      </c>
      <c r="C326" s="69" t="s">
        <v>852</v>
      </c>
      <c r="D326" s="69">
        <v>0</v>
      </c>
      <c r="E326" s="70" t="s">
        <v>21</v>
      </c>
      <c r="F326" s="67" t="s">
        <v>1643</v>
      </c>
      <c r="G326" s="71">
        <v>36800</v>
      </c>
      <c r="H326" s="72"/>
      <c r="I326" s="133">
        <v>2563415.59</v>
      </c>
      <c r="J326" s="134">
        <v>366461.54</v>
      </c>
      <c r="K326" s="125"/>
      <c r="L326" s="74">
        <v>6.0499999999999998E-2</v>
      </c>
      <c r="M326" s="75">
        <v>63485</v>
      </c>
      <c r="N326" s="76">
        <v>14</v>
      </c>
      <c r="O326" s="76">
        <v>0</v>
      </c>
      <c r="P326" s="83">
        <v>395800</v>
      </c>
      <c r="Q326" s="83">
        <v>1237596</v>
      </c>
      <c r="R326" s="67" t="s">
        <v>1542</v>
      </c>
      <c r="S326" s="68">
        <v>890201235</v>
      </c>
      <c r="T326" s="77"/>
      <c r="U326" s="78"/>
      <c r="V326" s="81"/>
      <c r="W326" s="80">
        <v>1024242</v>
      </c>
    </row>
    <row r="327" spans="1:23" ht="15.6" x14ac:dyDescent="0.3">
      <c r="A327" s="158" t="s">
        <v>853</v>
      </c>
      <c r="B327" s="69">
        <v>5567916</v>
      </c>
      <c r="C327" s="69" t="s">
        <v>854</v>
      </c>
      <c r="D327" s="69">
        <v>0</v>
      </c>
      <c r="E327" s="70" t="s">
        <v>21</v>
      </c>
      <c r="F327" s="67" t="s">
        <v>1643</v>
      </c>
      <c r="G327" s="71">
        <v>37453</v>
      </c>
      <c r="H327" s="72"/>
      <c r="I327" s="133">
        <v>4053375.72</v>
      </c>
      <c r="J327" s="134">
        <v>579463.69999999995</v>
      </c>
      <c r="K327" s="125"/>
      <c r="L327" s="74">
        <v>0.2218</v>
      </c>
      <c r="M327" s="75">
        <v>215284</v>
      </c>
      <c r="N327" s="76">
        <v>14</v>
      </c>
      <c r="O327" s="76">
        <v>0</v>
      </c>
      <c r="P327" s="83">
        <v>187009</v>
      </c>
      <c r="Q327" s="83">
        <v>2201492</v>
      </c>
      <c r="R327" s="67" t="s">
        <v>1542</v>
      </c>
      <c r="S327" s="68">
        <v>890201235</v>
      </c>
      <c r="T327" s="77"/>
      <c r="U327" s="78"/>
      <c r="V327" s="81"/>
      <c r="W327" s="80">
        <v>441768</v>
      </c>
    </row>
    <row r="328" spans="1:23" ht="15.6" x14ac:dyDescent="0.3">
      <c r="A328" s="158" t="s">
        <v>855</v>
      </c>
      <c r="B328" s="69">
        <v>5591853</v>
      </c>
      <c r="C328" s="69" t="s">
        <v>856</v>
      </c>
      <c r="D328" s="69">
        <v>0</v>
      </c>
      <c r="E328" s="70" t="s">
        <v>21</v>
      </c>
      <c r="F328" s="67" t="s">
        <v>1643</v>
      </c>
      <c r="G328" s="71">
        <v>37469</v>
      </c>
      <c r="H328" s="72"/>
      <c r="I328" s="133">
        <v>12220882.720000001</v>
      </c>
      <c r="J328" s="134">
        <v>1747076.62</v>
      </c>
      <c r="K328" s="125"/>
      <c r="L328" s="74">
        <v>0.21099999999999999</v>
      </c>
      <c r="M328" s="75">
        <v>344991</v>
      </c>
      <c r="N328" s="76">
        <v>14</v>
      </c>
      <c r="O328" s="76">
        <v>0</v>
      </c>
      <c r="P328" s="83">
        <v>567285</v>
      </c>
      <c r="Q328" s="83">
        <v>1708545</v>
      </c>
      <c r="R328" s="67" t="s">
        <v>1542</v>
      </c>
      <c r="S328" s="68">
        <v>890201235</v>
      </c>
      <c r="T328" s="77">
        <v>37791303</v>
      </c>
      <c r="U328" s="78" t="s">
        <v>1699</v>
      </c>
      <c r="V328" s="81"/>
      <c r="W328" s="80">
        <v>1400100</v>
      </c>
    </row>
    <row r="329" spans="1:23" ht="15.6" x14ac:dyDescent="0.3">
      <c r="A329" s="158" t="s">
        <v>654</v>
      </c>
      <c r="B329" s="69">
        <v>33128453</v>
      </c>
      <c r="C329" s="69" t="s">
        <v>655</v>
      </c>
      <c r="D329" s="69">
        <v>0</v>
      </c>
      <c r="E329" s="70" t="s">
        <v>472</v>
      </c>
      <c r="F329" s="67" t="s">
        <v>1643</v>
      </c>
      <c r="G329" s="71">
        <v>38275</v>
      </c>
      <c r="H329" s="72"/>
      <c r="I329" s="133">
        <v>1849694.82</v>
      </c>
      <c r="J329" s="134">
        <v>264429.23</v>
      </c>
      <c r="K329" s="125"/>
      <c r="L329" s="74">
        <v>4.1200000000000001E-2</v>
      </c>
      <c r="M329" s="75">
        <v>72737</v>
      </c>
      <c r="N329" s="76">
        <v>14</v>
      </c>
      <c r="O329" s="76">
        <v>0</v>
      </c>
      <c r="P329" s="83">
        <v>397523</v>
      </c>
      <c r="Q329" s="83">
        <v>1367931</v>
      </c>
      <c r="R329" s="67" t="s">
        <v>1542</v>
      </c>
      <c r="S329" s="68">
        <v>890201235</v>
      </c>
      <c r="T329" s="77"/>
      <c r="U329" s="78"/>
      <c r="V329" s="81"/>
      <c r="W329" s="80">
        <v>1085280</v>
      </c>
    </row>
    <row r="330" spans="1:23" ht="15.6" x14ac:dyDescent="0.3">
      <c r="A330" s="158" t="s">
        <v>857</v>
      </c>
      <c r="B330" s="69">
        <v>13803171</v>
      </c>
      <c r="C330" s="69" t="s">
        <v>858</v>
      </c>
      <c r="D330" s="69">
        <v>0</v>
      </c>
      <c r="E330" s="70" t="s">
        <v>722</v>
      </c>
      <c r="F330" s="67" t="s">
        <v>1643</v>
      </c>
      <c r="G330" s="71">
        <v>38353</v>
      </c>
      <c r="H330" s="72"/>
      <c r="I330" s="133">
        <v>8227368.6100000003</v>
      </c>
      <c r="J330" s="134">
        <v>1176170.6299999999</v>
      </c>
      <c r="K330" s="125"/>
      <c r="L330" s="74">
        <v>2.8899999999999999E-2</v>
      </c>
      <c r="M330" s="75">
        <v>72849</v>
      </c>
      <c r="N330" s="76">
        <v>14</v>
      </c>
      <c r="O330" s="76">
        <v>0</v>
      </c>
      <c r="P330" s="83">
        <v>2520725</v>
      </c>
      <c r="Q330" s="76">
        <v>0</v>
      </c>
      <c r="R330" s="67" t="s">
        <v>1542</v>
      </c>
      <c r="S330" s="68">
        <v>890201235</v>
      </c>
      <c r="T330" s="77"/>
      <c r="U330" s="78"/>
      <c r="V330" s="63"/>
      <c r="W330" s="80">
        <v>6881800</v>
      </c>
    </row>
    <row r="331" spans="1:23" ht="15.6" x14ac:dyDescent="0.3">
      <c r="A331" s="158" t="s">
        <v>859</v>
      </c>
      <c r="B331" s="69">
        <v>13803205</v>
      </c>
      <c r="C331" s="69" t="s">
        <v>860</v>
      </c>
      <c r="D331" s="69">
        <v>0</v>
      </c>
      <c r="E331" s="70" t="s">
        <v>21</v>
      </c>
      <c r="F331" s="67" t="s">
        <v>1643</v>
      </c>
      <c r="G331" s="71">
        <v>38384</v>
      </c>
      <c r="H331" s="72"/>
      <c r="I331" s="133">
        <v>1207669.6499999999</v>
      </c>
      <c r="J331" s="134">
        <v>172646.39999999999</v>
      </c>
      <c r="K331" s="125"/>
      <c r="L331" s="74">
        <v>4.5400000000000003E-2</v>
      </c>
      <c r="M331" s="75">
        <v>88891</v>
      </c>
      <c r="N331" s="76">
        <v>14</v>
      </c>
      <c r="O331" s="76">
        <v>0</v>
      </c>
      <c r="P331" s="83">
        <v>287702</v>
      </c>
      <c r="Q331" s="83">
        <v>2106608</v>
      </c>
      <c r="R331" s="67" t="s">
        <v>1542</v>
      </c>
      <c r="S331" s="68">
        <v>890201235</v>
      </c>
      <c r="T331" s="77">
        <v>27958225</v>
      </c>
      <c r="U331" s="78" t="s">
        <v>1790</v>
      </c>
      <c r="V331" s="81"/>
      <c r="W331" s="80">
        <v>643030</v>
      </c>
    </row>
    <row r="332" spans="1:23" ht="15.6" x14ac:dyDescent="0.3">
      <c r="A332" s="158" t="s">
        <v>861</v>
      </c>
      <c r="B332" s="69">
        <v>37805436</v>
      </c>
      <c r="C332" s="69" t="s">
        <v>509</v>
      </c>
      <c r="D332" s="69">
        <v>0</v>
      </c>
      <c r="E332" s="70" t="s">
        <v>19</v>
      </c>
      <c r="F332" s="67" t="s">
        <v>1643</v>
      </c>
      <c r="G332" s="71">
        <v>38643</v>
      </c>
      <c r="H332" s="72"/>
      <c r="I332" s="133">
        <v>2020459.03</v>
      </c>
      <c r="J332" s="134">
        <v>288841.39</v>
      </c>
      <c r="K332" s="125"/>
      <c r="L332" s="74">
        <v>3.4200000000000001E-2</v>
      </c>
      <c r="M332" s="75">
        <v>50688</v>
      </c>
      <c r="N332" s="76">
        <v>14</v>
      </c>
      <c r="O332" s="76">
        <v>0</v>
      </c>
      <c r="P332" s="83">
        <v>1481530</v>
      </c>
      <c r="Q332" s="83">
        <v>1378987</v>
      </c>
      <c r="R332" s="67" t="s">
        <v>1542</v>
      </c>
      <c r="S332" s="68">
        <v>890201235</v>
      </c>
      <c r="T332" s="77"/>
      <c r="U332" s="78"/>
      <c r="V332" s="81"/>
      <c r="W332" s="80">
        <v>1428114</v>
      </c>
    </row>
    <row r="333" spans="1:23" ht="15.6" x14ac:dyDescent="0.3">
      <c r="A333" s="158" t="s">
        <v>1837</v>
      </c>
      <c r="B333" s="69">
        <v>37804047</v>
      </c>
      <c r="C333" s="69" t="s">
        <v>863</v>
      </c>
      <c r="D333" s="69">
        <v>0</v>
      </c>
      <c r="E333" s="70" t="s">
        <v>21</v>
      </c>
      <c r="F333" s="67" t="s">
        <v>1643</v>
      </c>
      <c r="G333" s="71">
        <v>38740</v>
      </c>
      <c r="H333" s="72"/>
      <c r="I333" s="133">
        <v>2409273.98</v>
      </c>
      <c r="J333" s="134">
        <v>344425.71</v>
      </c>
      <c r="K333" s="125"/>
      <c r="L333" s="74">
        <v>0.18679999999999999</v>
      </c>
      <c r="M333" s="75">
        <v>319209</v>
      </c>
      <c r="N333" s="76">
        <v>14</v>
      </c>
      <c r="O333" s="76">
        <v>0</v>
      </c>
      <c r="P333" s="83">
        <v>54859</v>
      </c>
      <c r="Q333" s="83">
        <v>1812308</v>
      </c>
      <c r="R333" s="67" t="s">
        <v>1542</v>
      </c>
      <c r="S333" s="68">
        <v>890201235</v>
      </c>
      <c r="T333" s="77"/>
      <c r="U333" s="78"/>
      <c r="V333" s="81"/>
      <c r="W333" s="80">
        <v>311780</v>
      </c>
    </row>
    <row r="334" spans="1:23" ht="15.6" x14ac:dyDescent="0.3">
      <c r="A334" s="158" t="s">
        <v>864</v>
      </c>
      <c r="B334" s="69">
        <v>5549123</v>
      </c>
      <c r="C334" s="69" t="s">
        <v>865</v>
      </c>
      <c r="D334" s="69">
        <v>0</v>
      </c>
      <c r="E334" s="70" t="s">
        <v>21</v>
      </c>
      <c r="F334" s="67" t="s">
        <v>1643</v>
      </c>
      <c r="G334" s="71">
        <v>38808</v>
      </c>
      <c r="H334" s="72"/>
      <c r="I334" s="133">
        <v>80960.17</v>
      </c>
      <c r="J334" s="134">
        <v>11573.93</v>
      </c>
      <c r="K334" s="125"/>
      <c r="L334" s="74">
        <v>1.6E-2</v>
      </c>
      <c r="M334" s="75">
        <v>31219</v>
      </c>
      <c r="N334" s="76">
        <v>14</v>
      </c>
      <c r="O334" s="76">
        <v>0</v>
      </c>
      <c r="P334" s="83">
        <v>1901609</v>
      </c>
      <c r="Q334" s="83">
        <v>49555</v>
      </c>
      <c r="R334" s="67" t="s">
        <v>1542</v>
      </c>
      <c r="S334" s="68">
        <v>890201235</v>
      </c>
      <c r="T334" s="77"/>
      <c r="U334" s="78"/>
      <c r="V334" s="81"/>
      <c r="W334" s="80">
        <v>122318</v>
      </c>
    </row>
    <row r="335" spans="1:23" ht="15.6" x14ac:dyDescent="0.3">
      <c r="A335" s="158" t="s">
        <v>866</v>
      </c>
      <c r="B335" s="69">
        <v>5566789</v>
      </c>
      <c r="C335" s="69" t="s">
        <v>867</v>
      </c>
      <c r="D335" s="69">
        <v>0</v>
      </c>
      <c r="E335" s="70" t="s">
        <v>722</v>
      </c>
      <c r="F335" s="67" t="s">
        <v>1643</v>
      </c>
      <c r="G335" s="71">
        <v>38808</v>
      </c>
      <c r="H335" s="72"/>
      <c r="I335" s="133">
        <v>35022166.899999999</v>
      </c>
      <c r="J335" s="134">
        <v>5006709.45</v>
      </c>
      <c r="K335" s="125"/>
      <c r="L335" s="74">
        <v>0.45440000000000003</v>
      </c>
      <c r="M335" s="75">
        <v>711322</v>
      </c>
      <c r="N335" s="76">
        <v>14</v>
      </c>
      <c r="O335" s="76">
        <v>0</v>
      </c>
      <c r="P335" s="83">
        <v>788714</v>
      </c>
      <c r="Q335" s="83">
        <v>852758</v>
      </c>
      <c r="R335" s="67" t="s">
        <v>1542</v>
      </c>
      <c r="S335" s="68">
        <v>890201235</v>
      </c>
      <c r="T335" s="77"/>
      <c r="U335" s="78"/>
      <c r="V335" s="81"/>
      <c r="W335" s="80">
        <v>1863132</v>
      </c>
    </row>
    <row r="336" spans="1:23" ht="15.6" x14ac:dyDescent="0.3">
      <c r="A336" s="158" t="s">
        <v>872</v>
      </c>
      <c r="B336" s="69">
        <v>13810562</v>
      </c>
      <c r="C336" s="69" t="s">
        <v>873</v>
      </c>
      <c r="D336" s="69">
        <v>0</v>
      </c>
      <c r="E336" s="70" t="s">
        <v>21</v>
      </c>
      <c r="F336" s="67" t="s">
        <v>1643</v>
      </c>
      <c r="G336" s="71">
        <v>39051</v>
      </c>
      <c r="H336" s="72"/>
      <c r="I336" s="133">
        <v>1922063.11</v>
      </c>
      <c r="J336" s="134">
        <v>274774.88</v>
      </c>
      <c r="K336" s="125"/>
      <c r="L336" s="74">
        <v>0.1174</v>
      </c>
      <c r="M336" s="75">
        <v>154604</v>
      </c>
      <c r="N336" s="76">
        <v>14</v>
      </c>
      <c r="O336" s="76">
        <v>0</v>
      </c>
      <c r="P336" s="83">
        <v>190650</v>
      </c>
      <c r="Q336" s="83">
        <v>1746214</v>
      </c>
      <c r="R336" s="67" t="s">
        <v>1542</v>
      </c>
      <c r="S336" s="68">
        <v>890201235</v>
      </c>
      <c r="T336" s="77"/>
      <c r="U336" s="78"/>
      <c r="V336" s="81"/>
      <c r="W336" s="80">
        <v>395766</v>
      </c>
    </row>
    <row r="337" spans="1:23" ht="15.6" x14ac:dyDescent="0.3">
      <c r="A337" s="158" t="s">
        <v>749</v>
      </c>
      <c r="B337" s="69">
        <v>37810875</v>
      </c>
      <c r="C337" s="69" t="s">
        <v>750</v>
      </c>
      <c r="D337" s="69">
        <v>0</v>
      </c>
      <c r="E337" s="70" t="s">
        <v>19</v>
      </c>
      <c r="F337" s="67" t="s">
        <v>1643</v>
      </c>
      <c r="G337" s="71">
        <v>39051</v>
      </c>
      <c r="H337" s="72"/>
      <c r="I337" s="133">
        <v>3940482.92</v>
      </c>
      <c r="J337" s="134">
        <v>563324.74</v>
      </c>
      <c r="K337" s="125"/>
      <c r="L337" s="74">
        <v>5.57E-2</v>
      </c>
      <c r="M337" s="75">
        <v>99606</v>
      </c>
      <c r="N337" s="76">
        <v>13</v>
      </c>
      <c r="O337" s="76">
        <v>0</v>
      </c>
      <c r="P337" s="83">
        <v>902002</v>
      </c>
      <c r="Q337" s="83">
        <v>1053907</v>
      </c>
      <c r="R337" s="67" t="s">
        <v>1542</v>
      </c>
      <c r="S337" s="68">
        <v>890201235</v>
      </c>
      <c r="T337" s="77"/>
      <c r="U337" s="78"/>
      <c r="V337" s="81"/>
      <c r="W337" s="80">
        <v>1710146</v>
      </c>
    </row>
    <row r="338" spans="1:23" ht="15.6" x14ac:dyDescent="0.3">
      <c r="A338" s="158" t="s">
        <v>876</v>
      </c>
      <c r="B338" s="69">
        <v>6753463</v>
      </c>
      <c r="C338" s="69" t="s">
        <v>877</v>
      </c>
      <c r="D338" s="69">
        <v>0</v>
      </c>
      <c r="E338" s="70" t="s">
        <v>722</v>
      </c>
      <c r="F338" s="67" t="s">
        <v>1643</v>
      </c>
      <c r="G338" s="71">
        <v>39174</v>
      </c>
      <c r="H338" s="72"/>
      <c r="I338" s="133">
        <v>288624.39</v>
      </c>
      <c r="J338" s="134">
        <v>41261.25</v>
      </c>
      <c r="K338" s="125"/>
      <c r="L338" s="74">
        <v>3.2599999999999997E-2</v>
      </c>
      <c r="M338" s="75">
        <v>68112</v>
      </c>
      <c r="N338" s="76">
        <v>14</v>
      </c>
      <c r="O338" s="76">
        <v>0</v>
      </c>
      <c r="P338" s="83">
        <v>105384</v>
      </c>
      <c r="Q338" s="83">
        <v>2250867</v>
      </c>
      <c r="R338" s="67" t="s">
        <v>1542</v>
      </c>
      <c r="S338" s="68">
        <v>890201235</v>
      </c>
      <c r="T338" s="77"/>
      <c r="U338" s="78"/>
      <c r="V338" s="81"/>
      <c r="W338" s="80">
        <v>214020</v>
      </c>
    </row>
    <row r="339" spans="1:23" ht="15.6" x14ac:dyDescent="0.3">
      <c r="A339" s="158" t="s">
        <v>878</v>
      </c>
      <c r="B339" s="69">
        <v>37809356</v>
      </c>
      <c r="C339" s="69" t="s">
        <v>879</v>
      </c>
      <c r="D339" s="69">
        <v>0</v>
      </c>
      <c r="E339" s="70" t="s">
        <v>21</v>
      </c>
      <c r="F339" s="67" t="s">
        <v>1643</v>
      </c>
      <c r="G339" s="71">
        <v>39356</v>
      </c>
      <c r="H339" s="72">
        <v>40178</v>
      </c>
      <c r="I339" s="133">
        <v>2271815.35</v>
      </c>
      <c r="J339" s="134">
        <v>324774.86</v>
      </c>
      <c r="K339" s="125"/>
      <c r="L339" s="74">
        <v>0.1115</v>
      </c>
      <c r="M339" s="75">
        <v>208500</v>
      </c>
      <c r="N339" s="76">
        <v>13</v>
      </c>
      <c r="O339" s="76">
        <v>0</v>
      </c>
      <c r="P339" s="83">
        <v>208500</v>
      </c>
      <c r="Q339" s="83">
        <v>1986331</v>
      </c>
      <c r="R339" s="67" t="s">
        <v>1542</v>
      </c>
      <c r="S339" s="68">
        <v>890201235</v>
      </c>
      <c r="T339" s="77"/>
      <c r="U339" s="78"/>
      <c r="V339" s="81"/>
      <c r="W339" s="80">
        <v>492535</v>
      </c>
    </row>
    <row r="340" spans="1:23" ht="15.6" x14ac:dyDescent="0.3">
      <c r="A340" s="158" t="s">
        <v>880</v>
      </c>
      <c r="B340" s="69">
        <v>13818680</v>
      </c>
      <c r="C340" s="69" t="s">
        <v>881</v>
      </c>
      <c r="D340" s="69">
        <v>0</v>
      </c>
      <c r="E340" s="70" t="s">
        <v>472</v>
      </c>
      <c r="F340" s="67" t="s">
        <v>1643</v>
      </c>
      <c r="G340" s="71">
        <v>39416</v>
      </c>
      <c r="H340" s="72">
        <v>40178</v>
      </c>
      <c r="I340" s="133">
        <v>1325485.8899999999</v>
      </c>
      <c r="J340" s="134">
        <v>189489.21</v>
      </c>
      <c r="K340" s="125"/>
      <c r="L340" s="74">
        <v>6.7599999999999993E-2</v>
      </c>
      <c r="M340" s="75">
        <v>17595</v>
      </c>
      <c r="N340" s="76">
        <v>13</v>
      </c>
      <c r="O340" s="76">
        <v>0</v>
      </c>
      <c r="P340" s="83">
        <v>376474</v>
      </c>
      <c r="Q340" s="83">
        <v>1368792</v>
      </c>
      <c r="R340" s="67" t="s">
        <v>1542</v>
      </c>
      <c r="S340" s="68">
        <v>890201235</v>
      </c>
      <c r="T340" s="77"/>
      <c r="U340" s="78"/>
      <c r="V340" s="81"/>
      <c r="W340" s="80">
        <v>473988</v>
      </c>
    </row>
    <row r="341" spans="1:23" ht="15.6" x14ac:dyDescent="0.3">
      <c r="A341" s="158" t="s">
        <v>882</v>
      </c>
      <c r="B341" s="69">
        <v>37814386</v>
      </c>
      <c r="C341" s="69" t="s">
        <v>883</v>
      </c>
      <c r="D341" s="69">
        <v>0</v>
      </c>
      <c r="E341" s="70" t="s">
        <v>21</v>
      </c>
      <c r="F341" s="67" t="s">
        <v>1643</v>
      </c>
      <c r="G341" s="71">
        <v>39479</v>
      </c>
      <c r="H341" s="72">
        <v>40178</v>
      </c>
      <c r="I341" s="133">
        <v>11157924.359999999</v>
      </c>
      <c r="J341" s="134">
        <v>1595117.9</v>
      </c>
      <c r="K341" s="125"/>
      <c r="L341" s="74">
        <v>0.24709999999999999</v>
      </c>
      <c r="M341" s="75">
        <v>489171</v>
      </c>
      <c r="N341" s="76">
        <v>13</v>
      </c>
      <c r="O341" s="76">
        <v>0</v>
      </c>
      <c r="P341" s="83">
        <v>488379</v>
      </c>
      <c r="Q341" s="83">
        <v>1978434</v>
      </c>
      <c r="R341" s="67" t="s">
        <v>1542</v>
      </c>
      <c r="S341" s="68">
        <v>890201235</v>
      </c>
      <c r="T341" s="77"/>
      <c r="U341" s="78"/>
      <c r="V341" s="81"/>
      <c r="W341" s="80">
        <v>1091565</v>
      </c>
    </row>
    <row r="342" spans="1:23" ht="15.6" x14ac:dyDescent="0.3">
      <c r="A342" s="158" t="s">
        <v>884</v>
      </c>
      <c r="B342" s="69">
        <v>5567032</v>
      </c>
      <c r="C342" s="69" t="s">
        <v>885</v>
      </c>
      <c r="D342" s="69">
        <v>0</v>
      </c>
      <c r="E342" s="70" t="s">
        <v>722</v>
      </c>
      <c r="F342" s="67" t="s">
        <v>1643</v>
      </c>
      <c r="G342" s="71">
        <v>39569</v>
      </c>
      <c r="H342" s="72">
        <v>40178</v>
      </c>
      <c r="I342" s="133">
        <v>12304236.51</v>
      </c>
      <c r="J342" s="134">
        <v>1758992.74</v>
      </c>
      <c r="K342" s="125"/>
      <c r="L342" s="74">
        <v>0.24390000000000001</v>
      </c>
      <c r="M342" s="75">
        <v>506072</v>
      </c>
      <c r="N342" s="76">
        <v>14</v>
      </c>
      <c r="O342" s="76">
        <v>0</v>
      </c>
      <c r="P342" s="83">
        <v>545620</v>
      </c>
      <c r="Q342" s="83">
        <v>1726200</v>
      </c>
      <c r="R342" s="67" t="s">
        <v>1542</v>
      </c>
      <c r="S342" s="68">
        <v>890201235</v>
      </c>
      <c r="T342" s="77"/>
      <c r="U342" s="78"/>
      <c r="V342" s="81"/>
      <c r="W342" s="80">
        <v>1219500</v>
      </c>
    </row>
    <row r="343" spans="1:23" ht="15.6" x14ac:dyDescent="0.3">
      <c r="A343" s="158" t="s">
        <v>886</v>
      </c>
      <c r="B343" s="69">
        <v>5644931</v>
      </c>
      <c r="C343" s="69" t="s">
        <v>887</v>
      </c>
      <c r="D343" s="69">
        <v>0</v>
      </c>
      <c r="E343" s="70" t="s">
        <v>472</v>
      </c>
      <c r="F343" s="67" t="s">
        <v>1643</v>
      </c>
      <c r="G343" s="71">
        <v>39783</v>
      </c>
      <c r="H343" s="72">
        <v>40178</v>
      </c>
      <c r="I343" s="133">
        <v>22230554</v>
      </c>
      <c r="J343" s="134">
        <v>3178042.21</v>
      </c>
      <c r="K343" s="125"/>
      <c r="L343" s="74">
        <v>0.32290000000000002</v>
      </c>
      <c r="M343" s="75">
        <v>1270699</v>
      </c>
      <c r="N343" s="76">
        <v>13</v>
      </c>
      <c r="O343" s="76">
        <v>0</v>
      </c>
      <c r="P343" s="83">
        <v>896506</v>
      </c>
      <c r="Q343" s="83">
        <v>3841516</v>
      </c>
      <c r="R343" s="67" t="s">
        <v>1542</v>
      </c>
      <c r="S343" s="68">
        <v>890201235</v>
      </c>
      <c r="T343" s="77"/>
      <c r="U343" s="78"/>
      <c r="V343" s="81"/>
      <c r="W343" s="80">
        <v>1664260</v>
      </c>
    </row>
    <row r="344" spans="1:23" ht="15.6" x14ac:dyDescent="0.3">
      <c r="A344" s="158" t="s">
        <v>898</v>
      </c>
      <c r="B344" s="69">
        <v>29638027</v>
      </c>
      <c r="C344" s="69" t="s">
        <v>899</v>
      </c>
      <c r="D344" s="69">
        <v>0</v>
      </c>
      <c r="E344" s="70" t="s">
        <v>472</v>
      </c>
      <c r="F344" s="67" t="s">
        <v>1643</v>
      </c>
      <c r="G344" s="71">
        <v>32842</v>
      </c>
      <c r="H344" s="72">
        <v>40178</v>
      </c>
      <c r="I344" s="133">
        <v>11407110.130000001</v>
      </c>
      <c r="J344" s="134">
        <v>1630741.08</v>
      </c>
      <c r="K344" s="125"/>
      <c r="L344" s="74">
        <v>8.5300000000000001E-2</v>
      </c>
      <c r="M344" s="75">
        <v>14316</v>
      </c>
      <c r="N344" s="76">
        <v>14</v>
      </c>
      <c r="O344" s="76"/>
      <c r="P344" s="76"/>
      <c r="Q344" s="76"/>
      <c r="R344" s="67" t="s">
        <v>1549</v>
      </c>
      <c r="S344" s="68">
        <v>890303461</v>
      </c>
      <c r="T344" s="77"/>
      <c r="U344" s="78"/>
      <c r="V344" s="81"/>
      <c r="W344" s="80">
        <v>3232701</v>
      </c>
    </row>
    <row r="345" spans="1:23" ht="15.6" x14ac:dyDescent="0.3">
      <c r="A345" s="158" t="s">
        <v>1838</v>
      </c>
      <c r="B345" s="69">
        <v>22353595</v>
      </c>
      <c r="C345" s="69" t="s">
        <v>901</v>
      </c>
      <c r="D345" s="69">
        <v>0</v>
      </c>
      <c r="E345" s="70" t="s">
        <v>472</v>
      </c>
      <c r="F345" s="67" t="s">
        <v>1643</v>
      </c>
      <c r="G345" s="71">
        <v>34912</v>
      </c>
      <c r="H345" s="72"/>
      <c r="I345" s="133">
        <v>176322.95</v>
      </c>
      <c r="J345" s="134">
        <v>25206.83</v>
      </c>
      <c r="K345" s="125"/>
      <c r="L345" s="74">
        <v>2.3E-2</v>
      </c>
      <c r="M345" s="75">
        <v>5561</v>
      </c>
      <c r="N345" s="76">
        <v>14</v>
      </c>
      <c r="O345" s="76"/>
      <c r="P345" s="76"/>
      <c r="Q345" s="76"/>
      <c r="R345" s="67" t="s">
        <v>1549</v>
      </c>
      <c r="S345" s="68">
        <v>890303461</v>
      </c>
      <c r="T345" s="77"/>
      <c r="U345" s="78"/>
      <c r="V345" s="81"/>
      <c r="W345" s="80">
        <v>185319</v>
      </c>
    </row>
    <row r="346" spans="1:23" ht="15.6" x14ac:dyDescent="0.3">
      <c r="A346" s="158" t="s">
        <v>1839</v>
      </c>
      <c r="B346" s="69">
        <v>14955542</v>
      </c>
      <c r="C346" s="69" t="s">
        <v>903</v>
      </c>
      <c r="D346" s="69">
        <v>0</v>
      </c>
      <c r="E346" s="70" t="s">
        <v>472</v>
      </c>
      <c r="F346" s="67" t="s">
        <v>1643</v>
      </c>
      <c r="G346" s="71">
        <v>36494</v>
      </c>
      <c r="H346" s="72"/>
      <c r="I346" s="133">
        <v>39262398.390000001</v>
      </c>
      <c r="J346" s="134">
        <v>5612885.7400000002</v>
      </c>
      <c r="K346" s="125"/>
      <c r="L346" s="74">
        <v>0.4325</v>
      </c>
      <c r="M346" s="75">
        <v>470431</v>
      </c>
      <c r="N346" s="76">
        <v>14</v>
      </c>
      <c r="O346" s="76"/>
      <c r="P346" s="76"/>
      <c r="Q346" s="76"/>
      <c r="R346" s="67" t="s">
        <v>1549</v>
      </c>
      <c r="S346" s="68">
        <v>890303461</v>
      </c>
      <c r="T346" s="77"/>
      <c r="U346" s="78"/>
      <c r="V346" s="81"/>
      <c r="W346" s="80">
        <v>2194470</v>
      </c>
    </row>
    <row r="347" spans="1:23" ht="15.6" x14ac:dyDescent="0.3">
      <c r="A347" s="158" t="s">
        <v>1185</v>
      </c>
      <c r="B347" s="69">
        <v>6435800</v>
      </c>
      <c r="C347" s="69" t="s">
        <v>1186</v>
      </c>
      <c r="D347" s="69">
        <v>0</v>
      </c>
      <c r="E347" s="70" t="s">
        <v>472</v>
      </c>
      <c r="F347" s="67" t="s">
        <v>1643</v>
      </c>
      <c r="G347" s="71">
        <v>35033</v>
      </c>
      <c r="H347" s="72">
        <v>44561</v>
      </c>
      <c r="I347" s="133">
        <v>717553.56</v>
      </c>
      <c r="J347" s="134">
        <v>102580.24</v>
      </c>
      <c r="K347" s="125"/>
      <c r="L347" s="74">
        <v>4.2900000000000001E-2</v>
      </c>
      <c r="M347" s="75">
        <v>14225</v>
      </c>
      <c r="N347" s="76">
        <v>14</v>
      </c>
      <c r="O347" s="76"/>
      <c r="P347" s="76"/>
      <c r="Q347" s="76"/>
      <c r="R347" s="67" t="s">
        <v>1576</v>
      </c>
      <c r="S347" s="68">
        <v>890904996</v>
      </c>
      <c r="T347" s="77"/>
      <c r="U347" s="78"/>
      <c r="V347" s="81"/>
      <c r="W347" s="80">
        <v>404330</v>
      </c>
    </row>
    <row r="348" spans="1:23" ht="15.6" x14ac:dyDescent="0.3">
      <c r="A348" s="158" t="s">
        <v>1858</v>
      </c>
      <c r="B348" s="69">
        <v>6781718</v>
      </c>
      <c r="C348" s="69" t="s">
        <v>1134</v>
      </c>
      <c r="D348" s="69">
        <v>0</v>
      </c>
      <c r="E348" s="70" t="s">
        <v>592</v>
      </c>
      <c r="F348" s="67" t="s">
        <v>1643</v>
      </c>
      <c r="G348" s="71">
        <v>35905</v>
      </c>
      <c r="H348" s="72">
        <v>44561</v>
      </c>
      <c r="I348" s="133">
        <v>38518662.689999998</v>
      </c>
      <c r="J348" s="134">
        <v>5506562.5499999998</v>
      </c>
      <c r="K348" s="125"/>
      <c r="L348" s="74">
        <v>0.23730000000000001</v>
      </c>
      <c r="M348" s="96">
        <v>609757</v>
      </c>
      <c r="N348" s="76">
        <v>14</v>
      </c>
      <c r="O348" s="76"/>
      <c r="P348" s="76"/>
      <c r="Q348" s="76"/>
      <c r="R348" s="67" t="s">
        <v>1576</v>
      </c>
      <c r="S348" s="68">
        <v>890904996</v>
      </c>
      <c r="T348" s="77">
        <v>32338646</v>
      </c>
      <c r="U348" s="78" t="s">
        <v>1791</v>
      </c>
      <c r="V348" s="81"/>
      <c r="W348" s="80">
        <v>3923850</v>
      </c>
    </row>
    <row r="349" spans="1:23" ht="15.6" x14ac:dyDescent="0.3">
      <c r="A349" s="158" t="s">
        <v>1190</v>
      </c>
      <c r="B349" s="69">
        <v>8276654</v>
      </c>
      <c r="C349" s="69" t="s">
        <v>1191</v>
      </c>
      <c r="D349" s="69">
        <v>0</v>
      </c>
      <c r="E349" s="70" t="s">
        <v>472</v>
      </c>
      <c r="F349" s="67" t="s">
        <v>1643</v>
      </c>
      <c r="G349" s="71">
        <v>38991</v>
      </c>
      <c r="H349" s="72"/>
      <c r="I349" s="133">
        <v>6273458.7400000002</v>
      </c>
      <c r="J349" s="134">
        <v>896843</v>
      </c>
      <c r="K349" s="125"/>
      <c r="L349" s="74">
        <v>0.20930000000000001</v>
      </c>
      <c r="M349" s="75">
        <v>358738</v>
      </c>
      <c r="N349" s="76">
        <v>14</v>
      </c>
      <c r="O349" s="76"/>
      <c r="P349" s="76"/>
      <c r="Q349" s="76"/>
      <c r="R349" s="67" t="s">
        <v>1576</v>
      </c>
      <c r="S349" s="68">
        <v>890904996</v>
      </c>
      <c r="T349" s="77"/>
      <c r="U349" s="78"/>
      <c r="V349" s="81"/>
      <c r="W349" s="80">
        <v>724564</v>
      </c>
    </row>
    <row r="350" spans="1:23" ht="15.6" x14ac:dyDescent="0.3">
      <c r="A350" s="158" t="s">
        <v>977</v>
      </c>
      <c r="B350" s="69">
        <v>6366164</v>
      </c>
      <c r="C350" s="69" t="s">
        <v>978</v>
      </c>
      <c r="D350" s="69">
        <v>0</v>
      </c>
      <c r="E350" s="70" t="s">
        <v>19</v>
      </c>
      <c r="F350" s="67" t="s">
        <v>1643</v>
      </c>
      <c r="G350" s="71">
        <v>34700</v>
      </c>
      <c r="H350" s="72"/>
      <c r="I350" s="133">
        <v>1911567.68</v>
      </c>
      <c r="J350" s="134">
        <v>273274.46999999997</v>
      </c>
      <c r="K350" s="125"/>
      <c r="L350" s="74">
        <v>6.7500000000000004E-2</v>
      </c>
      <c r="M350" s="75">
        <v>184299</v>
      </c>
      <c r="N350" s="76">
        <v>14</v>
      </c>
      <c r="O350" s="76"/>
      <c r="P350" s="76"/>
      <c r="Q350" s="76"/>
      <c r="R350" s="67" t="s">
        <v>1588</v>
      </c>
      <c r="S350" s="68">
        <v>891380007</v>
      </c>
      <c r="T350" s="77"/>
      <c r="U350" s="78"/>
      <c r="V350" s="81"/>
      <c r="W350" s="80">
        <v>684581</v>
      </c>
    </row>
    <row r="351" spans="1:23" ht="15.6" x14ac:dyDescent="0.3">
      <c r="A351" s="158" t="s">
        <v>1247</v>
      </c>
      <c r="B351" s="69">
        <v>31138356</v>
      </c>
      <c r="C351" s="69" t="s">
        <v>1248</v>
      </c>
      <c r="D351" s="69">
        <v>0</v>
      </c>
      <c r="E351" s="70" t="s">
        <v>592</v>
      </c>
      <c r="F351" s="67" t="s">
        <v>1643</v>
      </c>
      <c r="G351" s="71">
        <v>39479</v>
      </c>
      <c r="H351" s="72">
        <v>45156</v>
      </c>
      <c r="I351" s="133">
        <v>306203.64</v>
      </c>
      <c r="J351" s="134">
        <v>43774.35</v>
      </c>
      <c r="K351" s="125"/>
      <c r="L351" s="74">
        <v>7.8899999999999998E-2</v>
      </c>
      <c r="M351" s="75">
        <v>155941</v>
      </c>
      <c r="N351" s="76">
        <v>13</v>
      </c>
      <c r="O351" s="76"/>
      <c r="P351" s="76"/>
      <c r="Q351" s="76"/>
      <c r="R351" s="67" t="s">
        <v>1588</v>
      </c>
      <c r="S351" s="68">
        <v>891380007</v>
      </c>
      <c r="T351" s="77"/>
      <c r="U351" s="78"/>
      <c r="V351" s="81"/>
      <c r="W351" s="80">
        <v>93815</v>
      </c>
    </row>
    <row r="352" spans="1:23" ht="15.6" x14ac:dyDescent="0.3">
      <c r="A352" s="158" t="s">
        <v>1256</v>
      </c>
      <c r="B352" s="69">
        <v>10055169</v>
      </c>
      <c r="C352" s="69" t="s">
        <v>1257</v>
      </c>
      <c r="D352" s="69">
        <v>0</v>
      </c>
      <c r="E352" s="70" t="s">
        <v>19</v>
      </c>
      <c r="F352" s="67" t="s">
        <v>1643</v>
      </c>
      <c r="G352" s="71">
        <v>37407</v>
      </c>
      <c r="H352" s="119"/>
      <c r="I352" s="133">
        <v>16647751.73</v>
      </c>
      <c r="J352" s="134">
        <v>2379934.29</v>
      </c>
      <c r="K352" s="125"/>
      <c r="L352" s="74">
        <v>0.14499999999999999</v>
      </c>
      <c r="M352" s="75">
        <v>157711</v>
      </c>
      <c r="N352" s="76">
        <v>14</v>
      </c>
      <c r="O352" s="76"/>
      <c r="P352" s="76"/>
      <c r="Q352" s="76"/>
      <c r="R352" s="67" t="s">
        <v>1592</v>
      </c>
      <c r="S352" s="68">
        <v>891480030</v>
      </c>
      <c r="T352" s="77">
        <v>31405287</v>
      </c>
      <c r="U352" s="78" t="s">
        <v>1752</v>
      </c>
      <c r="V352" s="81"/>
      <c r="W352" s="80">
        <v>2775406</v>
      </c>
    </row>
    <row r="353" spans="1:23" ht="16.2" thickBot="1" x14ac:dyDescent="0.35">
      <c r="A353" s="158" t="s">
        <v>1258</v>
      </c>
      <c r="B353" s="69">
        <v>25168950</v>
      </c>
      <c r="C353" s="69" t="s">
        <v>1259</v>
      </c>
      <c r="D353" s="69">
        <v>0</v>
      </c>
      <c r="E353" s="70" t="s">
        <v>592</v>
      </c>
      <c r="F353" s="67" t="s">
        <v>1643</v>
      </c>
      <c r="G353" s="71">
        <v>40210</v>
      </c>
      <c r="H353" s="119"/>
      <c r="I353" s="133">
        <v>937024.42</v>
      </c>
      <c r="J353" s="134">
        <v>133955.42000000001</v>
      </c>
      <c r="K353" s="128"/>
      <c r="L353" s="74">
        <v>6.0600000000000001E-2</v>
      </c>
      <c r="M353" s="75">
        <v>127705</v>
      </c>
      <c r="N353" s="76">
        <v>13</v>
      </c>
      <c r="O353" s="76"/>
      <c r="P353" s="76"/>
      <c r="Q353" s="76"/>
      <c r="R353" s="67" t="s">
        <v>1592</v>
      </c>
      <c r="S353" s="68">
        <v>891480030</v>
      </c>
      <c r="T353" s="77"/>
      <c r="U353" s="78"/>
      <c r="V353" s="81"/>
      <c r="W353" s="80">
        <v>373781</v>
      </c>
    </row>
    <row r="354" spans="1:23" ht="15.6" x14ac:dyDescent="0.3">
      <c r="A354" s="158" t="s">
        <v>1256</v>
      </c>
      <c r="B354" s="69">
        <v>10055169</v>
      </c>
      <c r="C354" s="69" t="s">
        <v>1257</v>
      </c>
      <c r="D354" s="69">
        <v>0</v>
      </c>
      <c r="E354" s="70" t="s">
        <v>472</v>
      </c>
      <c r="F354" s="67" t="s">
        <v>1643</v>
      </c>
      <c r="G354" s="71">
        <v>37407</v>
      </c>
      <c r="H354" s="119" t="s">
        <v>1056</v>
      </c>
      <c r="I354" s="133">
        <v>16647751.73</v>
      </c>
      <c r="J354" s="134">
        <v>2379934.29</v>
      </c>
      <c r="K354" s="125"/>
      <c r="L354" s="74">
        <v>0.14499999999999999</v>
      </c>
      <c r="M354" s="75">
        <v>250818</v>
      </c>
      <c r="N354" s="76">
        <v>14</v>
      </c>
      <c r="O354" s="76">
        <v>0</v>
      </c>
      <c r="P354" s="83">
        <v>1072511</v>
      </c>
      <c r="Q354" s="83">
        <v>1005612</v>
      </c>
      <c r="R354" s="67" t="s">
        <v>1593</v>
      </c>
      <c r="S354" s="68">
        <v>891480085</v>
      </c>
      <c r="T354" s="77">
        <v>31405287</v>
      </c>
      <c r="U354" s="78" t="s">
        <v>1752</v>
      </c>
      <c r="V354" s="81"/>
      <c r="W354" s="80">
        <v>2775406</v>
      </c>
    </row>
    <row r="355" spans="1:23" ht="16.2" thickBot="1" x14ac:dyDescent="0.35">
      <c r="A355" s="158" t="s">
        <v>1262</v>
      </c>
      <c r="B355" s="147">
        <v>10217838</v>
      </c>
      <c r="C355" s="69" t="s">
        <v>1263</v>
      </c>
      <c r="D355" s="69">
        <v>0</v>
      </c>
      <c r="E355" s="91" t="s">
        <v>472</v>
      </c>
      <c r="F355" s="67" t="s">
        <v>1643</v>
      </c>
      <c r="G355" s="71">
        <v>39050</v>
      </c>
      <c r="H355" s="120">
        <v>41425</v>
      </c>
      <c r="I355" s="133">
        <v>4168307.56</v>
      </c>
      <c r="J355" s="134">
        <v>595894.16</v>
      </c>
      <c r="K355" s="128"/>
      <c r="L355" s="74">
        <v>8.1500000000000003E-2</v>
      </c>
      <c r="M355" s="100">
        <v>143336</v>
      </c>
      <c r="N355" s="76">
        <v>14</v>
      </c>
      <c r="O355" s="76">
        <v>0</v>
      </c>
      <c r="P355" s="83">
        <v>169166</v>
      </c>
      <c r="Q355" s="83">
        <v>2164849</v>
      </c>
      <c r="R355" s="67" t="s">
        <v>1593</v>
      </c>
      <c r="S355" s="68">
        <v>891480085</v>
      </c>
      <c r="T355" s="77"/>
      <c r="U355" s="78"/>
      <c r="V355" s="81"/>
      <c r="W355" s="80">
        <v>1236349</v>
      </c>
    </row>
    <row r="356" spans="1:23" ht="16.2" thickBot="1" x14ac:dyDescent="0.35">
      <c r="A356" s="158" t="s">
        <v>1264</v>
      </c>
      <c r="B356" s="148">
        <v>4575380</v>
      </c>
      <c r="C356" s="69" t="s">
        <v>1265</v>
      </c>
      <c r="D356" s="69">
        <v>0</v>
      </c>
      <c r="E356" s="95" t="s">
        <v>19</v>
      </c>
      <c r="F356" s="67" t="s">
        <v>1643</v>
      </c>
      <c r="G356" s="71">
        <v>39232</v>
      </c>
      <c r="H356" s="121">
        <v>41639</v>
      </c>
      <c r="I356" s="133">
        <v>3783665.22</v>
      </c>
      <c r="J356" s="134">
        <v>540906.35</v>
      </c>
      <c r="K356" s="132"/>
      <c r="L356" s="74">
        <v>9.4299999999999995E-2</v>
      </c>
      <c r="M356" s="96">
        <v>167513</v>
      </c>
      <c r="N356" s="76">
        <v>14</v>
      </c>
      <c r="O356" s="76">
        <v>0</v>
      </c>
      <c r="P356" s="83">
        <v>467244</v>
      </c>
      <c r="Q356" s="83">
        <v>2102071</v>
      </c>
      <c r="R356" s="67" t="s">
        <v>1593</v>
      </c>
      <c r="S356" s="68">
        <v>891480085</v>
      </c>
      <c r="T356" s="77"/>
      <c r="U356" s="78"/>
      <c r="V356" s="81"/>
      <c r="W356" s="80">
        <v>969929</v>
      </c>
    </row>
    <row r="357" spans="1:23" ht="15.6" x14ac:dyDescent="0.3">
      <c r="A357" s="158" t="s">
        <v>1800</v>
      </c>
      <c r="B357" s="69">
        <v>467493</v>
      </c>
      <c r="C357" s="69" t="s">
        <v>1398</v>
      </c>
      <c r="D357" s="69">
        <v>0</v>
      </c>
      <c r="E357" s="70" t="s">
        <v>21</v>
      </c>
      <c r="F357" s="67" t="s">
        <v>1643</v>
      </c>
      <c r="G357" s="71">
        <v>27883</v>
      </c>
      <c r="H357" s="119">
        <v>44196</v>
      </c>
      <c r="I357" s="133">
        <v>126620414.26000001</v>
      </c>
      <c r="J357" s="134">
        <v>18101439.210000001</v>
      </c>
      <c r="K357" s="125"/>
      <c r="L357" s="74">
        <v>0.53349999999999997</v>
      </c>
      <c r="M357" s="75">
        <v>12544</v>
      </c>
      <c r="N357" s="76">
        <v>14</v>
      </c>
      <c r="O357" s="76">
        <v>0</v>
      </c>
      <c r="P357" s="83">
        <v>48698</v>
      </c>
      <c r="Q357" s="83">
        <v>37653</v>
      </c>
      <c r="R357" s="67" t="s">
        <v>1628</v>
      </c>
      <c r="S357" s="68">
        <v>899999114</v>
      </c>
      <c r="T357" s="77">
        <v>20150950</v>
      </c>
      <c r="U357" s="78" t="s">
        <v>1768</v>
      </c>
      <c r="V357" s="81"/>
      <c r="W357" s="80">
        <v>5737309</v>
      </c>
    </row>
    <row r="358" spans="1:23" ht="15.6" x14ac:dyDescent="0.3">
      <c r="A358" s="158" t="s">
        <v>674</v>
      </c>
      <c r="B358" s="69">
        <v>48463</v>
      </c>
      <c r="C358" s="69" t="s">
        <v>675</v>
      </c>
      <c r="D358" s="69">
        <v>0</v>
      </c>
      <c r="E358" s="70" t="s">
        <v>21</v>
      </c>
      <c r="F358" s="67" t="s">
        <v>1643</v>
      </c>
      <c r="G358" s="71">
        <v>28682</v>
      </c>
      <c r="H358" s="119">
        <v>44196</v>
      </c>
      <c r="I358" s="135">
        <v>6527079.5199999996</v>
      </c>
      <c r="J358" s="134">
        <v>933100.19</v>
      </c>
      <c r="K358" s="125"/>
      <c r="L358" s="74">
        <v>0.1135</v>
      </c>
      <c r="M358" s="75">
        <v>1153</v>
      </c>
      <c r="N358" s="76">
        <v>14</v>
      </c>
      <c r="O358" s="76">
        <v>0</v>
      </c>
      <c r="P358" s="83">
        <v>50047</v>
      </c>
      <c r="Q358" s="83">
        <v>51720</v>
      </c>
      <c r="R358" s="67" t="s">
        <v>1628</v>
      </c>
      <c r="S358" s="68">
        <v>899999114</v>
      </c>
      <c r="T358" s="77">
        <v>41353549</v>
      </c>
      <c r="U358" s="78" t="s">
        <v>1676</v>
      </c>
      <c r="V358" s="81"/>
      <c r="W358" s="80">
        <v>1390151</v>
      </c>
    </row>
    <row r="359" spans="1:23" ht="15.6" x14ac:dyDescent="0.3">
      <c r="A359" s="158" t="s">
        <v>1801</v>
      </c>
      <c r="B359" s="148">
        <v>28505549</v>
      </c>
      <c r="C359" s="69" t="s">
        <v>614</v>
      </c>
      <c r="D359" s="69">
        <v>0</v>
      </c>
      <c r="E359" s="95" t="s">
        <v>21</v>
      </c>
      <c r="F359" s="67" t="s">
        <v>1643</v>
      </c>
      <c r="G359" s="71">
        <v>28897</v>
      </c>
      <c r="H359" s="119">
        <v>41274</v>
      </c>
      <c r="I359" s="133">
        <v>34938077.350000001</v>
      </c>
      <c r="J359" s="134">
        <v>4994688.16</v>
      </c>
      <c r="K359" s="125"/>
      <c r="L359" s="74">
        <v>0.35099999999999998</v>
      </c>
      <c r="M359" s="96">
        <v>6692</v>
      </c>
      <c r="N359" s="76">
        <v>14</v>
      </c>
      <c r="O359" s="76">
        <v>0</v>
      </c>
      <c r="P359" s="83">
        <v>30507</v>
      </c>
      <c r="Q359" s="83">
        <v>11298</v>
      </c>
      <c r="R359" s="67" t="s">
        <v>1628</v>
      </c>
      <c r="S359" s="68">
        <v>899999114</v>
      </c>
      <c r="T359" s="77">
        <v>1796134</v>
      </c>
      <c r="U359" s="78" t="s">
        <v>1671</v>
      </c>
      <c r="V359" s="81"/>
      <c r="W359" s="80">
        <v>2406195</v>
      </c>
    </row>
    <row r="360" spans="1:23" ht="15.6" x14ac:dyDescent="0.3">
      <c r="A360" s="158" t="s">
        <v>1796</v>
      </c>
      <c r="B360" s="69">
        <v>48483</v>
      </c>
      <c r="C360" s="69" t="s">
        <v>1404</v>
      </c>
      <c r="D360" s="69">
        <v>0</v>
      </c>
      <c r="E360" s="70" t="s">
        <v>472</v>
      </c>
      <c r="F360" s="67" t="s">
        <v>1643</v>
      </c>
      <c r="G360" s="71">
        <v>30317</v>
      </c>
      <c r="H360" s="119">
        <v>44196</v>
      </c>
      <c r="I360" s="135">
        <v>6640975.2300000004</v>
      </c>
      <c r="J360" s="134">
        <v>949382.53</v>
      </c>
      <c r="K360" s="125"/>
      <c r="L360" s="74">
        <v>0.1479</v>
      </c>
      <c r="M360" s="75">
        <v>3497</v>
      </c>
      <c r="N360" s="76">
        <v>14</v>
      </c>
      <c r="O360" s="76">
        <v>0</v>
      </c>
      <c r="P360" s="83">
        <v>82637</v>
      </c>
      <c r="Q360" s="83">
        <v>81510</v>
      </c>
      <c r="R360" s="67" t="s">
        <v>1628</v>
      </c>
      <c r="S360" s="68">
        <v>899999114</v>
      </c>
      <c r="T360" s="77">
        <v>20119888</v>
      </c>
      <c r="U360" s="78" t="s">
        <v>1771</v>
      </c>
      <c r="V360" s="81"/>
      <c r="W360" s="80">
        <v>1085432</v>
      </c>
    </row>
    <row r="361" spans="1:23" ht="15.6" x14ac:dyDescent="0.3">
      <c r="A361" s="158" t="s">
        <v>1411</v>
      </c>
      <c r="B361" s="69">
        <v>29022287</v>
      </c>
      <c r="C361" s="69" t="s">
        <v>1412</v>
      </c>
      <c r="D361" s="69">
        <v>0</v>
      </c>
      <c r="E361" s="70" t="s">
        <v>21</v>
      </c>
      <c r="F361" s="67" t="s">
        <v>1643</v>
      </c>
      <c r="G361" s="71">
        <v>32143</v>
      </c>
      <c r="H361" s="119">
        <v>44196</v>
      </c>
      <c r="I361" s="135">
        <v>34768304.289999999</v>
      </c>
      <c r="J361" s="134">
        <v>4970417.6900000004</v>
      </c>
      <c r="K361" s="125"/>
      <c r="L361" s="74">
        <v>0.2606</v>
      </c>
      <c r="M361" s="75">
        <v>26065</v>
      </c>
      <c r="N361" s="76">
        <v>14</v>
      </c>
      <c r="O361" s="76">
        <v>0</v>
      </c>
      <c r="P361" s="83">
        <v>331467</v>
      </c>
      <c r="Q361" s="83">
        <v>98700</v>
      </c>
      <c r="R361" s="67" t="s">
        <v>1628</v>
      </c>
      <c r="S361" s="68">
        <v>899999114</v>
      </c>
      <c r="T361" s="77"/>
      <c r="U361" s="78"/>
      <c r="V361" s="81"/>
      <c r="W361" s="80">
        <v>3225136</v>
      </c>
    </row>
    <row r="362" spans="1:23" ht="15.6" x14ac:dyDescent="0.3">
      <c r="A362" s="158" t="s">
        <v>1413</v>
      </c>
      <c r="B362" s="69">
        <v>23251569</v>
      </c>
      <c r="C362" s="69" t="s">
        <v>1414</v>
      </c>
      <c r="D362" s="69">
        <v>0</v>
      </c>
      <c r="E362" s="70" t="s">
        <v>21</v>
      </c>
      <c r="F362" s="67" t="s">
        <v>1643</v>
      </c>
      <c r="G362" s="71">
        <v>32509</v>
      </c>
      <c r="H362" s="119">
        <v>44196</v>
      </c>
      <c r="I362" s="133">
        <v>2993750.91</v>
      </c>
      <c r="J362" s="134">
        <v>427981.54</v>
      </c>
      <c r="K362" s="125"/>
      <c r="L362" s="74">
        <v>3.7499999999999999E-2</v>
      </c>
      <c r="M362" s="75">
        <v>3526</v>
      </c>
      <c r="N362" s="76">
        <v>14</v>
      </c>
      <c r="O362" s="76">
        <v>0</v>
      </c>
      <c r="P362" s="83">
        <v>51528</v>
      </c>
      <c r="Q362" s="83">
        <v>59179</v>
      </c>
      <c r="R362" s="67" t="s">
        <v>1628</v>
      </c>
      <c r="S362" s="68">
        <v>899999114</v>
      </c>
      <c r="T362" s="77"/>
      <c r="U362" s="78"/>
      <c r="V362" s="81"/>
      <c r="W362" s="80">
        <v>1929849</v>
      </c>
    </row>
    <row r="363" spans="1:23" ht="15.6" x14ac:dyDescent="0.3">
      <c r="A363" s="158" t="s">
        <v>1415</v>
      </c>
      <c r="B363" s="69">
        <v>20288423</v>
      </c>
      <c r="C363" s="69" t="s">
        <v>1416</v>
      </c>
      <c r="D363" s="69">
        <v>0</v>
      </c>
      <c r="E363" s="70" t="s">
        <v>818</v>
      </c>
      <c r="F363" s="67" t="s">
        <v>1643</v>
      </c>
      <c r="G363" s="71">
        <v>33207</v>
      </c>
      <c r="H363" s="119"/>
      <c r="I363" s="133">
        <v>12989523</v>
      </c>
      <c r="J363" s="134">
        <v>1856960.13</v>
      </c>
      <c r="K363" s="125"/>
      <c r="L363" s="74">
        <v>0.12529999999999999</v>
      </c>
      <c r="M363" s="75">
        <v>19600</v>
      </c>
      <c r="N363" s="76">
        <v>14</v>
      </c>
      <c r="O363" s="76"/>
      <c r="P363" s="76"/>
      <c r="Q363" s="76"/>
      <c r="R363" s="67" t="s">
        <v>1628</v>
      </c>
      <c r="S363" s="68">
        <v>899999114</v>
      </c>
      <c r="T363" s="77"/>
      <c r="U363" s="78"/>
      <c r="V363" s="81"/>
      <c r="W363" s="80">
        <v>2506000</v>
      </c>
    </row>
    <row r="364" spans="1:23" ht="15.6" x14ac:dyDescent="0.3">
      <c r="A364" s="158" t="s">
        <v>1802</v>
      </c>
      <c r="B364" s="69">
        <v>21286792</v>
      </c>
      <c r="C364" s="69" t="s">
        <v>1418</v>
      </c>
      <c r="D364" s="69">
        <v>0</v>
      </c>
      <c r="E364" s="70" t="s">
        <v>19</v>
      </c>
      <c r="F364" s="67" t="s">
        <v>1643</v>
      </c>
      <c r="G364" s="71">
        <v>33207</v>
      </c>
      <c r="H364" s="119"/>
      <c r="I364" s="135">
        <v>4756322.25</v>
      </c>
      <c r="J364" s="134">
        <v>679955.74</v>
      </c>
      <c r="K364" s="125"/>
      <c r="L364" s="74">
        <v>2.7799999999999998E-2</v>
      </c>
      <c r="M364" s="75">
        <v>50167</v>
      </c>
      <c r="N364" s="76">
        <v>14</v>
      </c>
      <c r="O364" s="76"/>
      <c r="P364" s="76"/>
      <c r="Q364" s="76"/>
      <c r="R364" s="67" t="s">
        <v>1628</v>
      </c>
      <c r="S364" s="68">
        <v>899999114</v>
      </c>
      <c r="T364" s="77"/>
      <c r="U364" s="78"/>
      <c r="V364" s="81"/>
      <c r="W364" s="80">
        <v>4135856</v>
      </c>
    </row>
    <row r="365" spans="1:23" ht="15.6" x14ac:dyDescent="0.3">
      <c r="A365" s="158" t="s">
        <v>1803</v>
      </c>
      <c r="B365" s="69">
        <v>20334626</v>
      </c>
      <c r="C365" s="69" t="s">
        <v>1420</v>
      </c>
      <c r="D365" s="69">
        <v>0</v>
      </c>
      <c r="E365" s="70" t="s">
        <v>21</v>
      </c>
      <c r="F365" s="67" t="s">
        <v>1643</v>
      </c>
      <c r="G365" s="71">
        <v>76308</v>
      </c>
      <c r="H365" s="119"/>
      <c r="I365" s="135">
        <v>8111381.0899999999</v>
      </c>
      <c r="J365" s="134">
        <v>1159589.26</v>
      </c>
      <c r="K365" s="125"/>
      <c r="L365" s="74">
        <v>0.1103</v>
      </c>
      <c r="M365" s="75">
        <v>35083</v>
      </c>
      <c r="N365" s="76">
        <v>14</v>
      </c>
      <c r="O365" s="76">
        <v>0</v>
      </c>
      <c r="P365" s="76">
        <v>0</v>
      </c>
      <c r="Q365" s="76">
        <v>0</v>
      </c>
      <c r="R365" s="67" t="s">
        <v>1628</v>
      </c>
      <c r="S365" s="68">
        <v>899999114</v>
      </c>
      <c r="T365" s="77"/>
      <c r="U365" s="78"/>
      <c r="V365" s="81"/>
      <c r="W365" s="80">
        <v>1777699</v>
      </c>
    </row>
    <row r="366" spans="1:23" ht="15.6" x14ac:dyDescent="0.3">
      <c r="A366" s="158" t="s">
        <v>1421</v>
      </c>
      <c r="B366" s="69">
        <v>13213283</v>
      </c>
      <c r="C366" s="69" t="s">
        <v>1422</v>
      </c>
      <c r="D366" s="69">
        <v>0</v>
      </c>
      <c r="E366" s="70" t="s">
        <v>472</v>
      </c>
      <c r="F366" s="67" t="s">
        <v>1643</v>
      </c>
      <c r="G366" s="71">
        <v>34700</v>
      </c>
      <c r="H366" s="119">
        <v>44196</v>
      </c>
      <c r="I366" s="133">
        <v>6870471.3499999996</v>
      </c>
      <c r="J366" s="134">
        <v>982190.9</v>
      </c>
      <c r="K366" s="125"/>
      <c r="L366" s="74">
        <v>0.2273</v>
      </c>
      <c r="M366" s="75">
        <v>66436</v>
      </c>
      <c r="N366" s="76">
        <v>14</v>
      </c>
      <c r="O366" s="76">
        <v>0</v>
      </c>
      <c r="P366" s="83">
        <v>218212</v>
      </c>
      <c r="Q366" s="83">
        <v>744283</v>
      </c>
      <c r="R366" s="67" t="s">
        <v>1628</v>
      </c>
      <c r="S366" s="68">
        <v>899999114</v>
      </c>
      <c r="T366" s="77"/>
      <c r="U366" s="78"/>
      <c r="V366" s="81"/>
      <c r="W366" s="80">
        <v>730678</v>
      </c>
    </row>
    <row r="367" spans="1:23" ht="15.6" x14ac:dyDescent="0.3">
      <c r="A367" s="158" t="s">
        <v>1804</v>
      </c>
      <c r="B367" s="69">
        <v>3011821</v>
      </c>
      <c r="C367" s="69" t="s">
        <v>1424</v>
      </c>
      <c r="D367" s="69">
        <v>0</v>
      </c>
      <c r="E367" s="70" t="s">
        <v>472</v>
      </c>
      <c r="F367" s="67" t="s">
        <v>1643</v>
      </c>
      <c r="G367" s="71">
        <v>35431</v>
      </c>
      <c r="H367" s="119">
        <v>44196</v>
      </c>
      <c r="I367" s="135">
        <v>8836829.5099999998</v>
      </c>
      <c r="J367" s="134">
        <v>1263298.1299999999</v>
      </c>
      <c r="K367" s="131"/>
      <c r="L367" s="74">
        <v>0.2331</v>
      </c>
      <c r="M367" s="75">
        <v>290590</v>
      </c>
      <c r="N367" s="76">
        <v>14</v>
      </c>
      <c r="O367" s="76">
        <v>0</v>
      </c>
      <c r="P367" s="83">
        <v>294619</v>
      </c>
      <c r="Q367" s="83">
        <v>952014</v>
      </c>
      <c r="R367" s="67" t="s">
        <v>1628</v>
      </c>
      <c r="S367" s="68">
        <v>899999114</v>
      </c>
      <c r="T367" s="77"/>
      <c r="U367" s="78"/>
      <c r="V367" s="63"/>
      <c r="W367" s="80">
        <v>916417</v>
      </c>
    </row>
    <row r="368" spans="1:23" ht="15.6" x14ac:dyDescent="0.3">
      <c r="A368" s="158" t="s">
        <v>985</v>
      </c>
      <c r="B368" s="69">
        <v>20161316</v>
      </c>
      <c r="C368" s="69" t="s">
        <v>986</v>
      </c>
      <c r="D368" s="69">
        <v>0</v>
      </c>
      <c r="E368" s="70" t="s">
        <v>472</v>
      </c>
      <c r="F368" s="67" t="s">
        <v>1643</v>
      </c>
      <c r="G368" s="71">
        <v>73815</v>
      </c>
      <c r="H368" s="119">
        <v>44196</v>
      </c>
      <c r="I368" s="133">
        <v>5297342.04</v>
      </c>
      <c r="J368" s="134">
        <v>757299.01</v>
      </c>
      <c r="K368" s="125"/>
      <c r="L368" s="74">
        <v>0.1244</v>
      </c>
      <c r="M368" s="75">
        <v>65140</v>
      </c>
      <c r="N368" s="76">
        <v>14</v>
      </c>
      <c r="O368" s="76">
        <v>0</v>
      </c>
      <c r="P368" s="83">
        <v>188445</v>
      </c>
      <c r="Q368" s="83">
        <v>1169054</v>
      </c>
      <c r="R368" s="67" t="s">
        <v>1628</v>
      </c>
      <c r="S368" s="68">
        <v>899999114</v>
      </c>
      <c r="T368" s="77"/>
      <c r="U368" s="78"/>
      <c r="V368" s="81"/>
      <c r="W368" s="80">
        <v>1029382</v>
      </c>
    </row>
    <row r="369" spans="1:23" ht="15.6" x14ac:dyDescent="0.3">
      <c r="A369" s="158" t="s">
        <v>1425</v>
      </c>
      <c r="B369" s="69">
        <v>17008660</v>
      </c>
      <c r="C369" s="69" t="s">
        <v>1426</v>
      </c>
      <c r="D369" s="69">
        <v>0</v>
      </c>
      <c r="E369" s="70" t="s">
        <v>21</v>
      </c>
      <c r="F369" s="67" t="s">
        <v>1643</v>
      </c>
      <c r="G369" s="71">
        <v>35796</v>
      </c>
      <c r="H369" s="119">
        <v>44196</v>
      </c>
      <c r="I369" s="133">
        <v>5551051.75</v>
      </c>
      <c r="J369" s="134">
        <v>793568.92</v>
      </c>
      <c r="K369" s="125"/>
      <c r="L369" s="74">
        <v>0.2024</v>
      </c>
      <c r="M369" s="75">
        <v>151722</v>
      </c>
      <c r="N369" s="76">
        <v>14</v>
      </c>
      <c r="O369" s="76">
        <v>0</v>
      </c>
      <c r="P369" s="83">
        <v>166682</v>
      </c>
      <c r="Q369" s="83">
        <v>862807</v>
      </c>
      <c r="R369" s="67" t="s">
        <v>1628</v>
      </c>
      <c r="S369" s="68">
        <v>899999114</v>
      </c>
      <c r="T369" s="77">
        <v>32401935</v>
      </c>
      <c r="U369" s="78" t="s">
        <v>1630</v>
      </c>
      <c r="V369" s="81"/>
      <c r="W369" s="80">
        <v>662985</v>
      </c>
    </row>
    <row r="370" spans="1:23" ht="15.6" x14ac:dyDescent="0.3">
      <c r="A370" s="158" t="s">
        <v>716</v>
      </c>
      <c r="B370" s="69">
        <v>41314945</v>
      </c>
      <c r="C370" s="69" t="s">
        <v>717</v>
      </c>
      <c r="D370" s="69">
        <v>0</v>
      </c>
      <c r="E370" s="70" t="s">
        <v>19</v>
      </c>
      <c r="F370" s="67" t="s">
        <v>1643</v>
      </c>
      <c r="G370" s="71">
        <v>36586</v>
      </c>
      <c r="H370" s="119">
        <v>44196</v>
      </c>
      <c r="I370" s="133">
        <v>9288515.5600000005</v>
      </c>
      <c r="J370" s="134">
        <v>1327870.3999999999</v>
      </c>
      <c r="K370" s="125"/>
      <c r="L370" s="74">
        <v>6.0900000000000003E-2</v>
      </c>
      <c r="M370" s="75">
        <v>132354</v>
      </c>
      <c r="N370" s="76">
        <v>14</v>
      </c>
      <c r="O370" s="76">
        <v>0</v>
      </c>
      <c r="P370" s="83">
        <v>1012501</v>
      </c>
      <c r="Q370" s="83">
        <v>1161879</v>
      </c>
      <c r="R370" s="67" t="s">
        <v>1628</v>
      </c>
      <c r="S370" s="68">
        <v>899999114</v>
      </c>
      <c r="T370" s="77"/>
      <c r="U370" s="78"/>
      <c r="V370" s="81"/>
      <c r="W370" s="80">
        <v>3686956</v>
      </c>
    </row>
    <row r="371" spans="1:23" ht="15.6" x14ac:dyDescent="0.3">
      <c r="A371" s="158" t="s">
        <v>1805</v>
      </c>
      <c r="B371" s="69">
        <v>17135950</v>
      </c>
      <c r="C371" s="69" t="s">
        <v>1430</v>
      </c>
      <c r="D371" s="69">
        <v>0</v>
      </c>
      <c r="E371" s="70" t="s">
        <v>21</v>
      </c>
      <c r="F371" s="67" t="s">
        <v>1643</v>
      </c>
      <c r="G371" s="71">
        <v>36831</v>
      </c>
      <c r="H371" s="119">
        <v>44196</v>
      </c>
      <c r="I371" s="135">
        <v>2514112.94</v>
      </c>
      <c r="J371" s="134">
        <v>359413.31</v>
      </c>
      <c r="K371" s="125"/>
      <c r="L371" s="74">
        <v>0.23749999999999999</v>
      </c>
      <c r="M371" s="75">
        <v>176543</v>
      </c>
      <c r="N371" s="76">
        <v>14</v>
      </c>
      <c r="O371" s="76">
        <v>0</v>
      </c>
      <c r="P371" s="83">
        <v>347637</v>
      </c>
      <c r="Q371" s="83">
        <v>848299</v>
      </c>
      <c r="R371" s="67" t="s">
        <v>1628</v>
      </c>
      <c r="S371" s="68">
        <v>899999114</v>
      </c>
      <c r="T371" s="77">
        <v>41386340</v>
      </c>
      <c r="U371" s="78" t="s">
        <v>1774</v>
      </c>
      <c r="V371" s="81"/>
      <c r="W371" s="80">
        <v>255894</v>
      </c>
    </row>
    <row r="372" spans="1:23" ht="15.6" x14ac:dyDescent="0.3">
      <c r="A372" s="158" t="s">
        <v>1806</v>
      </c>
      <c r="B372" s="69">
        <v>41339522</v>
      </c>
      <c r="C372" s="69" t="s">
        <v>1432</v>
      </c>
      <c r="D372" s="69">
        <v>0</v>
      </c>
      <c r="E372" s="70" t="s">
        <v>592</v>
      </c>
      <c r="F372" s="67" t="s">
        <v>1643</v>
      </c>
      <c r="G372" s="71">
        <v>37041</v>
      </c>
      <c r="H372" s="119">
        <v>44196</v>
      </c>
      <c r="I372" s="133">
        <v>18407524.739999998</v>
      </c>
      <c r="J372" s="134">
        <v>2631508.4500000002</v>
      </c>
      <c r="K372" s="125"/>
      <c r="L372" s="74">
        <v>0.30280000000000001</v>
      </c>
      <c r="M372" s="75">
        <v>572074</v>
      </c>
      <c r="N372" s="76">
        <v>14</v>
      </c>
      <c r="O372" s="76">
        <v>0</v>
      </c>
      <c r="P372" s="83">
        <v>1889281</v>
      </c>
      <c r="Q372" s="76">
        <v>0</v>
      </c>
      <c r="R372" s="67" t="s">
        <v>1628</v>
      </c>
      <c r="S372" s="68">
        <v>899999114</v>
      </c>
      <c r="T372" s="77"/>
      <c r="U372" s="78"/>
      <c r="V372" s="81"/>
      <c r="W372" s="80">
        <v>1469530</v>
      </c>
    </row>
    <row r="373" spans="1:23" ht="15.6" x14ac:dyDescent="0.3">
      <c r="A373" s="158" t="s">
        <v>1433</v>
      </c>
      <c r="B373" s="69">
        <v>17178348</v>
      </c>
      <c r="C373" s="69" t="s">
        <v>1434</v>
      </c>
      <c r="D373" s="69">
        <v>0</v>
      </c>
      <c r="E373" s="70" t="s">
        <v>472</v>
      </c>
      <c r="F373" s="67" t="s">
        <v>1643</v>
      </c>
      <c r="G373" s="71">
        <v>37100</v>
      </c>
      <c r="H373" s="119">
        <v>44196</v>
      </c>
      <c r="I373" s="133">
        <v>22147862.780000001</v>
      </c>
      <c r="J373" s="134">
        <v>3166220.82</v>
      </c>
      <c r="K373" s="125"/>
      <c r="L373" s="74">
        <v>0.31019999999999998</v>
      </c>
      <c r="M373" s="75">
        <v>613418</v>
      </c>
      <c r="N373" s="76">
        <v>14</v>
      </c>
      <c r="O373" s="76">
        <v>0</v>
      </c>
      <c r="P373" s="83">
        <v>831445</v>
      </c>
      <c r="Q373" s="83">
        <v>1955365</v>
      </c>
      <c r="R373" s="67" t="s">
        <v>1628</v>
      </c>
      <c r="S373" s="68">
        <v>899999114</v>
      </c>
      <c r="T373" s="77"/>
      <c r="U373" s="78"/>
      <c r="V373" s="81"/>
      <c r="W373" s="80">
        <v>1725953</v>
      </c>
    </row>
    <row r="374" spans="1:23" ht="15.6" x14ac:dyDescent="0.3">
      <c r="A374" s="158" t="s">
        <v>1807</v>
      </c>
      <c r="B374" s="69">
        <v>41448731</v>
      </c>
      <c r="C374" s="69" t="s">
        <v>1436</v>
      </c>
      <c r="D374" s="69">
        <v>0</v>
      </c>
      <c r="E374" s="70" t="s">
        <v>21</v>
      </c>
      <c r="F374" s="67" t="s">
        <v>1643</v>
      </c>
      <c r="G374" s="71">
        <v>38534</v>
      </c>
      <c r="H374" s="119">
        <v>44196</v>
      </c>
      <c r="I374" s="133">
        <v>2430656.12</v>
      </c>
      <c r="J374" s="134">
        <v>347482.47</v>
      </c>
      <c r="K374" s="125"/>
      <c r="L374" s="74">
        <v>0.1118</v>
      </c>
      <c r="M374" s="75">
        <v>185376</v>
      </c>
      <c r="N374" s="76">
        <v>14</v>
      </c>
      <c r="O374" s="76">
        <v>0</v>
      </c>
      <c r="P374" s="83">
        <v>194367</v>
      </c>
      <c r="Q374" s="83">
        <v>1562706</v>
      </c>
      <c r="R374" s="67" t="s">
        <v>1628</v>
      </c>
      <c r="S374" s="68">
        <v>899999114</v>
      </c>
      <c r="T374" s="77"/>
      <c r="U374" s="78"/>
      <c r="V374" s="81"/>
      <c r="W374" s="80">
        <v>525558</v>
      </c>
    </row>
    <row r="375" spans="1:23" ht="15.6" x14ac:dyDescent="0.3">
      <c r="A375" s="158" t="s">
        <v>1437</v>
      </c>
      <c r="B375" s="69">
        <v>41491714</v>
      </c>
      <c r="C375" s="69" t="s">
        <v>1438</v>
      </c>
      <c r="D375" s="69">
        <v>0</v>
      </c>
      <c r="E375" s="70" t="s">
        <v>722</v>
      </c>
      <c r="F375" s="67" t="s">
        <v>1643</v>
      </c>
      <c r="G375" s="71">
        <v>38749</v>
      </c>
      <c r="H375" s="119">
        <v>44196</v>
      </c>
      <c r="I375" s="133">
        <v>3368713.75</v>
      </c>
      <c r="J375" s="134">
        <v>481585.59</v>
      </c>
      <c r="K375" s="125"/>
      <c r="L375" s="74">
        <v>0.14419999999999999</v>
      </c>
      <c r="M375" s="75">
        <v>245759</v>
      </c>
      <c r="N375" s="76">
        <v>14</v>
      </c>
      <c r="O375" s="76">
        <v>0</v>
      </c>
      <c r="P375" s="83">
        <v>318092</v>
      </c>
      <c r="Q375" s="83">
        <v>1923171</v>
      </c>
      <c r="R375" s="67" t="s">
        <v>1628</v>
      </c>
      <c r="S375" s="68">
        <v>899999114</v>
      </c>
      <c r="T375" s="77"/>
      <c r="U375" s="78"/>
      <c r="V375" s="81"/>
      <c r="W375" s="80">
        <v>564726</v>
      </c>
    </row>
    <row r="376" spans="1:23" ht="15.6" x14ac:dyDescent="0.3">
      <c r="A376" s="158" t="s">
        <v>1439</v>
      </c>
      <c r="B376" s="69">
        <v>17182518</v>
      </c>
      <c r="C376" s="69" t="s">
        <v>1440</v>
      </c>
      <c r="D376" s="69">
        <v>0</v>
      </c>
      <c r="E376" s="70" t="s">
        <v>21</v>
      </c>
      <c r="F376" s="67" t="s">
        <v>1643</v>
      </c>
      <c r="G376" s="71">
        <v>38800</v>
      </c>
      <c r="H376" s="119">
        <v>44196</v>
      </c>
      <c r="I376" s="133">
        <v>15514934.07</v>
      </c>
      <c r="J376" s="134">
        <v>2217988.6</v>
      </c>
      <c r="K376" s="125"/>
      <c r="L376" s="74">
        <v>9.5000000000000001E-2</v>
      </c>
      <c r="M376" s="75">
        <v>359298</v>
      </c>
      <c r="N376" s="76">
        <v>14</v>
      </c>
      <c r="O376" s="76">
        <v>0</v>
      </c>
      <c r="P376" s="83">
        <v>1671254</v>
      </c>
      <c r="Q376" s="83">
        <v>2110827</v>
      </c>
      <c r="R376" s="67" t="s">
        <v>1628</v>
      </c>
      <c r="S376" s="68">
        <v>899999114</v>
      </c>
      <c r="T376" s="77"/>
      <c r="U376" s="78"/>
      <c r="V376" s="81"/>
      <c r="W376" s="80">
        <v>3947892</v>
      </c>
    </row>
    <row r="377" spans="1:23" ht="15.6" x14ac:dyDescent="0.3">
      <c r="A377" s="158" t="s">
        <v>1441</v>
      </c>
      <c r="B377" s="69">
        <v>11292350</v>
      </c>
      <c r="C377" s="69" t="s">
        <v>1442</v>
      </c>
      <c r="D377" s="69">
        <v>0</v>
      </c>
      <c r="E377" s="70" t="s">
        <v>472</v>
      </c>
      <c r="F377" s="67" t="s">
        <v>1643</v>
      </c>
      <c r="G377" s="71">
        <v>38838</v>
      </c>
      <c r="H377" s="119">
        <v>44196</v>
      </c>
      <c r="I377" s="133">
        <v>4787228.5599999996</v>
      </c>
      <c r="J377" s="134">
        <v>684374.06</v>
      </c>
      <c r="K377" s="125"/>
      <c r="L377" s="74">
        <v>7.6600000000000001E-2</v>
      </c>
      <c r="M377" s="75">
        <v>201121</v>
      </c>
      <c r="N377" s="76">
        <v>14</v>
      </c>
      <c r="O377" s="76">
        <v>0</v>
      </c>
      <c r="P377" s="83">
        <v>727776</v>
      </c>
      <c r="Q377" s="83">
        <v>2445962</v>
      </c>
      <c r="R377" s="67" t="s">
        <v>1628</v>
      </c>
      <c r="S377" s="68">
        <v>899999114</v>
      </c>
      <c r="T377" s="77"/>
      <c r="U377" s="78"/>
      <c r="V377" s="81"/>
      <c r="W377" s="80">
        <v>1510756</v>
      </c>
    </row>
    <row r="378" spans="1:23" ht="15.6" x14ac:dyDescent="0.3">
      <c r="A378" s="158" t="s">
        <v>1808</v>
      </c>
      <c r="B378" s="69">
        <v>41443975</v>
      </c>
      <c r="C378" s="69" t="s">
        <v>1444</v>
      </c>
      <c r="D378" s="69">
        <v>0</v>
      </c>
      <c r="E378" s="70" t="s">
        <v>21</v>
      </c>
      <c r="F378" s="67" t="s">
        <v>1643</v>
      </c>
      <c r="G378" s="71">
        <v>38867</v>
      </c>
      <c r="H378" s="119">
        <v>44196</v>
      </c>
      <c r="I378" s="133">
        <v>7583166.2400000002</v>
      </c>
      <c r="J378" s="134">
        <v>1084076.56</v>
      </c>
      <c r="K378" s="125"/>
      <c r="L378" s="74">
        <v>0.2364</v>
      </c>
      <c r="M378" s="75">
        <v>417407</v>
      </c>
      <c r="N378" s="76">
        <v>14</v>
      </c>
      <c r="O378" s="76">
        <v>0</v>
      </c>
      <c r="P378" s="83">
        <v>417707</v>
      </c>
      <c r="Q378" s="83">
        <v>2000638</v>
      </c>
      <c r="R378" s="67" t="s">
        <v>1628</v>
      </c>
      <c r="S378" s="68">
        <v>899999114</v>
      </c>
      <c r="T378" s="77"/>
      <c r="U378" s="78"/>
      <c r="V378" s="81"/>
      <c r="W378" s="80">
        <v>775429</v>
      </c>
    </row>
    <row r="379" spans="1:23" ht="15.6" x14ac:dyDescent="0.3">
      <c r="A379" s="158" t="s">
        <v>1445</v>
      </c>
      <c r="B379" s="69">
        <v>41485099</v>
      </c>
      <c r="C379" s="69" t="s">
        <v>1446</v>
      </c>
      <c r="D379" s="69">
        <v>0</v>
      </c>
      <c r="E379" s="70" t="s">
        <v>19</v>
      </c>
      <c r="F379" s="67" t="s">
        <v>1643</v>
      </c>
      <c r="G379" s="71">
        <v>39037</v>
      </c>
      <c r="H379" s="119"/>
      <c r="I379" s="133">
        <v>13224879.060000001</v>
      </c>
      <c r="J379" s="134">
        <v>1890606.23</v>
      </c>
      <c r="K379" s="125"/>
      <c r="L379" s="74">
        <v>0.25059999999999999</v>
      </c>
      <c r="M379" s="75">
        <v>523218</v>
      </c>
      <c r="N379" s="76">
        <v>13</v>
      </c>
      <c r="O379" s="76"/>
      <c r="P379" s="76"/>
      <c r="Q379" s="76"/>
      <c r="R379" s="67" t="s">
        <v>1628</v>
      </c>
      <c r="S379" s="68">
        <v>899999114</v>
      </c>
      <c r="T379" s="77"/>
      <c r="U379" s="78"/>
      <c r="V379" s="81"/>
      <c r="W379" s="80">
        <v>1275703</v>
      </c>
    </row>
    <row r="380" spans="1:23" ht="15.6" x14ac:dyDescent="0.3">
      <c r="A380" s="158" t="s">
        <v>1809</v>
      </c>
      <c r="B380" s="69">
        <v>17174648</v>
      </c>
      <c r="C380" s="69" t="s">
        <v>746</v>
      </c>
      <c r="D380" s="69">
        <v>0</v>
      </c>
      <c r="E380" s="70" t="s">
        <v>21</v>
      </c>
      <c r="F380" s="67" t="s">
        <v>1643</v>
      </c>
      <c r="G380" s="71">
        <v>39052</v>
      </c>
      <c r="H380" s="119">
        <v>44196</v>
      </c>
      <c r="I380" s="133">
        <v>1090062.28</v>
      </c>
      <c r="J380" s="134">
        <v>155833.45000000001</v>
      </c>
      <c r="K380" s="125"/>
      <c r="L380" s="74">
        <v>2.4E-2</v>
      </c>
      <c r="M380" s="75">
        <v>50624</v>
      </c>
      <c r="N380" s="76">
        <v>14</v>
      </c>
      <c r="O380" s="76">
        <v>0</v>
      </c>
      <c r="P380" s="83">
        <v>464786</v>
      </c>
      <c r="Q380" s="83">
        <v>4178696</v>
      </c>
      <c r="R380" s="67" t="s">
        <v>1628</v>
      </c>
      <c r="S380" s="68">
        <v>899999114</v>
      </c>
      <c r="T380" s="77"/>
      <c r="U380" s="78"/>
      <c r="V380" s="81"/>
      <c r="W380" s="80">
        <v>1097941</v>
      </c>
    </row>
    <row r="381" spans="1:23" ht="15.6" x14ac:dyDescent="0.3">
      <c r="A381" s="158" t="s">
        <v>1449</v>
      </c>
      <c r="B381" s="69">
        <v>3013490</v>
      </c>
      <c r="C381" s="69" t="s">
        <v>1450</v>
      </c>
      <c r="D381" s="69">
        <v>0</v>
      </c>
      <c r="E381" s="70" t="s">
        <v>19</v>
      </c>
      <c r="F381" s="67" t="s">
        <v>1643</v>
      </c>
      <c r="G381" s="71">
        <v>39059</v>
      </c>
      <c r="H381" s="119">
        <v>44196</v>
      </c>
      <c r="I381" s="133">
        <v>13952710.529999999</v>
      </c>
      <c r="J381" s="134">
        <v>1994655.78</v>
      </c>
      <c r="K381" s="125"/>
      <c r="L381" s="74">
        <v>0.17979999999999999</v>
      </c>
      <c r="M381" s="75">
        <v>387336</v>
      </c>
      <c r="N381" s="76">
        <v>14</v>
      </c>
      <c r="O381" s="76">
        <v>0</v>
      </c>
      <c r="P381" s="83">
        <v>903674</v>
      </c>
      <c r="Q381" s="83">
        <v>1657623</v>
      </c>
      <c r="R381" s="67" t="s">
        <v>1628</v>
      </c>
      <c r="S381" s="68">
        <v>899999114</v>
      </c>
      <c r="T381" s="77"/>
      <c r="U381" s="78"/>
      <c r="V381" s="81"/>
      <c r="W381" s="80">
        <v>1875892</v>
      </c>
    </row>
    <row r="382" spans="1:23" ht="15.6" x14ac:dyDescent="0.3">
      <c r="A382" s="158" t="s">
        <v>1451</v>
      </c>
      <c r="B382" s="69">
        <v>41549095</v>
      </c>
      <c r="C382" s="69" t="s">
        <v>1452</v>
      </c>
      <c r="D382" s="69">
        <v>0</v>
      </c>
      <c r="E382" s="70" t="s">
        <v>472</v>
      </c>
      <c r="F382" s="67" t="s">
        <v>1643</v>
      </c>
      <c r="G382" s="71">
        <v>39173</v>
      </c>
      <c r="H382" s="119">
        <v>44196</v>
      </c>
      <c r="I382" s="133">
        <v>1681106.18</v>
      </c>
      <c r="J382" s="134">
        <v>240328.08</v>
      </c>
      <c r="K382" s="125"/>
      <c r="L382" s="74">
        <v>5.8000000000000003E-2</v>
      </c>
      <c r="M382" s="75">
        <v>92331</v>
      </c>
      <c r="N382" s="76">
        <v>13</v>
      </c>
      <c r="O382" s="76">
        <v>0</v>
      </c>
      <c r="P382" s="83">
        <v>162943</v>
      </c>
      <c r="Q382" s="83">
        <v>1699821</v>
      </c>
      <c r="R382" s="67" t="s">
        <v>1628</v>
      </c>
      <c r="S382" s="68">
        <v>899999114</v>
      </c>
      <c r="T382" s="77"/>
      <c r="U382" s="78"/>
      <c r="V382" s="81"/>
      <c r="W382" s="80">
        <v>700658</v>
      </c>
    </row>
    <row r="383" spans="1:23" ht="15.6" x14ac:dyDescent="0.3">
      <c r="A383" s="158" t="s">
        <v>771</v>
      </c>
      <c r="B383" s="69">
        <v>17196930</v>
      </c>
      <c r="C383" s="69" t="s">
        <v>772</v>
      </c>
      <c r="D383" s="69">
        <v>0</v>
      </c>
      <c r="E383" s="70" t="s">
        <v>472</v>
      </c>
      <c r="F383" s="67" t="s">
        <v>1643</v>
      </c>
      <c r="G383" s="71">
        <v>39753</v>
      </c>
      <c r="H383" s="119"/>
      <c r="I383" s="133">
        <v>6040920.0199999996</v>
      </c>
      <c r="J383" s="134">
        <v>863599.66</v>
      </c>
      <c r="K383" s="125"/>
      <c r="L383" s="74">
        <v>0.1381</v>
      </c>
      <c r="M383" s="75">
        <v>248632</v>
      </c>
      <c r="N383" s="76">
        <v>14</v>
      </c>
      <c r="O383" s="76">
        <v>0</v>
      </c>
      <c r="P383" s="83">
        <v>473106</v>
      </c>
      <c r="Q383" s="83">
        <v>1570233</v>
      </c>
      <c r="R383" s="67" t="s">
        <v>1628</v>
      </c>
      <c r="S383" s="68">
        <v>899999114</v>
      </c>
      <c r="T383" s="77">
        <v>41500005</v>
      </c>
      <c r="U383" s="78" t="s">
        <v>1788</v>
      </c>
      <c r="V383" s="81"/>
      <c r="W383" s="80">
        <v>1057422</v>
      </c>
    </row>
    <row r="384" spans="1:23" ht="15.6" x14ac:dyDescent="0.3">
      <c r="A384" s="158" t="s">
        <v>1455</v>
      </c>
      <c r="B384" s="69">
        <v>41621038</v>
      </c>
      <c r="C384" s="69" t="s">
        <v>1456</v>
      </c>
      <c r="D384" s="69">
        <v>0</v>
      </c>
      <c r="E384" s="70" t="s">
        <v>472</v>
      </c>
      <c r="F384" s="67" t="s">
        <v>1643</v>
      </c>
      <c r="G384" s="71">
        <v>40120</v>
      </c>
      <c r="H384" s="119"/>
      <c r="I384" s="133">
        <v>3732272.86</v>
      </c>
      <c r="J384" s="134">
        <v>533559.38</v>
      </c>
      <c r="K384" s="125"/>
      <c r="L384" s="74">
        <v>0.1137</v>
      </c>
      <c r="M384" s="75">
        <v>225638</v>
      </c>
      <c r="N384" s="76">
        <v>13</v>
      </c>
      <c r="O384" s="76">
        <v>0</v>
      </c>
      <c r="P384" s="83">
        <v>399663</v>
      </c>
      <c r="Q384" s="83">
        <v>2139229</v>
      </c>
      <c r="R384" s="67" t="s">
        <v>1628</v>
      </c>
      <c r="S384" s="68">
        <v>899999114</v>
      </c>
      <c r="T384" s="77"/>
      <c r="U384" s="78"/>
      <c r="V384" s="81"/>
      <c r="W384" s="80">
        <v>793509</v>
      </c>
    </row>
    <row r="385" spans="1:23" ht="15.6" x14ac:dyDescent="0.3">
      <c r="A385" s="158" t="s">
        <v>1457</v>
      </c>
      <c r="B385" s="69">
        <v>3226873</v>
      </c>
      <c r="C385" s="69" t="s">
        <v>1458</v>
      </c>
      <c r="D385" s="69">
        <v>0</v>
      </c>
      <c r="E385" s="70" t="s">
        <v>21</v>
      </c>
      <c r="F385" s="67" t="s">
        <v>1643</v>
      </c>
      <c r="G385" s="71">
        <v>40147</v>
      </c>
      <c r="H385" s="119"/>
      <c r="I385" s="133">
        <v>722852.68</v>
      </c>
      <c r="J385" s="134">
        <v>103337.79</v>
      </c>
      <c r="K385" s="125"/>
      <c r="L385" s="74">
        <v>1.7500000000000002E-2</v>
      </c>
      <c r="M385" s="75">
        <v>60559</v>
      </c>
      <c r="N385" s="76">
        <v>13</v>
      </c>
      <c r="O385" s="76">
        <v>0</v>
      </c>
      <c r="P385" s="83">
        <v>537877</v>
      </c>
      <c r="Q385" s="83">
        <v>3331747</v>
      </c>
      <c r="R385" s="67" t="s">
        <v>1628</v>
      </c>
      <c r="S385" s="68">
        <v>899999114</v>
      </c>
      <c r="T385" s="77"/>
      <c r="U385" s="78"/>
      <c r="V385" s="81"/>
      <c r="W385" s="80">
        <v>998506</v>
      </c>
    </row>
    <row r="386" spans="1:23" ht="15.6" x14ac:dyDescent="0.3">
      <c r="A386" s="158" t="s">
        <v>1460</v>
      </c>
      <c r="B386" s="69">
        <v>17110172</v>
      </c>
      <c r="C386" s="69" t="s">
        <v>1461</v>
      </c>
      <c r="D386" s="69">
        <v>0</v>
      </c>
      <c r="E386" s="70" t="s">
        <v>722</v>
      </c>
      <c r="F386" s="67" t="s">
        <v>1643</v>
      </c>
      <c r="G386" s="71">
        <v>40210</v>
      </c>
      <c r="H386" s="119"/>
      <c r="I386" s="133">
        <v>257890.07</v>
      </c>
      <c r="J386" s="134">
        <v>36867.53</v>
      </c>
      <c r="K386" s="125"/>
      <c r="L386" s="74">
        <v>2.53E-2</v>
      </c>
      <c r="M386" s="75">
        <v>44442</v>
      </c>
      <c r="N386" s="76">
        <v>14</v>
      </c>
      <c r="O386" s="76">
        <v>0</v>
      </c>
      <c r="P386" s="83">
        <v>121072</v>
      </c>
      <c r="Q386" s="83">
        <v>1609133</v>
      </c>
      <c r="R386" s="67" t="s">
        <v>1628</v>
      </c>
      <c r="S386" s="68">
        <v>899999114</v>
      </c>
      <c r="T386" s="77"/>
      <c r="U386" s="78"/>
      <c r="V386" s="81"/>
      <c r="W386" s="80">
        <v>246407</v>
      </c>
    </row>
    <row r="387" spans="1:23" ht="15.6" x14ac:dyDescent="0.3">
      <c r="A387" s="67"/>
      <c r="B387" s="68"/>
      <c r="C387" s="69"/>
      <c r="D387" s="69"/>
      <c r="E387" s="70"/>
      <c r="F387" s="67"/>
      <c r="G387" s="71"/>
      <c r="H387" s="119"/>
      <c r="I387" s="133"/>
      <c r="J387" s="134"/>
      <c r="K387" s="125"/>
      <c r="L387" s="74"/>
      <c r="M387" s="75"/>
      <c r="N387" s="76"/>
      <c r="O387" s="76"/>
      <c r="P387" s="76"/>
      <c r="Q387" s="76"/>
      <c r="R387" s="67"/>
      <c r="S387" s="68"/>
      <c r="T387" s="77"/>
      <c r="U387" s="78"/>
      <c r="V387" s="81"/>
      <c r="W387" s="80"/>
    </row>
    <row r="388" spans="1:23" ht="15.6" x14ac:dyDescent="0.3">
      <c r="A388" s="67"/>
      <c r="B388" s="68"/>
      <c r="C388" s="69"/>
      <c r="D388" s="69"/>
      <c r="E388" s="70"/>
      <c r="F388" s="67"/>
      <c r="G388" s="71"/>
      <c r="H388" s="119"/>
      <c r="I388" s="133"/>
      <c r="J388" s="134"/>
      <c r="K388" s="125"/>
      <c r="L388" s="74"/>
      <c r="M388" s="75"/>
      <c r="N388" s="76"/>
      <c r="O388" s="76"/>
      <c r="P388" s="76"/>
      <c r="Q388" s="76"/>
      <c r="R388" s="67"/>
      <c r="S388" s="68"/>
      <c r="T388" s="77"/>
      <c r="U388" s="78"/>
      <c r="V388" s="81"/>
      <c r="W388" s="80"/>
    </row>
    <row r="389" spans="1:23" ht="15.6" x14ac:dyDescent="0.3">
      <c r="A389" s="67"/>
      <c r="B389" s="68"/>
      <c r="C389" s="69"/>
      <c r="D389" s="69"/>
      <c r="E389" s="70"/>
      <c r="F389" s="67"/>
      <c r="G389" s="71"/>
      <c r="H389" s="119"/>
      <c r="I389" s="135"/>
      <c r="J389" s="134"/>
      <c r="K389" s="125"/>
      <c r="L389" s="74"/>
      <c r="M389" s="75"/>
      <c r="N389" s="76"/>
      <c r="O389" s="76"/>
      <c r="P389" s="76"/>
      <c r="Q389" s="76"/>
      <c r="R389" s="67"/>
      <c r="S389" s="68"/>
      <c r="T389" s="77"/>
      <c r="U389" s="78"/>
      <c r="V389" s="81"/>
      <c r="W389" s="80"/>
    </row>
    <row r="390" spans="1:23" ht="15.6" x14ac:dyDescent="0.3">
      <c r="A390" s="67"/>
      <c r="B390" s="68"/>
      <c r="C390" s="69"/>
      <c r="D390" s="69"/>
      <c r="E390" s="70"/>
      <c r="F390" s="67"/>
      <c r="G390" s="71"/>
      <c r="H390" s="119"/>
      <c r="I390" s="133"/>
      <c r="J390" s="134"/>
      <c r="K390" s="125"/>
      <c r="L390" s="74"/>
      <c r="M390" s="75"/>
      <c r="N390" s="76"/>
      <c r="O390" s="76"/>
      <c r="P390" s="76"/>
      <c r="Q390" s="76"/>
      <c r="R390" s="67"/>
      <c r="S390" s="68"/>
      <c r="T390" s="77"/>
      <c r="U390" s="78"/>
      <c r="V390" s="81"/>
      <c r="W390" s="80"/>
    </row>
    <row r="391" spans="1:23" ht="15.6" x14ac:dyDescent="0.3">
      <c r="A391" s="67"/>
      <c r="B391" s="68"/>
      <c r="C391" s="69"/>
      <c r="D391" s="69"/>
      <c r="E391" s="70"/>
      <c r="F391" s="67"/>
      <c r="G391" s="71"/>
      <c r="H391" s="119"/>
      <c r="I391" s="133"/>
      <c r="J391" s="134"/>
      <c r="K391" s="125"/>
      <c r="L391" s="74"/>
      <c r="M391" s="75"/>
      <c r="N391" s="76"/>
      <c r="O391" s="76"/>
      <c r="P391" s="76"/>
      <c r="Q391" s="76"/>
      <c r="R391" s="67"/>
      <c r="S391" s="68"/>
      <c r="T391" s="77"/>
      <c r="U391" s="78"/>
      <c r="V391" s="81"/>
      <c r="W391" s="80"/>
    </row>
    <row r="392" spans="1:23" ht="15.6" x14ac:dyDescent="0.3">
      <c r="A392" s="67"/>
      <c r="B392" s="68"/>
      <c r="C392" s="69"/>
      <c r="D392" s="69"/>
      <c r="E392" s="70"/>
      <c r="F392" s="67"/>
      <c r="G392" s="71"/>
      <c r="H392" s="119"/>
      <c r="I392" s="135"/>
      <c r="J392" s="134"/>
      <c r="K392" s="125"/>
      <c r="L392" s="74"/>
      <c r="M392" s="75"/>
      <c r="N392" s="76"/>
      <c r="O392" s="76"/>
      <c r="P392" s="76"/>
      <c r="Q392" s="76"/>
      <c r="R392" s="67"/>
      <c r="S392" s="68"/>
      <c r="T392" s="77"/>
      <c r="U392" s="78"/>
      <c r="V392" s="81"/>
      <c r="W392" s="80"/>
    </row>
    <row r="393" spans="1:23" ht="15.6" x14ac:dyDescent="0.3">
      <c r="A393" s="67"/>
      <c r="B393" s="68"/>
      <c r="C393" s="69"/>
      <c r="D393" s="69"/>
      <c r="E393" s="70"/>
      <c r="F393" s="67"/>
      <c r="G393" s="71"/>
      <c r="H393" s="119"/>
      <c r="I393" s="133"/>
      <c r="J393" s="134"/>
      <c r="K393" s="127"/>
      <c r="L393" s="74"/>
      <c r="M393" s="75"/>
      <c r="N393" s="76"/>
      <c r="O393" s="76"/>
      <c r="P393" s="76"/>
      <c r="Q393" s="76"/>
      <c r="R393" s="67"/>
      <c r="S393" s="68"/>
      <c r="T393" s="77"/>
      <c r="U393" s="78"/>
      <c r="V393" s="81"/>
      <c r="W393" s="80"/>
    </row>
    <row r="394" spans="1:23" ht="15.6" x14ac:dyDescent="0.3">
      <c r="A394" s="67"/>
      <c r="B394" s="68"/>
      <c r="C394" s="69"/>
      <c r="D394" s="69"/>
      <c r="E394" s="70"/>
      <c r="F394" s="67"/>
      <c r="G394" s="71"/>
      <c r="H394" s="119"/>
      <c r="I394" s="133"/>
      <c r="J394" s="134"/>
      <c r="K394" s="125"/>
      <c r="L394" s="74"/>
      <c r="M394" s="85"/>
      <c r="N394" s="76"/>
      <c r="O394" s="76"/>
      <c r="P394" s="76"/>
      <c r="Q394" s="76"/>
      <c r="R394" s="67"/>
      <c r="S394" s="68"/>
      <c r="T394" s="77"/>
      <c r="U394" s="78"/>
      <c r="V394" s="81"/>
      <c r="W394" s="80"/>
    </row>
    <row r="395" spans="1:23" ht="15.6" x14ac:dyDescent="0.3">
      <c r="A395" s="93"/>
      <c r="B395" s="94"/>
      <c r="C395" s="69"/>
      <c r="D395" s="69"/>
      <c r="E395" s="95"/>
      <c r="F395" s="67"/>
      <c r="G395" s="71"/>
      <c r="H395" s="121"/>
      <c r="I395" s="133"/>
      <c r="J395" s="134"/>
      <c r="K395" s="125"/>
      <c r="L395" s="74"/>
      <c r="M395" s="96"/>
      <c r="N395" s="76"/>
      <c r="O395" s="76"/>
      <c r="P395" s="83"/>
      <c r="Q395" s="83"/>
      <c r="R395" s="67"/>
      <c r="S395" s="68"/>
      <c r="T395" s="77"/>
      <c r="U395" s="78"/>
      <c r="V395" s="81"/>
      <c r="W395" s="80"/>
    </row>
    <row r="396" spans="1:23" ht="15.6" x14ac:dyDescent="0.3">
      <c r="A396" s="67"/>
      <c r="B396" s="68"/>
      <c r="C396" s="69"/>
      <c r="D396" s="69"/>
      <c r="E396" s="70"/>
      <c r="F396" s="67"/>
      <c r="G396" s="71"/>
      <c r="H396" s="121"/>
      <c r="I396" s="133"/>
      <c r="J396" s="134"/>
      <c r="K396" s="125"/>
      <c r="L396" s="74"/>
      <c r="M396" s="75"/>
      <c r="N396" s="76"/>
      <c r="O396" s="76"/>
      <c r="P396" s="83"/>
      <c r="Q396" s="83"/>
      <c r="R396" s="67"/>
      <c r="S396" s="68"/>
      <c r="T396" s="77"/>
      <c r="U396" s="78"/>
      <c r="V396" s="81"/>
      <c r="W396" s="80"/>
    </row>
    <row r="397" spans="1:23" ht="15.6" x14ac:dyDescent="0.3">
      <c r="A397" s="67"/>
      <c r="B397" s="68"/>
      <c r="C397" s="69"/>
      <c r="D397" s="69"/>
      <c r="E397" s="70"/>
      <c r="F397" s="67"/>
      <c r="G397" s="71"/>
      <c r="H397" s="119"/>
      <c r="I397" s="135"/>
      <c r="J397" s="134"/>
      <c r="K397" s="125"/>
      <c r="L397" s="74"/>
      <c r="M397" s="75"/>
      <c r="N397" s="76"/>
      <c r="O397" s="76"/>
      <c r="P397" s="76"/>
      <c r="Q397" s="76"/>
      <c r="R397" s="67"/>
      <c r="S397" s="68"/>
      <c r="T397" s="77"/>
      <c r="U397" s="78"/>
      <c r="V397" s="81"/>
      <c r="W397" s="80"/>
    </row>
    <row r="398" spans="1:23" ht="15.6" x14ac:dyDescent="0.3">
      <c r="A398" s="67"/>
      <c r="B398" s="68"/>
      <c r="C398" s="69"/>
      <c r="D398" s="69"/>
      <c r="E398" s="70"/>
      <c r="F398" s="67"/>
      <c r="G398" s="71"/>
      <c r="H398" s="121"/>
      <c r="I398" s="133"/>
      <c r="J398" s="134"/>
      <c r="K398" s="125"/>
      <c r="L398" s="74"/>
      <c r="M398" s="75"/>
      <c r="N398" s="76"/>
      <c r="O398" s="76"/>
      <c r="P398" s="83"/>
      <c r="Q398" s="76"/>
      <c r="R398" s="67"/>
      <c r="S398" s="68"/>
      <c r="T398" s="77"/>
      <c r="U398" s="78"/>
      <c r="V398" s="81"/>
      <c r="W398" s="80"/>
    </row>
    <row r="399" spans="1:23" ht="15.6" x14ac:dyDescent="0.3">
      <c r="A399" s="67"/>
      <c r="B399" s="68"/>
      <c r="C399" s="69"/>
      <c r="D399" s="69"/>
      <c r="E399" s="70"/>
      <c r="F399" s="67"/>
      <c r="G399" s="71"/>
      <c r="H399" s="119"/>
      <c r="I399" s="133"/>
      <c r="J399" s="134"/>
      <c r="K399" s="125"/>
      <c r="L399" s="74"/>
      <c r="M399" s="75"/>
      <c r="N399" s="76"/>
      <c r="O399" s="76"/>
      <c r="P399" s="76"/>
      <c r="Q399" s="76"/>
      <c r="R399" s="67"/>
      <c r="S399" s="68"/>
      <c r="T399" s="77"/>
      <c r="U399" s="78"/>
      <c r="V399" s="81"/>
      <c r="W399" s="80"/>
    </row>
    <row r="400" spans="1:23" ht="15.6" x14ac:dyDescent="0.3">
      <c r="A400" s="67"/>
      <c r="B400" s="68"/>
      <c r="C400" s="69"/>
      <c r="D400" s="69"/>
      <c r="E400" s="70"/>
      <c r="F400" s="67"/>
      <c r="G400" s="71"/>
      <c r="H400" s="121"/>
      <c r="I400" s="135"/>
      <c r="J400" s="134"/>
      <c r="K400" s="125"/>
      <c r="L400" s="74"/>
      <c r="M400" s="75"/>
      <c r="N400" s="76"/>
      <c r="O400" s="76"/>
      <c r="P400" s="83"/>
      <c r="Q400" s="76"/>
      <c r="R400" s="67"/>
      <c r="S400" s="68"/>
      <c r="T400" s="77"/>
      <c r="U400" s="78"/>
      <c r="V400" s="81"/>
      <c r="W400" s="80"/>
    </row>
    <row r="401" spans="1:23" ht="15.6" x14ac:dyDescent="0.3">
      <c r="A401" s="67"/>
      <c r="B401" s="68"/>
      <c r="C401" s="69"/>
      <c r="D401" s="69"/>
      <c r="E401" s="70"/>
      <c r="F401" s="67"/>
      <c r="G401" s="71"/>
      <c r="H401" s="121"/>
      <c r="I401" s="133"/>
      <c r="J401" s="134"/>
      <c r="K401" s="125"/>
      <c r="L401" s="74"/>
      <c r="M401" s="75"/>
      <c r="N401" s="76"/>
      <c r="O401" s="76"/>
      <c r="P401" s="83"/>
      <c r="Q401" s="76"/>
      <c r="R401" s="67"/>
      <c r="S401" s="68"/>
      <c r="T401" s="77"/>
      <c r="U401" s="78"/>
      <c r="V401" s="81"/>
      <c r="W401" s="80"/>
    </row>
    <row r="402" spans="1:23" ht="15.6" x14ac:dyDescent="0.3">
      <c r="A402" s="67"/>
      <c r="B402" s="68"/>
      <c r="C402" s="69"/>
      <c r="D402" s="69"/>
      <c r="E402" s="70"/>
      <c r="F402" s="67"/>
      <c r="G402" s="71"/>
      <c r="H402" s="119"/>
      <c r="I402" s="133"/>
      <c r="J402" s="134"/>
      <c r="K402" s="125"/>
      <c r="L402" s="74"/>
      <c r="M402" s="75"/>
      <c r="N402" s="76"/>
      <c r="O402" s="76"/>
      <c r="P402" s="76"/>
      <c r="Q402" s="76"/>
      <c r="R402" s="67"/>
      <c r="S402" s="68"/>
      <c r="T402" s="77"/>
      <c r="U402" s="78"/>
      <c r="V402" s="81"/>
      <c r="W402" s="80"/>
    </row>
    <row r="403" spans="1:23" ht="15.6" x14ac:dyDescent="0.3">
      <c r="A403" s="67"/>
      <c r="B403" s="68"/>
      <c r="C403" s="69"/>
      <c r="D403" s="69"/>
      <c r="E403" s="70"/>
      <c r="F403" s="67"/>
      <c r="G403" s="71"/>
      <c r="H403" s="119"/>
      <c r="I403" s="133"/>
      <c r="J403" s="134"/>
      <c r="K403" s="125"/>
      <c r="L403" s="74"/>
      <c r="M403" s="75"/>
      <c r="N403" s="76"/>
      <c r="O403" s="76"/>
      <c r="P403" s="76"/>
      <c r="Q403" s="76"/>
      <c r="R403" s="67"/>
      <c r="S403" s="68"/>
      <c r="T403" s="77"/>
      <c r="U403" s="78"/>
      <c r="V403" s="81"/>
      <c r="W403" s="80"/>
    </row>
    <row r="404" spans="1:23" ht="15.6" x14ac:dyDescent="0.3">
      <c r="A404" s="67"/>
      <c r="B404" s="68"/>
      <c r="C404" s="69"/>
      <c r="D404" s="69"/>
      <c r="E404" s="70"/>
      <c r="F404" s="67"/>
      <c r="G404" s="71"/>
      <c r="H404" s="119"/>
      <c r="I404" s="133"/>
      <c r="J404" s="134"/>
      <c r="K404" s="125"/>
      <c r="L404" s="74"/>
      <c r="M404" s="75"/>
      <c r="N404" s="76"/>
      <c r="O404" s="76"/>
      <c r="P404" s="83"/>
      <c r="Q404" s="76"/>
      <c r="R404" s="67"/>
      <c r="S404" s="68"/>
      <c r="T404" s="77"/>
      <c r="U404" s="78"/>
      <c r="V404" s="81"/>
      <c r="W404" s="80"/>
    </row>
    <row r="405" spans="1:23" ht="15.6" x14ac:dyDescent="0.3">
      <c r="A405" s="67"/>
      <c r="B405" s="68"/>
      <c r="C405" s="69"/>
      <c r="D405" s="69"/>
      <c r="E405" s="70"/>
      <c r="F405" s="67"/>
      <c r="G405" s="71"/>
      <c r="H405" s="119"/>
      <c r="I405" s="133"/>
      <c r="J405" s="134"/>
      <c r="K405" s="125"/>
      <c r="L405" s="74"/>
      <c r="M405" s="75"/>
      <c r="N405" s="76"/>
      <c r="O405" s="76"/>
      <c r="P405" s="83"/>
      <c r="Q405" s="83"/>
      <c r="R405" s="67"/>
      <c r="S405" s="68"/>
      <c r="T405" s="77"/>
      <c r="U405" s="78"/>
      <c r="V405" s="81"/>
      <c r="W405" s="80"/>
    </row>
    <row r="406" spans="1:23" ht="15.6" x14ac:dyDescent="0.3">
      <c r="A406" s="67"/>
      <c r="B406" s="68"/>
      <c r="C406" s="69"/>
      <c r="D406" s="69"/>
      <c r="E406" s="70"/>
      <c r="F406" s="67"/>
      <c r="G406" s="71"/>
      <c r="H406" s="119"/>
      <c r="I406" s="135"/>
      <c r="J406" s="134"/>
      <c r="K406" s="125"/>
      <c r="L406" s="74"/>
      <c r="M406" s="75"/>
      <c r="N406" s="76"/>
      <c r="O406" s="76"/>
      <c r="P406" s="83"/>
      <c r="Q406" s="83"/>
      <c r="R406" s="67"/>
      <c r="S406" s="68"/>
      <c r="T406" s="77"/>
      <c r="U406" s="78"/>
      <c r="V406" s="81"/>
      <c r="W406" s="80"/>
    </row>
    <row r="407" spans="1:23" ht="15.6" x14ac:dyDescent="0.3">
      <c r="A407" s="67"/>
      <c r="B407" s="68"/>
      <c r="C407" s="69"/>
      <c r="D407" s="69"/>
      <c r="E407" s="70"/>
      <c r="F407" s="67"/>
      <c r="G407" s="71"/>
      <c r="H407" s="119"/>
      <c r="I407" s="133"/>
      <c r="J407" s="134"/>
      <c r="K407" s="125"/>
      <c r="L407" s="74"/>
      <c r="M407" s="75"/>
      <c r="N407" s="76"/>
      <c r="O407" s="76"/>
      <c r="P407" s="83"/>
      <c r="Q407" s="83"/>
      <c r="R407" s="67"/>
      <c r="S407" s="68"/>
      <c r="T407" s="77"/>
      <c r="U407" s="78"/>
      <c r="V407" s="81"/>
      <c r="W407" s="80"/>
    </row>
    <row r="408" spans="1:23" ht="15.6" x14ac:dyDescent="0.3">
      <c r="A408" s="67"/>
      <c r="B408" s="68"/>
      <c r="C408" s="69"/>
      <c r="D408" s="69"/>
      <c r="E408" s="70"/>
      <c r="F408" s="67"/>
      <c r="G408" s="71"/>
      <c r="H408" s="119"/>
      <c r="I408" s="133"/>
      <c r="J408" s="134"/>
      <c r="K408" s="125"/>
      <c r="L408" s="74"/>
      <c r="M408" s="75"/>
      <c r="N408" s="76"/>
      <c r="O408" s="76"/>
      <c r="P408" s="76"/>
      <c r="Q408" s="76"/>
      <c r="R408" s="67"/>
      <c r="S408" s="68"/>
      <c r="T408" s="77"/>
      <c r="U408" s="78"/>
      <c r="V408" s="81"/>
      <c r="W408" s="80"/>
    </row>
    <row r="409" spans="1:23" ht="15.6" x14ac:dyDescent="0.3">
      <c r="A409" s="67"/>
      <c r="B409" s="68"/>
      <c r="C409" s="69"/>
      <c r="D409" s="69"/>
      <c r="E409" s="70"/>
      <c r="F409" s="67"/>
      <c r="G409" s="71"/>
      <c r="H409" s="119"/>
      <c r="I409" s="133"/>
      <c r="J409" s="134"/>
      <c r="K409" s="125"/>
      <c r="L409" s="74"/>
      <c r="M409" s="75"/>
      <c r="N409" s="76"/>
      <c r="O409" s="76"/>
      <c r="P409" s="83"/>
      <c r="Q409" s="83"/>
      <c r="R409" s="67"/>
      <c r="S409" s="68"/>
      <c r="T409" s="77"/>
      <c r="U409" s="78"/>
      <c r="V409" s="81"/>
      <c r="W409" s="80"/>
    </row>
    <row r="410" spans="1:23" ht="15.6" x14ac:dyDescent="0.3">
      <c r="A410" s="67"/>
      <c r="B410" s="68"/>
      <c r="C410" s="69"/>
      <c r="D410" s="69"/>
      <c r="E410" s="70"/>
      <c r="F410" s="67"/>
      <c r="G410" s="71"/>
      <c r="H410" s="119"/>
      <c r="I410" s="135"/>
      <c r="J410" s="134"/>
      <c r="K410" s="125"/>
      <c r="L410" s="74"/>
      <c r="M410" s="75"/>
      <c r="N410" s="76"/>
      <c r="O410" s="76"/>
      <c r="P410" s="83"/>
      <c r="Q410" s="83"/>
      <c r="R410" s="67"/>
      <c r="S410" s="68"/>
      <c r="T410" s="77"/>
      <c r="U410" s="78"/>
      <c r="V410" s="81"/>
      <c r="W410" s="80"/>
    </row>
    <row r="411" spans="1:23" ht="15.6" x14ac:dyDescent="0.3">
      <c r="A411" s="93"/>
      <c r="B411" s="94"/>
      <c r="C411" s="69"/>
      <c r="D411" s="69"/>
      <c r="E411" s="95"/>
      <c r="F411" s="67"/>
      <c r="G411" s="71"/>
      <c r="H411" s="119"/>
      <c r="I411" s="133"/>
      <c r="J411" s="134"/>
      <c r="K411" s="125"/>
      <c r="L411" s="74"/>
      <c r="M411" s="96"/>
      <c r="N411" s="76"/>
      <c r="O411" s="76"/>
      <c r="P411" s="83"/>
      <c r="Q411" s="83"/>
      <c r="R411" s="67"/>
      <c r="S411" s="68"/>
      <c r="T411" s="77"/>
      <c r="U411" s="78"/>
      <c r="V411" s="81"/>
      <c r="W411" s="80"/>
    </row>
    <row r="412" spans="1:23" ht="15.6" x14ac:dyDescent="0.3">
      <c r="A412" s="67"/>
      <c r="B412" s="68"/>
      <c r="C412" s="69"/>
      <c r="D412" s="69"/>
      <c r="E412" s="70"/>
      <c r="F412" s="67"/>
      <c r="G412" s="71"/>
      <c r="H412" s="119"/>
      <c r="I412" s="133"/>
      <c r="J412" s="134"/>
      <c r="K412" s="125"/>
      <c r="L412" s="74"/>
      <c r="M412" s="75"/>
      <c r="N412" s="76"/>
      <c r="O412" s="76"/>
      <c r="P412" s="83"/>
      <c r="Q412" s="83"/>
      <c r="R412" s="67"/>
      <c r="S412" s="68"/>
      <c r="T412" s="77"/>
      <c r="U412" s="78"/>
      <c r="V412" s="81"/>
      <c r="W412" s="80"/>
    </row>
    <row r="413" spans="1:23" ht="15.6" x14ac:dyDescent="0.3">
      <c r="A413" s="67"/>
      <c r="B413" s="68"/>
      <c r="C413" s="69"/>
      <c r="D413" s="69"/>
      <c r="E413" s="70"/>
      <c r="F413" s="67"/>
      <c r="G413" s="71"/>
      <c r="H413" s="119"/>
      <c r="I413" s="135"/>
      <c r="J413" s="134"/>
      <c r="K413" s="125"/>
      <c r="L413" s="74"/>
      <c r="M413" s="75"/>
      <c r="N413" s="76"/>
      <c r="O413" s="76"/>
      <c r="P413" s="83"/>
      <c r="Q413" s="83"/>
      <c r="R413" s="67"/>
      <c r="S413" s="68"/>
      <c r="T413" s="77"/>
      <c r="U413" s="78"/>
      <c r="V413" s="81"/>
      <c r="W413" s="80"/>
    </row>
    <row r="414" spans="1:23" ht="15.6" x14ac:dyDescent="0.3">
      <c r="A414" s="67"/>
      <c r="B414" s="68"/>
      <c r="C414" s="69"/>
      <c r="D414" s="69"/>
      <c r="E414" s="70"/>
      <c r="F414" s="67"/>
      <c r="G414" s="71"/>
      <c r="H414" s="119"/>
      <c r="I414" s="133"/>
      <c r="J414" s="134"/>
      <c r="K414" s="125"/>
      <c r="L414" s="74"/>
      <c r="M414" s="75"/>
      <c r="N414" s="76"/>
      <c r="O414" s="76"/>
      <c r="P414" s="83"/>
      <c r="Q414" s="83"/>
      <c r="R414" s="67"/>
      <c r="S414" s="68"/>
      <c r="T414" s="77"/>
      <c r="U414" s="78"/>
      <c r="V414" s="81"/>
      <c r="W414" s="80"/>
    </row>
    <row r="415" spans="1:23" ht="15.6" x14ac:dyDescent="0.3">
      <c r="A415" s="67"/>
      <c r="B415" s="68"/>
      <c r="C415" s="69"/>
      <c r="D415" s="69"/>
      <c r="E415" s="70"/>
      <c r="F415" s="67"/>
      <c r="G415" s="71"/>
      <c r="H415" s="119"/>
      <c r="I415" s="135"/>
      <c r="J415" s="134"/>
      <c r="K415" s="125"/>
      <c r="L415" s="74"/>
      <c r="M415" s="75"/>
      <c r="N415" s="76"/>
      <c r="O415" s="76"/>
      <c r="P415" s="83"/>
      <c r="Q415" s="83"/>
      <c r="R415" s="67"/>
      <c r="S415" s="68"/>
      <c r="T415" s="77"/>
      <c r="U415" s="78"/>
      <c r="V415" s="81"/>
      <c r="W415" s="80"/>
    </row>
    <row r="416" spans="1:23" ht="15.6" x14ac:dyDescent="0.3">
      <c r="A416" s="67"/>
      <c r="B416" s="68"/>
      <c r="C416" s="69"/>
      <c r="D416" s="69"/>
      <c r="E416" s="70"/>
      <c r="F416" s="67"/>
      <c r="G416" s="71"/>
      <c r="H416" s="119"/>
      <c r="I416" s="133"/>
      <c r="J416" s="134"/>
      <c r="K416" s="125"/>
      <c r="L416" s="74"/>
      <c r="M416" s="75"/>
      <c r="N416" s="76"/>
      <c r="O416" s="76"/>
      <c r="P416" s="83"/>
      <c r="Q416" s="83"/>
      <c r="R416" s="67"/>
      <c r="S416" s="68"/>
      <c r="T416" s="77"/>
      <c r="U416" s="78"/>
      <c r="V416" s="81"/>
      <c r="W416" s="80"/>
    </row>
    <row r="417" spans="1:23" ht="15.6" x14ac:dyDescent="0.3">
      <c r="A417" s="67"/>
      <c r="B417" s="68"/>
      <c r="C417" s="69"/>
      <c r="D417" s="69"/>
      <c r="E417" s="70"/>
      <c r="F417" s="67"/>
      <c r="G417" s="71"/>
      <c r="H417" s="119"/>
      <c r="I417" s="133"/>
      <c r="J417" s="134"/>
      <c r="K417" s="125"/>
      <c r="L417" s="74"/>
      <c r="M417" s="75"/>
      <c r="N417" s="76"/>
      <c r="O417" s="76"/>
      <c r="P417" s="76"/>
      <c r="Q417" s="76"/>
      <c r="R417" s="67"/>
      <c r="S417" s="68"/>
      <c r="T417" s="77"/>
      <c r="U417" s="78"/>
      <c r="V417" s="81"/>
      <c r="W417" s="80"/>
    </row>
    <row r="418" spans="1:23" ht="15.6" x14ac:dyDescent="0.3">
      <c r="A418" s="67"/>
      <c r="B418" s="68"/>
      <c r="C418" s="69"/>
      <c r="D418" s="69"/>
      <c r="E418" s="70"/>
      <c r="F418" s="67"/>
      <c r="G418" s="71"/>
      <c r="H418" s="119"/>
      <c r="I418" s="135"/>
      <c r="J418" s="134"/>
      <c r="K418" s="125"/>
      <c r="L418" s="74"/>
      <c r="M418" s="75"/>
      <c r="N418" s="76"/>
      <c r="O418" s="76"/>
      <c r="P418" s="76"/>
      <c r="Q418" s="76"/>
      <c r="R418" s="67"/>
      <c r="S418" s="68"/>
      <c r="T418" s="77"/>
      <c r="U418" s="78"/>
      <c r="V418" s="81"/>
      <c r="W418" s="80"/>
    </row>
    <row r="419" spans="1:23" ht="15.6" x14ac:dyDescent="0.3">
      <c r="A419" s="67"/>
      <c r="B419" s="68"/>
      <c r="C419" s="69"/>
      <c r="D419" s="69"/>
      <c r="E419" s="70"/>
      <c r="F419" s="67"/>
      <c r="G419" s="71"/>
      <c r="H419" s="119"/>
      <c r="I419" s="135"/>
      <c r="J419" s="134"/>
      <c r="K419" s="125"/>
      <c r="L419" s="74"/>
      <c r="M419" s="75"/>
      <c r="N419" s="76"/>
      <c r="O419" s="76"/>
      <c r="P419" s="76"/>
      <c r="Q419" s="76"/>
      <c r="R419" s="67"/>
      <c r="S419" s="68"/>
      <c r="T419" s="77"/>
      <c r="U419" s="78"/>
      <c r="V419" s="81"/>
      <c r="W419" s="80"/>
    </row>
    <row r="420" spans="1:23" ht="15.6" x14ac:dyDescent="0.3">
      <c r="A420" s="67"/>
      <c r="B420" s="68"/>
      <c r="C420" s="69"/>
      <c r="D420" s="69"/>
      <c r="E420" s="70"/>
      <c r="F420" s="67"/>
      <c r="G420" s="71"/>
      <c r="H420" s="119"/>
      <c r="I420" s="133"/>
      <c r="J420" s="134"/>
      <c r="K420" s="125"/>
      <c r="L420" s="74"/>
      <c r="M420" s="75"/>
      <c r="N420" s="76"/>
      <c r="O420" s="76"/>
      <c r="P420" s="83"/>
      <c r="Q420" s="83"/>
      <c r="R420" s="67"/>
      <c r="S420" s="68"/>
      <c r="T420" s="77"/>
      <c r="U420" s="78"/>
      <c r="V420" s="81"/>
      <c r="W420" s="80"/>
    </row>
    <row r="421" spans="1:23" ht="15.6" x14ac:dyDescent="0.3">
      <c r="A421" s="67"/>
      <c r="B421" s="68"/>
      <c r="C421" s="69"/>
      <c r="D421" s="69"/>
      <c r="E421" s="70"/>
      <c r="F421" s="67"/>
      <c r="G421" s="71"/>
      <c r="H421" s="119"/>
      <c r="I421" s="135"/>
      <c r="J421" s="134"/>
      <c r="K421" s="131"/>
      <c r="L421" s="74"/>
      <c r="M421" s="75"/>
      <c r="N421" s="76"/>
      <c r="O421" s="76"/>
      <c r="P421" s="83"/>
      <c r="Q421" s="83"/>
      <c r="R421" s="67"/>
      <c r="S421" s="68"/>
      <c r="T421" s="77"/>
      <c r="U421" s="78"/>
      <c r="V421" s="63"/>
      <c r="W421" s="80"/>
    </row>
    <row r="422" spans="1:23" ht="15.6" x14ac:dyDescent="0.3">
      <c r="A422" s="67"/>
      <c r="B422" s="68"/>
      <c r="C422" s="69"/>
      <c r="D422" s="69"/>
      <c r="E422" s="70"/>
      <c r="F422" s="67"/>
      <c r="G422" s="71"/>
      <c r="H422" s="119"/>
      <c r="I422" s="133"/>
      <c r="J422" s="134"/>
      <c r="K422" s="125"/>
      <c r="L422" s="74"/>
      <c r="M422" s="75"/>
      <c r="N422" s="76"/>
      <c r="O422" s="76"/>
      <c r="P422" s="83"/>
      <c r="Q422" s="83"/>
      <c r="R422" s="67"/>
      <c r="S422" s="68"/>
      <c r="T422" s="77"/>
      <c r="U422" s="78"/>
      <c r="V422" s="81"/>
      <c r="W422" s="80"/>
    </row>
    <row r="423" spans="1:23" ht="15.6" x14ac:dyDescent="0.3">
      <c r="A423" s="67"/>
      <c r="B423" s="68"/>
      <c r="C423" s="69"/>
      <c r="D423" s="69"/>
      <c r="E423" s="70"/>
      <c r="F423" s="67"/>
      <c r="G423" s="71"/>
      <c r="H423" s="119"/>
      <c r="I423" s="133"/>
      <c r="J423" s="134"/>
      <c r="K423" s="125"/>
      <c r="L423" s="74"/>
      <c r="M423" s="75"/>
      <c r="N423" s="76"/>
      <c r="O423" s="76"/>
      <c r="P423" s="83"/>
      <c r="Q423" s="83"/>
      <c r="R423" s="67"/>
      <c r="S423" s="68"/>
      <c r="T423" s="77"/>
      <c r="U423" s="78"/>
      <c r="V423" s="81"/>
      <c r="W423" s="80"/>
    </row>
    <row r="424" spans="1:23" ht="15.6" x14ac:dyDescent="0.3">
      <c r="A424" s="67"/>
      <c r="B424" s="68"/>
      <c r="C424" s="69"/>
      <c r="D424" s="69"/>
      <c r="E424" s="70"/>
      <c r="F424" s="67"/>
      <c r="G424" s="71"/>
      <c r="H424" s="119"/>
      <c r="I424" s="135"/>
      <c r="J424" s="134"/>
      <c r="K424" s="125"/>
      <c r="L424" s="74"/>
      <c r="M424" s="75"/>
      <c r="N424" s="76"/>
      <c r="O424" s="76"/>
      <c r="P424" s="83"/>
      <c r="Q424" s="83"/>
      <c r="R424" s="67"/>
      <c r="S424" s="68"/>
      <c r="T424" s="77"/>
      <c r="U424" s="78"/>
      <c r="V424" s="81"/>
      <c r="W424" s="80"/>
    </row>
    <row r="425" spans="1:23" ht="15.6" x14ac:dyDescent="0.3">
      <c r="A425" s="67"/>
      <c r="B425" s="68"/>
      <c r="C425" s="69"/>
      <c r="D425" s="69"/>
      <c r="E425" s="70"/>
      <c r="F425" s="67"/>
      <c r="G425" s="71"/>
      <c r="H425" s="119"/>
      <c r="I425" s="133"/>
      <c r="J425" s="134"/>
      <c r="K425" s="125"/>
      <c r="L425" s="74"/>
      <c r="M425" s="75"/>
      <c r="N425" s="76"/>
      <c r="O425" s="76"/>
      <c r="P425" s="83"/>
      <c r="Q425" s="76"/>
      <c r="R425" s="67"/>
      <c r="S425" s="68"/>
      <c r="T425" s="77"/>
      <c r="U425" s="78"/>
      <c r="V425" s="81"/>
      <c r="W425" s="80"/>
    </row>
    <row r="426" spans="1:23" ht="15.6" x14ac:dyDescent="0.3">
      <c r="A426" s="67"/>
      <c r="B426" s="68"/>
      <c r="C426" s="69"/>
      <c r="D426" s="69"/>
      <c r="E426" s="70"/>
      <c r="F426" s="67"/>
      <c r="G426" s="71"/>
      <c r="H426" s="119"/>
      <c r="I426" s="133"/>
      <c r="J426" s="134"/>
      <c r="K426" s="125"/>
      <c r="L426" s="74"/>
      <c r="M426" s="75"/>
      <c r="N426" s="76"/>
      <c r="O426" s="76"/>
      <c r="P426" s="83"/>
      <c r="Q426" s="83"/>
      <c r="R426" s="67"/>
      <c r="S426" s="68"/>
      <c r="T426" s="77"/>
      <c r="U426" s="78"/>
      <c r="V426" s="81"/>
      <c r="W426" s="80"/>
    </row>
    <row r="427" spans="1:23" ht="15.6" x14ac:dyDescent="0.3">
      <c r="A427" s="67"/>
      <c r="B427" s="68"/>
      <c r="C427" s="69"/>
      <c r="D427" s="69"/>
      <c r="E427" s="70"/>
      <c r="F427" s="67"/>
      <c r="G427" s="71"/>
      <c r="H427" s="119"/>
      <c r="I427" s="133"/>
      <c r="J427" s="134"/>
      <c r="K427" s="125"/>
      <c r="L427" s="74"/>
      <c r="M427" s="75"/>
      <c r="N427" s="76"/>
      <c r="O427" s="76"/>
      <c r="P427" s="83"/>
      <c r="Q427" s="83"/>
      <c r="R427" s="67"/>
      <c r="S427" s="68"/>
      <c r="T427" s="77"/>
      <c r="U427" s="78"/>
      <c r="V427" s="81"/>
      <c r="W427" s="80"/>
    </row>
    <row r="428" spans="1:23" ht="15.6" x14ac:dyDescent="0.3">
      <c r="A428" s="67"/>
      <c r="B428" s="68"/>
      <c r="C428" s="69"/>
      <c r="D428" s="69"/>
      <c r="E428" s="70"/>
      <c r="F428" s="67"/>
      <c r="G428" s="71"/>
      <c r="H428" s="119"/>
      <c r="I428" s="133"/>
      <c r="J428" s="134"/>
      <c r="K428" s="125"/>
      <c r="L428" s="74"/>
      <c r="M428" s="75"/>
      <c r="N428" s="76"/>
      <c r="O428" s="76"/>
      <c r="P428" s="83"/>
      <c r="Q428" s="83"/>
      <c r="R428" s="67"/>
      <c r="S428" s="68"/>
      <c r="T428" s="77"/>
      <c r="U428" s="78"/>
      <c r="V428" s="81"/>
      <c r="W428" s="80"/>
    </row>
    <row r="429" spans="1:23" ht="15.6" x14ac:dyDescent="0.3">
      <c r="A429" s="67"/>
      <c r="B429" s="68"/>
      <c r="C429" s="69"/>
      <c r="D429" s="69"/>
      <c r="E429" s="70"/>
      <c r="F429" s="67"/>
      <c r="G429" s="71"/>
      <c r="H429" s="119"/>
      <c r="I429" s="133"/>
      <c r="J429" s="134"/>
      <c r="K429" s="125"/>
      <c r="L429" s="74"/>
      <c r="M429" s="75"/>
      <c r="N429" s="76"/>
      <c r="O429" s="76"/>
      <c r="P429" s="83"/>
      <c r="Q429" s="83"/>
      <c r="R429" s="67"/>
      <c r="S429" s="68"/>
      <c r="T429" s="77"/>
      <c r="U429" s="78"/>
      <c r="V429" s="81"/>
      <c r="W429" s="80"/>
    </row>
    <row r="430" spans="1:23" ht="15.6" x14ac:dyDescent="0.3">
      <c r="A430" s="67"/>
      <c r="B430" s="68"/>
      <c r="C430" s="69"/>
      <c r="D430" s="69"/>
      <c r="E430" s="70"/>
      <c r="F430" s="67"/>
      <c r="G430" s="71"/>
      <c r="H430" s="119"/>
      <c r="I430" s="133"/>
      <c r="J430" s="134"/>
      <c r="K430" s="125"/>
      <c r="L430" s="74"/>
      <c r="M430" s="75"/>
      <c r="N430" s="76"/>
      <c r="O430" s="76"/>
      <c r="P430" s="83"/>
      <c r="Q430" s="83"/>
      <c r="R430" s="67"/>
      <c r="S430" s="68"/>
      <c r="T430" s="77"/>
      <c r="U430" s="78"/>
      <c r="V430" s="81"/>
      <c r="W430" s="80"/>
    </row>
    <row r="431" spans="1:23" ht="15.6" x14ac:dyDescent="0.3">
      <c r="A431" s="67"/>
      <c r="B431" s="68"/>
      <c r="C431" s="69"/>
      <c r="D431" s="69"/>
      <c r="E431" s="70"/>
      <c r="F431" s="67"/>
      <c r="G431" s="71"/>
      <c r="H431" s="119"/>
      <c r="I431" s="133"/>
      <c r="J431" s="134"/>
      <c r="K431" s="125"/>
      <c r="L431" s="74"/>
      <c r="M431" s="75"/>
      <c r="N431" s="76"/>
      <c r="O431" s="76"/>
      <c r="P431" s="83"/>
      <c r="Q431" s="83"/>
      <c r="R431" s="67"/>
      <c r="S431" s="68"/>
      <c r="T431" s="77"/>
      <c r="U431" s="78"/>
      <c r="V431" s="81"/>
      <c r="W431" s="80"/>
    </row>
    <row r="432" spans="1:23" ht="15.6" x14ac:dyDescent="0.3">
      <c r="A432" s="67"/>
      <c r="B432" s="68"/>
      <c r="C432" s="69"/>
      <c r="D432" s="69"/>
      <c r="E432" s="70"/>
      <c r="F432" s="67"/>
      <c r="G432" s="71"/>
      <c r="H432" s="119"/>
      <c r="I432" s="133"/>
      <c r="J432" s="134"/>
      <c r="K432" s="125"/>
      <c r="L432" s="74"/>
      <c r="M432" s="75"/>
      <c r="N432" s="76"/>
      <c r="O432" s="76"/>
      <c r="P432" s="76"/>
      <c r="Q432" s="76"/>
      <c r="R432" s="67"/>
      <c r="S432" s="68"/>
      <c r="T432" s="77"/>
      <c r="U432" s="78"/>
      <c r="V432" s="81"/>
      <c r="W432" s="80"/>
    </row>
    <row r="433" spans="1:23" ht="15.6" x14ac:dyDescent="0.3">
      <c r="A433" s="67"/>
      <c r="B433" s="68"/>
      <c r="C433" s="69"/>
      <c r="D433" s="69"/>
      <c r="E433" s="70"/>
      <c r="F433" s="67"/>
      <c r="G433" s="71"/>
      <c r="H433" s="119"/>
      <c r="I433" s="135"/>
      <c r="J433" s="134"/>
      <c r="K433" s="125"/>
      <c r="L433" s="74"/>
      <c r="M433" s="75"/>
      <c r="N433" s="76"/>
      <c r="O433" s="76"/>
      <c r="P433" s="83"/>
      <c r="Q433" s="83"/>
      <c r="R433" s="67"/>
      <c r="S433" s="68"/>
      <c r="T433" s="77"/>
      <c r="U433" s="78"/>
      <c r="V433" s="81"/>
      <c r="W433" s="80"/>
    </row>
    <row r="434" spans="1:23" ht="15.6" x14ac:dyDescent="0.3">
      <c r="A434" s="67"/>
      <c r="B434" s="68"/>
      <c r="C434" s="69"/>
      <c r="D434" s="69"/>
      <c r="E434" s="70"/>
      <c r="F434" s="67"/>
      <c r="G434" s="71"/>
      <c r="H434" s="119"/>
      <c r="I434" s="133"/>
      <c r="J434" s="134"/>
      <c r="K434" s="125"/>
      <c r="L434" s="74"/>
      <c r="M434" s="75"/>
      <c r="N434" s="76"/>
      <c r="O434" s="76"/>
      <c r="P434" s="83"/>
      <c r="Q434" s="83"/>
      <c r="R434" s="67"/>
      <c r="S434" s="68"/>
      <c r="T434" s="77"/>
      <c r="U434" s="78"/>
      <c r="V434" s="81"/>
      <c r="W434" s="80"/>
    </row>
    <row r="435" spans="1:23" ht="15.6" x14ac:dyDescent="0.3">
      <c r="A435" s="67"/>
      <c r="B435" s="68"/>
      <c r="C435" s="69"/>
      <c r="D435" s="69"/>
      <c r="E435" s="70"/>
      <c r="F435" s="67"/>
      <c r="G435" s="71"/>
      <c r="H435" s="119"/>
      <c r="I435" s="133"/>
      <c r="J435" s="134"/>
      <c r="K435" s="125"/>
      <c r="L435" s="74"/>
      <c r="M435" s="75"/>
      <c r="N435" s="76"/>
      <c r="O435" s="76"/>
      <c r="P435" s="83"/>
      <c r="Q435" s="83"/>
      <c r="R435" s="67"/>
      <c r="S435" s="68"/>
      <c r="T435" s="77"/>
      <c r="U435" s="78"/>
      <c r="V435" s="81"/>
      <c r="W435" s="80"/>
    </row>
    <row r="436" spans="1:23" ht="15.6" x14ac:dyDescent="0.3">
      <c r="A436" s="67"/>
      <c r="B436" s="68"/>
      <c r="C436" s="69"/>
      <c r="D436" s="69"/>
      <c r="E436" s="70"/>
      <c r="F436" s="67"/>
      <c r="G436" s="71"/>
      <c r="H436" s="119"/>
      <c r="I436" s="133"/>
      <c r="J436" s="134"/>
      <c r="K436" s="125"/>
      <c r="L436" s="74"/>
      <c r="M436" s="75"/>
      <c r="N436" s="76"/>
      <c r="O436" s="76"/>
      <c r="P436" s="83"/>
      <c r="Q436" s="83"/>
      <c r="R436" s="67"/>
      <c r="S436" s="68"/>
      <c r="T436" s="77"/>
      <c r="U436" s="78"/>
      <c r="V436" s="81"/>
      <c r="W436" s="80"/>
    </row>
    <row r="437" spans="1:23" ht="15.6" x14ac:dyDescent="0.3">
      <c r="A437" s="67"/>
      <c r="B437" s="68"/>
      <c r="C437" s="69"/>
      <c r="D437" s="69"/>
      <c r="E437" s="70"/>
      <c r="F437" s="67"/>
      <c r="G437" s="71"/>
      <c r="H437" s="119"/>
      <c r="I437" s="133"/>
      <c r="J437" s="134"/>
      <c r="K437" s="125"/>
      <c r="L437" s="74"/>
      <c r="M437" s="75"/>
      <c r="N437" s="76"/>
      <c r="O437" s="76"/>
      <c r="P437" s="83"/>
      <c r="Q437" s="83"/>
      <c r="R437" s="67"/>
      <c r="S437" s="68"/>
      <c r="T437" s="77"/>
      <c r="U437" s="78"/>
      <c r="V437" s="81"/>
      <c r="W437" s="80"/>
    </row>
    <row r="438" spans="1:23" ht="15.6" x14ac:dyDescent="0.3">
      <c r="A438" s="67"/>
      <c r="B438" s="68"/>
      <c r="C438" s="69"/>
      <c r="D438" s="69"/>
      <c r="E438" s="70"/>
      <c r="F438" s="67"/>
      <c r="G438" s="71"/>
      <c r="H438" s="119"/>
      <c r="I438" s="133"/>
      <c r="J438" s="134"/>
      <c r="K438" s="125"/>
      <c r="L438" s="74"/>
      <c r="M438" s="75"/>
      <c r="N438" s="76"/>
      <c r="O438" s="76"/>
      <c r="P438" s="83"/>
      <c r="Q438" s="83"/>
      <c r="R438" s="67"/>
      <c r="S438" s="68"/>
      <c r="T438" s="77"/>
      <c r="U438" s="78"/>
      <c r="V438" s="81"/>
      <c r="W438" s="80"/>
    </row>
    <row r="439" spans="1:23" ht="15.6" x14ac:dyDescent="0.3">
      <c r="A439" s="67"/>
      <c r="B439" s="68"/>
      <c r="C439" s="69"/>
      <c r="D439" s="69"/>
      <c r="E439" s="70"/>
      <c r="F439" s="67"/>
      <c r="G439" s="71"/>
      <c r="H439" s="119"/>
      <c r="I439" s="133"/>
      <c r="J439" s="134"/>
      <c r="K439" s="125"/>
      <c r="L439" s="74"/>
      <c r="M439" s="75"/>
      <c r="N439" s="76"/>
      <c r="O439" s="76"/>
      <c r="P439" s="83"/>
      <c r="Q439" s="83"/>
      <c r="R439" s="67"/>
      <c r="S439" s="68"/>
      <c r="T439" s="77"/>
      <c r="U439" s="78"/>
      <c r="V439" s="81"/>
      <c r="W439" s="80"/>
    </row>
    <row r="440" spans="1:23" ht="15.6" x14ac:dyDescent="0.3">
      <c r="A440" s="67"/>
      <c r="B440" s="68"/>
      <c r="C440" s="69"/>
      <c r="D440" s="69"/>
      <c r="E440" s="70"/>
      <c r="F440" s="67"/>
      <c r="G440" s="71"/>
      <c r="H440" s="119"/>
      <c r="I440" s="133"/>
      <c r="J440" s="134"/>
      <c r="K440" s="125"/>
      <c r="L440" s="74"/>
      <c r="M440" s="75"/>
      <c r="N440" s="76"/>
      <c r="O440" s="76"/>
      <c r="P440" s="83"/>
      <c r="Q440" s="83"/>
      <c r="R440" s="67"/>
      <c r="S440" s="68"/>
      <c r="T440" s="77"/>
      <c r="U440" s="78"/>
      <c r="V440" s="81"/>
      <c r="W440" s="80"/>
    </row>
    <row r="441" spans="1:23" ht="15.6" x14ac:dyDescent="0.3">
      <c r="A441" s="67"/>
      <c r="B441" s="68"/>
      <c r="C441" s="69"/>
      <c r="D441" s="69"/>
      <c r="E441" s="70"/>
      <c r="F441" s="67"/>
      <c r="G441" s="71"/>
      <c r="H441" s="119"/>
      <c r="I441" s="133"/>
      <c r="J441" s="134"/>
      <c r="K441" s="125"/>
      <c r="L441" s="74"/>
      <c r="M441" s="75"/>
      <c r="N441" s="76"/>
      <c r="O441" s="76"/>
      <c r="P441" s="83"/>
      <c r="Q441" s="83"/>
      <c r="R441" s="67"/>
      <c r="S441" s="68"/>
      <c r="T441" s="77"/>
      <c r="U441" s="78"/>
      <c r="V441" s="81"/>
      <c r="W441" s="80"/>
    </row>
    <row r="442" spans="1:23" ht="15.6" x14ac:dyDescent="0.3">
      <c r="A442" s="67"/>
      <c r="B442" s="68"/>
      <c r="C442" s="69"/>
      <c r="D442" s="69"/>
      <c r="E442" s="70"/>
      <c r="F442" s="67"/>
      <c r="G442" s="71"/>
      <c r="H442" s="119"/>
      <c r="I442" s="133"/>
      <c r="J442" s="134"/>
      <c r="K442" s="125"/>
      <c r="L442" s="74"/>
      <c r="M442" s="85"/>
      <c r="N442" s="76"/>
      <c r="O442" s="76"/>
      <c r="P442" s="76"/>
      <c r="Q442" s="76"/>
      <c r="R442" s="67"/>
      <c r="S442" s="68"/>
      <c r="T442" s="77"/>
      <c r="U442" s="78"/>
      <c r="V442" s="81"/>
      <c r="W442" s="80"/>
    </row>
    <row r="443" spans="1:23" ht="15.6" x14ac:dyDescent="0.3">
      <c r="A443" s="67"/>
      <c r="B443" s="68"/>
      <c r="C443" s="69"/>
      <c r="D443" s="69"/>
      <c r="E443" s="70"/>
      <c r="F443" s="67"/>
      <c r="G443" s="71"/>
      <c r="H443" s="119"/>
      <c r="I443" s="135"/>
      <c r="J443" s="134"/>
      <c r="K443" s="125"/>
      <c r="L443" s="74"/>
      <c r="M443" s="75"/>
      <c r="N443" s="76"/>
      <c r="O443" s="76"/>
      <c r="P443" s="76"/>
      <c r="Q443" s="76"/>
      <c r="R443" s="67"/>
      <c r="S443" s="68"/>
      <c r="T443" s="77"/>
      <c r="U443" s="78"/>
      <c r="V443" s="81"/>
      <c r="W443" s="80"/>
    </row>
    <row r="444" spans="1:23" ht="15.6" x14ac:dyDescent="0.3">
      <c r="A444" s="67"/>
      <c r="B444" s="68"/>
      <c r="C444" s="69"/>
      <c r="D444" s="69"/>
      <c r="E444" s="70"/>
      <c r="F444" s="67"/>
      <c r="G444" s="71"/>
      <c r="H444" s="119"/>
      <c r="I444" s="135"/>
      <c r="J444" s="134"/>
      <c r="K444" s="125"/>
      <c r="L444" s="74"/>
      <c r="M444" s="75"/>
      <c r="N444" s="76"/>
      <c r="O444" s="76"/>
      <c r="P444" s="76"/>
      <c r="Q444" s="76"/>
      <c r="R444" s="67"/>
      <c r="S444" s="68"/>
      <c r="T444" s="77"/>
      <c r="U444" s="78"/>
      <c r="V444" s="81"/>
      <c r="W444" s="80"/>
    </row>
    <row r="445" spans="1:23" ht="15.6" x14ac:dyDescent="0.3">
      <c r="A445" s="67"/>
      <c r="B445" s="68"/>
      <c r="C445" s="69"/>
      <c r="D445" s="69"/>
      <c r="E445" s="70"/>
      <c r="F445" s="67"/>
      <c r="G445" s="71"/>
      <c r="H445" s="119"/>
      <c r="I445" s="133"/>
      <c r="J445" s="133"/>
      <c r="K445" s="73"/>
      <c r="L445" s="74"/>
      <c r="M445" s="75"/>
      <c r="N445" s="76"/>
      <c r="O445" s="76"/>
      <c r="P445" s="76"/>
      <c r="Q445" s="76"/>
      <c r="R445" s="67"/>
      <c r="S445" s="68"/>
      <c r="T445" s="77"/>
      <c r="U445" s="78"/>
      <c r="V445" s="73"/>
      <c r="W445" s="80"/>
    </row>
    <row r="446" spans="1:23" ht="15.6" x14ac:dyDescent="0.3">
      <c r="A446" s="67"/>
      <c r="B446" s="68"/>
      <c r="C446" s="69"/>
      <c r="D446" s="69"/>
      <c r="E446" s="70"/>
      <c r="F446" s="67"/>
      <c r="G446" s="71"/>
      <c r="H446" s="119"/>
      <c r="I446" s="133"/>
      <c r="J446" s="133"/>
      <c r="K446" s="73"/>
      <c r="L446" s="74"/>
      <c r="M446" s="85"/>
      <c r="N446" s="76"/>
      <c r="O446" s="76"/>
      <c r="P446" s="76"/>
      <c r="Q446" s="76"/>
      <c r="R446" s="67"/>
      <c r="S446" s="68"/>
      <c r="T446" s="77"/>
      <c r="U446" s="78"/>
      <c r="V446" s="73"/>
      <c r="W446" s="80"/>
    </row>
    <row r="447" spans="1:23" ht="15.6" x14ac:dyDescent="0.3">
      <c r="A447" s="67"/>
      <c r="B447" s="68"/>
      <c r="C447" s="69"/>
      <c r="D447" s="69"/>
      <c r="E447" s="70"/>
      <c r="F447" s="67"/>
      <c r="G447" s="71"/>
      <c r="H447" s="119"/>
      <c r="I447" s="133"/>
      <c r="J447" s="133"/>
      <c r="K447" s="73"/>
      <c r="L447" s="74"/>
      <c r="M447" s="75"/>
      <c r="N447" s="76"/>
      <c r="O447" s="76"/>
      <c r="P447" s="76"/>
      <c r="Q447" s="76"/>
      <c r="R447" s="67"/>
      <c r="S447" s="68"/>
      <c r="T447" s="77"/>
      <c r="U447" s="78"/>
      <c r="V447" s="73"/>
      <c r="W447" s="80"/>
    </row>
    <row r="448" spans="1:23" x14ac:dyDescent="0.3">
      <c r="I448" s="142" t="s">
        <v>1784</v>
      </c>
      <c r="J448" s="142" t="s">
        <v>1785</v>
      </c>
    </row>
    <row r="449" spans="8:10" x14ac:dyDescent="0.3">
      <c r="H449" t="s">
        <v>54</v>
      </c>
      <c r="I449" s="144">
        <f>SUM(I2:I447)</f>
        <v>2240704849.3599997</v>
      </c>
      <c r="J449" s="144">
        <f>SUM(J2:J447)</f>
        <v>323572341.83999991</v>
      </c>
    </row>
  </sheetData>
  <autoFilter ref="A1:W291" xr:uid="{39F3DAE5-44EB-41AB-B16A-3C8D575E2516}">
    <filterColumn colId="5">
      <filters>
        <filter val="ACTIVO"/>
      </filters>
    </filterColumn>
    <filterColumn colId="22">
      <filters>
        <filter val="$0"/>
      </filters>
    </filterColumn>
    <sortState xmlns:xlrd2="http://schemas.microsoft.com/office/spreadsheetml/2017/richdata2" ref="A2:W191">
      <sortCondition descending="1" ref="A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BB5F-488E-47EB-9EB5-82F0E10EFDBE}">
  <sheetPr codeName="Hoja7"/>
  <dimension ref="A2:D5"/>
  <sheetViews>
    <sheetView workbookViewId="0">
      <selection activeCell="C9" sqref="C9"/>
    </sheetView>
  </sheetViews>
  <sheetFormatPr baseColWidth="10" defaultRowHeight="14.4" x14ac:dyDescent="0.3"/>
  <cols>
    <col min="3" max="3" width="17.109375" bestFit="1" customWidth="1"/>
    <col min="4" max="4" width="15.5546875" bestFit="1" customWidth="1"/>
  </cols>
  <sheetData>
    <row r="2" spans="1:4" x14ac:dyDescent="0.3">
      <c r="A2" s="160"/>
      <c r="B2" s="160"/>
      <c r="C2" s="160" t="s">
        <v>1784</v>
      </c>
      <c r="D2" s="160" t="s">
        <v>1785</v>
      </c>
    </row>
    <row r="3" spans="1:4" x14ac:dyDescent="0.3">
      <c r="A3" s="160" t="s">
        <v>1877</v>
      </c>
      <c r="B3" s="160" t="s">
        <v>1878</v>
      </c>
      <c r="C3" s="160">
        <v>5174979299.9399977</v>
      </c>
      <c r="D3" s="160">
        <v>690614334.13</v>
      </c>
    </row>
    <row r="4" spans="1:4" x14ac:dyDescent="0.3">
      <c r="A4" s="160" t="s">
        <v>1879</v>
      </c>
      <c r="B4" s="160" t="s">
        <v>1783</v>
      </c>
      <c r="C4" s="160">
        <v>5451034011.8900003</v>
      </c>
      <c r="D4" s="160">
        <v>820728359.21000099</v>
      </c>
    </row>
    <row r="5" spans="1:4" x14ac:dyDescent="0.3">
      <c r="A5" s="160" t="s">
        <v>1880</v>
      </c>
      <c r="B5" s="160" t="s">
        <v>1783</v>
      </c>
      <c r="C5" s="160">
        <v>4231883121.2400002</v>
      </c>
      <c r="D5" s="160">
        <v>604982818.37999976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a</vt:lpstr>
      <vt:lpstr>b</vt:lpstr>
      <vt:lpstr>c</vt:lpstr>
      <vt:lpstr>PAGOS</vt:lpstr>
      <vt:lpstr>PROCESADAS JULIO-AGOSTO</vt:lpstr>
      <vt:lpstr>PROCESADAS JULIO-JUNIO</vt:lpstr>
      <vt:lpstr>PROCEDAS JUNIO - MAYO</vt:lpstr>
      <vt:lpstr>INACTIVOS</vt:lpstr>
      <vt:lpstr>TOTAL</vt:lpstr>
      <vt:lpstr>'c'!Área_de_impresión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Cardenas</dc:creator>
  <cp:lastModifiedBy>Daniel Gerardo Cardenas Espinosa</cp:lastModifiedBy>
  <cp:lastPrinted>2024-12-20T15:32:32Z</cp:lastPrinted>
  <dcterms:created xsi:type="dcterms:W3CDTF">2015-06-05T18:17:20Z</dcterms:created>
  <dcterms:modified xsi:type="dcterms:W3CDTF">2025-09-03T19:05:14Z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111285-cafa-4fc9-8a9a-bd902089b24f_Enabled">
    <vt:lpwstr>true</vt:lpwstr>
  </property>
  <property fmtid="{D5CDD505-2E9C-101B-9397-08002B2CF9AE}" pid="3" name="MSIP_Label_fc111285-cafa-4fc9-8a9a-bd902089b24f_SetDate">
    <vt:lpwstr>2025-07-30T16:14:51Z</vt:lpwstr>
  </property>
  <property fmtid="{D5CDD505-2E9C-101B-9397-08002B2CF9AE}" pid="4" name="MSIP_Label_fc111285-cafa-4fc9-8a9a-bd902089b24f_Method">
    <vt:lpwstr>Privileged</vt:lpwstr>
  </property>
  <property fmtid="{D5CDD505-2E9C-101B-9397-08002B2CF9AE}" pid="5" name="MSIP_Label_fc111285-cafa-4fc9-8a9a-bd902089b24f_Name">
    <vt:lpwstr>Public</vt:lpwstr>
  </property>
  <property fmtid="{D5CDD505-2E9C-101B-9397-08002B2CF9AE}" pid="6" name="MSIP_Label_fc111285-cafa-4fc9-8a9a-bd902089b24f_SiteId">
    <vt:lpwstr>cbc2c381-2f2e-4d93-91d1-506c9316ace7</vt:lpwstr>
  </property>
  <property fmtid="{D5CDD505-2E9C-101B-9397-08002B2CF9AE}" pid="7" name="MSIP_Label_fc111285-cafa-4fc9-8a9a-bd902089b24f_ActionId">
    <vt:lpwstr>90176088-38fe-4e23-995b-5ff8642493e3</vt:lpwstr>
  </property>
  <property fmtid="{D5CDD505-2E9C-101B-9397-08002B2CF9AE}" pid="8" name="MSIP_Label_fc111285-cafa-4fc9-8a9a-bd902089b24f_ContentBits">
    <vt:lpwstr>0</vt:lpwstr>
  </property>
  <property fmtid="{D5CDD505-2E9C-101B-9397-08002B2CF9AE}" pid="9" name="MSIP_Label_fc111285-cafa-4fc9-8a9a-bd902089b24f_Tag">
    <vt:lpwstr>10, 0, 1, 1</vt:lpwstr>
  </property>
</Properties>
</file>